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ramane\Desktop\PIPELINE\references\nepal-2021\sources\"/>
    </mc:Choice>
  </mc:AlternateContent>
  <xr:revisionPtr revIDLastSave="0" documentId="8_{21A3AD6E-BA50-4D5C-B226-A6C655D872BF}" xr6:coauthVersionLast="47" xr6:coauthVersionMax="47" xr10:uidLastSave="{00000000-0000-0000-0000-000000000000}"/>
  <bookViews>
    <workbookView xWindow="780" yWindow="780" windowWidth="31470" windowHeight="20355" activeTab="4" xr2:uid="{E004ED33-90A6-4877-8A20-AF0504370E89}"/>
  </bookViews>
  <sheets>
    <sheet name="Content" sheetId="144" r:id="rId1"/>
    <sheet name="Tab01_Area" sheetId="1" r:id="rId2"/>
    <sheet name="Tab02a_Tenure" sheetId="3" r:id="rId3"/>
    <sheet name="Tab02b_Tenure" sheetId="4" r:id="rId4"/>
    <sheet name="Tab02c_Tenure" sheetId="5" r:id="rId5"/>
    <sheet name="Tab03a_landUse" sheetId="6" r:id="rId6"/>
    <sheet name="Tab03b_LandUse" sheetId="7" r:id="rId7"/>
    <sheet name="Tab04_Irrigation" sheetId="8" r:id="rId8"/>
    <sheet name="Tab04a_Rented_out" sheetId="9" r:id="rId9"/>
    <sheet name="Tab05_Crop_Type" sheetId="10" r:id="rId10"/>
    <sheet name="Tab06_TempCrop" sheetId="11" r:id="rId11"/>
    <sheet name="Tab06a_TCrop" sheetId="12" r:id="rId12"/>
    <sheet name="Tab06b_Tcrop" sheetId="13" r:id="rId13"/>
    <sheet name="Tab06c_Tcrop" sheetId="14" r:id="rId14"/>
    <sheet name="Tab06d_Tcrop" sheetId="15" r:id="rId15"/>
    <sheet name="Tab06e_Tcrop" sheetId="16" r:id="rId16"/>
    <sheet name="Tab06f_Tcrop" sheetId="17" r:id="rId17"/>
    <sheet name="Tab06g_Tcrop" sheetId="18" r:id="rId18"/>
    <sheet name="Tab07_PermCrop" sheetId="20" r:id="rId19"/>
    <sheet name="Tab07_1_Orange" sheetId="21" r:id="rId20"/>
    <sheet name="Tab07_2_Junar" sheetId="22" r:id="rId21"/>
    <sheet name="Tab07_3_Lemon" sheetId="23" r:id="rId22"/>
    <sheet name="Tab07_4_Lime" sheetId="24" r:id="rId23"/>
    <sheet name="Tab07_5_SweetOrange" sheetId="25" r:id="rId24"/>
    <sheet name="Tab07_6_OCitrus" sheetId="26" r:id="rId25"/>
    <sheet name="Tab07_7_Mango" sheetId="27" r:id="rId26"/>
    <sheet name="Tab07_8_Banana" sheetId="28" r:id="rId27"/>
    <sheet name="Tab07_9_Guava" sheetId="29" r:id="rId28"/>
    <sheet name="Tab07_10_JackFruit" sheetId="30" r:id="rId29"/>
    <sheet name="Tab07_11_Pineapple" sheetId="31" r:id="rId30"/>
    <sheet name="Tab07_12_Lychee" sheetId="32" r:id="rId31"/>
    <sheet name="Tab07_13_Apple" sheetId="33" r:id="rId32"/>
    <sheet name="Tab07_14_Pear" sheetId="34" r:id="rId33"/>
    <sheet name="Tab07_15_Peach" sheetId="35" r:id="rId34"/>
    <sheet name="Tab07_16_Papaya" sheetId="36" r:id="rId35"/>
    <sheet name="Tab07_17" sheetId="37" r:id="rId36"/>
    <sheet name="Tab07_18" sheetId="38" r:id="rId37"/>
    <sheet name="Tab07_19" sheetId="39" r:id="rId38"/>
    <sheet name="Tab07_20" sheetId="40" r:id="rId39"/>
    <sheet name="Tab07_21" sheetId="41" r:id="rId40"/>
    <sheet name="Tab07_22" sheetId="42" r:id="rId41"/>
    <sheet name="Tab07_23" sheetId="43" r:id="rId42"/>
    <sheet name="Tab07_24" sheetId="44" r:id="rId43"/>
    <sheet name="Tab07_25_Tea" sheetId="45" r:id="rId44"/>
    <sheet name="Tab07_26_Coffee" sheetId="46" r:id="rId45"/>
    <sheet name="Tab07_27" sheetId="47" r:id="rId46"/>
    <sheet name="Tab07_28_FodderTree" sheetId="48" r:id="rId47"/>
    <sheet name="Tab07_29_Bamboo" sheetId="49" r:id="rId48"/>
    <sheet name="Tab08_Input_Paddy" sheetId="50" r:id="rId49"/>
    <sheet name="Tab08a_Maize" sheetId="51" r:id="rId50"/>
    <sheet name="Tab08b_Wheat" sheetId="52" r:id="rId51"/>
    <sheet name="Tab08c_Potato" sheetId="53" r:id="rId52"/>
    <sheet name="Tab08d_Vegetable" sheetId="54" r:id="rId53"/>
    <sheet name="Tab08e_Othercrop" sheetId="141" r:id="rId54"/>
    <sheet name="Tab09_lvst_sum1" sheetId="136" r:id="rId55"/>
    <sheet name="Tab09_lvst_sum2" sheetId="137" r:id="rId56"/>
    <sheet name="Tab09a_Cattle" sheetId="56" r:id="rId57"/>
    <sheet name="Tab09a1" sheetId="67" r:id="rId58"/>
    <sheet name="Tab09a2" sheetId="68" r:id="rId59"/>
    <sheet name="Tab9b_Chauri" sheetId="62" r:id="rId60"/>
    <sheet name="Tab09c_Buffalo" sheetId="69" r:id="rId61"/>
    <sheet name="Tab09c1" sheetId="70" r:id="rId62"/>
    <sheet name="Tab09c2" sheetId="71" r:id="rId63"/>
    <sheet name="Tab09d_Goat" sheetId="59" r:id="rId64"/>
    <sheet name="Tab09d1" sheetId="72" r:id="rId65"/>
    <sheet name="Tab09e_Chyangra" sheetId="75" r:id="rId66"/>
    <sheet name="Tab09f_Sheep" sheetId="73" r:id="rId67"/>
    <sheet name="Tab09f1" sheetId="74" r:id="rId68"/>
    <sheet name="Tab09g_Pig" sheetId="76" r:id="rId69"/>
    <sheet name="Tab10_Feeding" sheetId="78" r:id="rId70"/>
    <sheet name="Tab11_Poultry" sheetId="138" r:id="rId71"/>
    <sheet name="Tab11a" sheetId="139" r:id="rId72"/>
    <sheet name="Tab12_feed_Pol" sheetId="81" r:id="rId73"/>
    <sheet name="Tab13_building" sheetId="82" r:id="rId74"/>
    <sheet name="Tab13a" sheetId="84" r:id="rId75"/>
    <sheet name="Tab14_equipment" sheetId="87" r:id="rId76"/>
    <sheet name="Tab14a" sheetId="88" r:id="rId77"/>
    <sheet name="Tab14b" sheetId="90" r:id="rId78"/>
    <sheet name="Tab14c" sheetId="91" r:id="rId79"/>
    <sheet name="Tab14d" sheetId="92" r:id="rId80"/>
    <sheet name="Tab14e" sheetId="135" r:id="rId81"/>
    <sheet name="Tab15_ancillary" sheetId="95" r:id="rId82"/>
    <sheet name="Tab16a_labour" sheetId="96" r:id="rId83"/>
    <sheet name="Tab16b" sheetId="143" r:id="rId84"/>
    <sheet name="Tab17_loan" sheetId="97" r:id="rId85"/>
    <sheet name="Tab17a" sheetId="98" r:id="rId86"/>
    <sheet name="Tab18_insurance" sheetId="100" r:id="rId87"/>
    <sheet name="Tab19_subsidy" sheetId="101" r:id="rId88"/>
    <sheet name="Tab20_soil" sheetId="99" r:id="rId89"/>
    <sheet name="Tab21_tunnel" sheetId="103" r:id="rId90"/>
    <sheet name="Tab22_climate" sheetId="105" r:id="rId91"/>
    <sheet name="Tab23_waste" sheetId="106" r:id="rId92"/>
    <sheet name="Tab24a_holder by age sex" sheetId="104" r:id="rId93"/>
    <sheet name="Tab24b" sheetId="107" r:id="rId94"/>
    <sheet name="Tab25a_area of holder" sheetId="108" r:id="rId95"/>
    <sheet name="Tab25b" sheetId="109" r:id="rId96"/>
    <sheet name="Tab26a_farm pop" sheetId="110" r:id="rId97"/>
    <sheet name="Tab26b" sheetId="111" r:id="rId98"/>
    <sheet name="Tab27a_education" sheetId="112" r:id="rId99"/>
    <sheet name="Tab27b" sheetId="113" r:id="rId100"/>
    <sheet name="Tab28a_occupation holder" sheetId="115" r:id="rId101"/>
    <sheet name="Tab28b" sheetId="116" r:id="rId102"/>
    <sheet name="Tab29a_occupation_other" sheetId="117" r:id="rId103"/>
    <sheet name="Tab29b" sheetId="118" r:id="rId104"/>
    <sheet name="Tab30_time spent" sheetId="120" r:id="rId105"/>
    <sheet name="Tab31_head of hhld" sheetId="119" r:id="rId106"/>
    <sheet name="Tab32_main prod" sheetId="127" r:id="rId107"/>
    <sheet name="Tab33_use of prod" sheetId="128" r:id="rId108"/>
    <sheet name="Tab34_registered" sheetId="129" r:id="rId109"/>
    <sheet name="Tab35_food sufficiency" sheetId="121" r:id="rId110"/>
    <sheet name="Tab36_month" sheetId="125" r:id="rId111"/>
    <sheet name="Tab36a_period of insuff" sheetId="122" r:id="rId112"/>
    <sheet name="Tab37a_oth_activity" sheetId="132" r:id="rId113"/>
    <sheet name="Tab37b" sheetId="133" r:id="rId114"/>
    <sheet name="Tab38a_market access" sheetId="123" r:id="rId115"/>
    <sheet name="Tab38b" sheetId="130" r:id="rId116"/>
    <sheet name="Tab38c" sheetId="131" r:id="rId117"/>
  </sheets>
  <definedNames>
    <definedName name="_xlnm.Print_Titles" localSheetId="0">Content!$1:$5</definedName>
    <definedName name="_xlnm.Print_Titles" localSheetId="59">Tab9b_Chauri!$1:$7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6" i="144" l="1"/>
  <c r="B18" i="121"/>
  <c r="D19" i="103"/>
  <c r="B19" i="136"/>
  <c r="C19" i="118"/>
  <c r="D19" i="118"/>
  <c r="E19" i="118"/>
  <c r="F19" i="118"/>
  <c r="G19" i="118"/>
  <c r="H19" i="118"/>
  <c r="I19" i="118"/>
  <c r="J19" i="118"/>
  <c r="K19" i="118"/>
  <c r="B19" i="118"/>
  <c r="C19" i="117"/>
  <c r="D19" i="117"/>
  <c r="E19" i="117"/>
  <c r="F19" i="117"/>
  <c r="G19" i="117"/>
  <c r="H19" i="117"/>
  <c r="I19" i="117"/>
  <c r="J19" i="117"/>
  <c r="K19" i="117"/>
  <c r="L19" i="117"/>
  <c r="M19" i="117"/>
  <c r="N19" i="117"/>
  <c r="O19" i="117"/>
  <c r="B19" i="117"/>
  <c r="C19" i="116"/>
  <c r="D19" i="116"/>
  <c r="E19" i="116"/>
  <c r="F19" i="116"/>
  <c r="G19" i="116"/>
  <c r="H19" i="116"/>
  <c r="I19" i="116"/>
  <c r="J19" i="116"/>
  <c r="K19" i="116"/>
  <c r="B19" i="116"/>
  <c r="C19" i="115"/>
  <c r="D19" i="115"/>
  <c r="E19" i="115"/>
  <c r="F19" i="115"/>
  <c r="G19" i="115"/>
  <c r="H19" i="115"/>
  <c r="I19" i="115"/>
  <c r="J19" i="115"/>
  <c r="K19" i="115"/>
  <c r="L19" i="115"/>
  <c r="M19" i="115"/>
  <c r="N19" i="115"/>
  <c r="O19" i="115"/>
  <c r="B19" i="115"/>
  <c r="C19" i="130"/>
  <c r="D19" i="130"/>
  <c r="E19" i="130"/>
  <c r="F19" i="130"/>
  <c r="G19" i="130"/>
  <c r="H19" i="130"/>
  <c r="I19" i="130"/>
  <c r="J19" i="130"/>
  <c r="C19" i="131"/>
  <c r="D19" i="131"/>
  <c r="E19" i="131"/>
  <c r="F19" i="131"/>
  <c r="G19" i="131"/>
  <c r="H19" i="131"/>
  <c r="I19" i="131"/>
  <c r="J19" i="131"/>
  <c r="B19" i="131"/>
  <c r="B19" i="130"/>
  <c r="C19" i="123"/>
  <c r="D19" i="123"/>
  <c r="E19" i="123"/>
  <c r="F19" i="123"/>
  <c r="G19" i="123"/>
  <c r="H19" i="123"/>
  <c r="I19" i="123"/>
  <c r="J19" i="123"/>
  <c r="K19" i="123"/>
  <c r="L19" i="123"/>
  <c r="B19" i="123"/>
  <c r="E19" i="103"/>
  <c r="F19" i="103"/>
  <c r="G19" i="103"/>
  <c r="H19" i="103"/>
  <c r="D19" i="95"/>
  <c r="E19" i="95"/>
  <c r="F19" i="95"/>
  <c r="G19" i="95"/>
  <c r="H19" i="95"/>
  <c r="I19" i="95"/>
  <c r="J19" i="95"/>
  <c r="K19" i="95"/>
  <c r="L19" i="95"/>
  <c r="C19" i="95"/>
  <c r="B19" i="95"/>
  <c r="C19" i="135"/>
  <c r="D19" i="135"/>
  <c r="E19" i="135"/>
  <c r="F19" i="135"/>
  <c r="G19" i="135"/>
  <c r="H19" i="135"/>
  <c r="I19" i="135"/>
  <c r="J19" i="135"/>
  <c r="K19" i="135"/>
  <c r="B19" i="135"/>
  <c r="C19" i="92"/>
  <c r="D19" i="92"/>
  <c r="E19" i="92"/>
  <c r="F19" i="92"/>
  <c r="G19" i="92"/>
  <c r="H19" i="92"/>
  <c r="I19" i="92"/>
  <c r="J19" i="92"/>
  <c r="K19" i="92"/>
  <c r="L19" i="92"/>
  <c r="M19" i="92"/>
  <c r="N19" i="92"/>
  <c r="O19" i="92"/>
  <c r="P19" i="92"/>
  <c r="B19" i="92"/>
  <c r="C19" i="91"/>
  <c r="D19" i="91"/>
  <c r="E19" i="91"/>
  <c r="F19" i="91"/>
  <c r="G19" i="91"/>
  <c r="H19" i="91"/>
  <c r="I19" i="91"/>
  <c r="J19" i="91"/>
  <c r="K19" i="91"/>
  <c r="L19" i="91"/>
  <c r="M19" i="91"/>
  <c r="N19" i="91"/>
  <c r="O19" i="91"/>
  <c r="P19" i="91"/>
  <c r="B19" i="91"/>
  <c r="C19" i="90"/>
  <c r="D19" i="90"/>
  <c r="E19" i="90"/>
  <c r="F19" i="90"/>
  <c r="G19" i="90"/>
  <c r="H19" i="90"/>
  <c r="I19" i="90"/>
  <c r="J19" i="90"/>
  <c r="K19" i="90"/>
  <c r="L19" i="90"/>
  <c r="M19" i="90"/>
  <c r="N19" i="90"/>
  <c r="O19" i="90"/>
  <c r="P19" i="90"/>
  <c r="B19" i="90"/>
  <c r="C19" i="88"/>
  <c r="D19" i="88"/>
  <c r="E19" i="88"/>
  <c r="F19" i="88"/>
  <c r="G19" i="88"/>
  <c r="H19" i="88"/>
  <c r="I19" i="88"/>
  <c r="J19" i="88"/>
  <c r="K19" i="88"/>
  <c r="L19" i="88"/>
  <c r="M19" i="88"/>
  <c r="N19" i="88"/>
  <c r="O19" i="88"/>
  <c r="P19" i="88"/>
  <c r="B19" i="88"/>
  <c r="C19" i="87"/>
  <c r="D19" i="87"/>
  <c r="E19" i="87"/>
  <c r="F19" i="87"/>
  <c r="G19" i="87"/>
  <c r="H19" i="87"/>
  <c r="I19" i="87"/>
  <c r="J19" i="87"/>
  <c r="K19" i="87"/>
  <c r="L19" i="87"/>
  <c r="M19" i="87"/>
  <c r="B19" i="87"/>
  <c r="C19" i="137"/>
  <c r="D19" i="137"/>
  <c r="E19" i="137"/>
  <c r="F19" i="137"/>
  <c r="G19" i="137"/>
  <c r="H19" i="137"/>
  <c r="I19" i="137"/>
  <c r="J19" i="137"/>
  <c r="K19" i="137"/>
  <c r="L19" i="137"/>
  <c r="M19" i="137"/>
  <c r="N19" i="137"/>
  <c r="O19" i="137"/>
  <c r="P19" i="137"/>
  <c r="Q19" i="137"/>
  <c r="C20" i="75"/>
  <c r="D20" i="75"/>
  <c r="E20" i="75"/>
  <c r="F20" i="75"/>
  <c r="G20" i="75"/>
  <c r="H20" i="75"/>
  <c r="I20" i="75"/>
  <c r="J20" i="75"/>
  <c r="K20" i="75"/>
  <c r="B20" i="75"/>
  <c r="C19" i="133"/>
  <c r="D19" i="133"/>
  <c r="E19" i="133"/>
  <c r="F19" i="133"/>
  <c r="G19" i="133"/>
  <c r="H19" i="133"/>
  <c r="I19" i="133"/>
  <c r="J19" i="133"/>
  <c r="K19" i="133"/>
  <c r="B19" i="133"/>
  <c r="C19" i="132"/>
  <c r="D19" i="132"/>
  <c r="E19" i="132"/>
  <c r="F19" i="132"/>
  <c r="G19" i="132"/>
  <c r="H19" i="132"/>
  <c r="I19" i="132"/>
  <c r="J19" i="132"/>
  <c r="K19" i="132"/>
  <c r="B19" i="132"/>
  <c r="C18" i="125"/>
  <c r="D18" i="125"/>
  <c r="E18" i="125"/>
  <c r="F18" i="125"/>
  <c r="G18" i="125"/>
  <c r="H18" i="125"/>
  <c r="I18" i="125"/>
  <c r="J18" i="125"/>
  <c r="K18" i="125"/>
  <c r="L18" i="125"/>
  <c r="M18" i="125"/>
  <c r="N18" i="125"/>
  <c r="C19" i="122"/>
  <c r="D19" i="122"/>
  <c r="E19" i="122"/>
  <c r="F19" i="122"/>
  <c r="G19" i="122"/>
  <c r="H19" i="122"/>
  <c r="I19" i="122"/>
  <c r="J19" i="122"/>
  <c r="K19" i="122"/>
  <c r="L19" i="122"/>
  <c r="B19" i="122"/>
  <c r="B18" i="125"/>
  <c r="C18" i="121"/>
  <c r="D18" i="121"/>
  <c r="E18" i="121"/>
  <c r="F18" i="121"/>
  <c r="G18" i="121"/>
  <c r="H18" i="121"/>
  <c r="I18" i="121"/>
  <c r="J18" i="121"/>
  <c r="C18" i="129"/>
  <c r="D18" i="129"/>
  <c r="E18" i="129"/>
  <c r="F18" i="129"/>
  <c r="G18" i="129"/>
  <c r="H18" i="129"/>
  <c r="I18" i="129"/>
  <c r="J18" i="129"/>
  <c r="K18" i="129"/>
  <c r="L18" i="129"/>
  <c r="M18" i="129"/>
  <c r="N18" i="129"/>
  <c r="O18" i="129"/>
  <c r="B18" i="129"/>
  <c r="C18" i="128"/>
  <c r="D18" i="128"/>
  <c r="E18" i="128"/>
  <c r="F18" i="128"/>
  <c r="B18" i="128"/>
  <c r="C18" i="127"/>
  <c r="D18" i="127"/>
  <c r="E18" i="127"/>
  <c r="F18" i="127"/>
  <c r="G18" i="127"/>
  <c r="H18" i="127"/>
  <c r="I18" i="127"/>
  <c r="J18" i="127"/>
  <c r="K18" i="127"/>
  <c r="L18" i="127"/>
  <c r="M18" i="127"/>
  <c r="N18" i="127"/>
  <c r="B18" i="127"/>
  <c r="C19" i="119"/>
  <c r="D19" i="119"/>
  <c r="E19" i="119"/>
  <c r="F19" i="119"/>
  <c r="G19" i="119"/>
  <c r="B19" i="119"/>
  <c r="J19" i="143"/>
  <c r="I19" i="143"/>
  <c r="H19" i="143"/>
  <c r="G19" i="143"/>
  <c r="F19" i="143"/>
  <c r="E19" i="143"/>
  <c r="D19" i="143"/>
  <c r="C19" i="143"/>
  <c r="B19" i="143"/>
  <c r="C19" i="120"/>
  <c r="D19" i="120"/>
  <c r="E19" i="120"/>
  <c r="F19" i="120"/>
  <c r="G19" i="120"/>
  <c r="H19" i="120"/>
  <c r="I19" i="120"/>
  <c r="J19" i="120"/>
  <c r="K19" i="120"/>
  <c r="L19" i="120"/>
  <c r="M19" i="120"/>
  <c r="N19" i="120"/>
  <c r="O19" i="120"/>
  <c r="B19" i="120"/>
  <c r="C19" i="113"/>
  <c r="D19" i="113"/>
  <c r="E19" i="113"/>
  <c r="F19" i="113"/>
  <c r="G19" i="113"/>
  <c r="H19" i="113"/>
  <c r="I19" i="113"/>
  <c r="J19" i="113"/>
  <c r="K19" i="113"/>
  <c r="B19" i="113"/>
  <c r="C19" i="112"/>
  <c r="D19" i="112"/>
  <c r="E19" i="112"/>
  <c r="F19" i="112"/>
  <c r="G19" i="112"/>
  <c r="H19" i="112"/>
  <c r="I19" i="112"/>
  <c r="J19" i="112"/>
  <c r="K19" i="112"/>
  <c r="L19" i="112"/>
  <c r="M19" i="112"/>
  <c r="B19" i="112"/>
  <c r="C19" i="111"/>
  <c r="D19" i="111"/>
  <c r="E19" i="111"/>
  <c r="F19" i="111"/>
  <c r="G19" i="111"/>
  <c r="H19" i="111"/>
  <c r="I19" i="111"/>
  <c r="B19" i="111"/>
  <c r="B19" i="110"/>
  <c r="C19" i="110"/>
  <c r="D19" i="110"/>
  <c r="E19" i="110"/>
  <c r="F19" i="110"/>
  <c r="G19" i="110"/>
  <c r="H19" i="110"/>
  <c r="I19" i="110"/>
  <c r="J19" i="110"/>
  <c r="K19" i="110"/>
  <c r="L19" i="110"/>
  <c r="C19" i="109"/>
  <c r="D19" i="109"/>
  <c r="E19" i="109"/>
  <c r="F19" i="109"/>
  <c r="G19" i="109"/>
  <c r="H19" i="109"/>
  <c r="I19" i="109"/>
  <c r="B19" i="109"/>
  <c r="C19" i="108"/>
  <c r="D19" i="108"/>
  <c r="E19" i="108"/>
  <c r="F19" i="108"/>
  <c r="G19" i="108"/>
  <c r="H19" i="108"/>
  <c r="I19" i="108"/>
  <c r="J19" i="108"/>
  <c r="B19" i="108"/>
  <c r="C18" i="106"/>
  <c r="D18" i="106"/>
  <c r="E18" i="106"/>
  <c r="F18" i="106"/>
  <c r="G18" i="106"/>
  <c r="H18" i="106"/>
  <c r="I18" i="106"/>
  <c r="B18" i="106"/>
  <c r="D18" i="105"/>
  <c r="E18" i="105"/>
  <c r="F18" i="105"/>
  <c r="G18" i="105"/>
  <c r="H18" i="105"/>
  <c r="I18" i="105"/>
  <c r="J18" i="105"/>
  <c r="K18" i="105"/>
  <c r="L18" i="105"/>
  <c r="M18" i="105"/>
  <c r="N18" i="105"/>
  <c r="C18" i="105"/>
  <c r="B18" i="105"/>
  <c r="C19" i="103"/>
  <c r="B19" i="103"/>
  <c r="D19" i="99"/>
  <c r="E19" i="99"/>
  <c r="F19" i="99"/>
  <c r="G19" i="99"/>
  <c r="H19" i="99"/>
  <c r="I19" i="99"/>
  <c r="J19" i="99"/>
  <c r="K19" i="99"/>
  <c r="L19" i="99"/>
  <c r="C18" i="101"/>
  <c r="D18" i="101"/>
  <c r="E18" i="101"/>
  <c r="F18" i="101"/>
  <c r="G18" i="101"/>
  <c r="H18" i="101"/>
  <c r="I18" i="101"/>
  <c r="J18" i="101"/>
  <c r="K18" i="101"/>
  <c r="L18" i="101"/>
  <c r="M18" i="101"/>
  <c r="B18" i="101"/>
  <c r="C18" i="100"/>
  <c r="D18" i="100"/>
  <c r="E18" i="100"/>
  <c r="F18" i="100"/>
  <c r="G18" i="100"/>
  <c r="H18" i="100"/>
  <c r="I18" i="100"/>
  <c r="J18" i="100"/>
  <c r="K18" i="100"/>
  <c r="L18" i="100"/>
  <c r="M18" i="100"/>
  <c r="N18" i="100"/>
  <c r="O18" i="100"/>
  <c r="B18" i="100"/>
  <c r="C18" i="98"/>
  <c r="D18" i="98"/>
  <c r="E18" i="98"/>
  <c r="F18" i="98"/>
  <c r="G18" i="98"/>
  <c r="H18" i="98"/>
  <c r="I18" i="98"/>
  <c r="J18" i="98"/>
  <c r="K18" i="98"/>
  <c r="L18" i="98"/>
  <c r="M18" i="98"/>
  <c r="B18" i="98"/>
  <c r="C18" i="97"/>
  <c r="D18" i="97"/>
  <c r="E18" i="97"/>
  <c r="F18" i="97"/>
  <c r="G18" i="97"/>
  <c r="H18" i="97"/>
  <c r="I18" i="97"/>
  <c r="J18" i="97"/>
  <c r="K18" i="97"/>
  <c r="L18" i="97"/>
  <c r="M18" i="97"/>
  <c r="B18" i="97"/>
  <c r="C19" i="96"/>
  <c r="D19" i="96"/>
  <c r="E19" i="96"/>
  <c r="F19" i="96"/>
  <c r="G19" i="96"/>
  <c r="H19" i="96"/>
  <c r="I19" i="96"/>
  <c r="J19" i="96"/>
  <c r="B19" i="96"/>
  <c r="C19" i="139"/>
  <c r="D19" i="139"/>
  <c r="E19" i="139"/>
  <c r="F19" i="139"/>
  <c r="G19" i="139"/>
  <c r="H19" i="139"/>
  <c r="I19" i="139"/>
  <c r="J19" i="139"/>
  <c r="K19" i="139"/>
  <c r="L19" i="139"/>
  <c r="M19" i="139"/>
  <c r="B19" i="139"/>
  <c r="B21" i="138"/>
  <c r="C21" i="138"/>
  <c r="D21" i="138"/>
  <c r="E21" i="138"/>
  <c r="F21" i="138"/>
  <c r="G21" i="138"/>
  <c r="H21" i="138"/>
  <c r="I21" i="138"/>
  <c r="J21" i="138"/>
  <c r="K21" i="138"/>
  <c r="L21" i="138"/>
  <c r="M21" i="138"/>
  <c r="N21" i="138"/>
  <c r="O21" i="138"/>
  <c r="C21" i="74"/>
  <c r="D21" i="74"/>
  <c r="E21" i="74"/>
  <c r="F21" i="74"/>
  <c r="G21" i="74"/>
  <c r="H21" i="74"/>
  <c r="I21" i="74"/>
  <c r="J21" i="74"/>
  <c r="B21" i="74"/>
  <c r="C21" i="73"/>
  <c r="D21" i="73"/>
  <c r="E21" i="73"/>
  <c r="F21" i="73"/>
  <c r="G21" i="73"/>
  <c r="H21" i="73"/>
  <c r="I21" i="73"/>
  <c r="J21" i="73"/>
  <c r="K21" i="73"/>
  <c r="L21" i="73"/>
  <c r="M21" i="73"/>
  <c r="N21" i="73"/>
  <c r="B21" i="73"/>
  <c r="D20" i="141"/>
  <c r="E20" i="141"/>
  <c r="F20" i="141"/>
  <c r="G20" i="141"/>
  <c r="H20" i="141"/>
  <c r="I20" i="141"/>
  <c r="C20" i="141"/>
  <c r="B20" i="141"/>
  <c r="E19" i="48"/>
  <c r="C20" i="76"/>
  <c r="D20" i="76"/>
  <c r="E20" i="76"/>
  <c r="F20" i="76"/>
  <c r="G20" i="76"/>
  <c r="H20" i="76"/>
  <c r="I20" i="76"/>
  <c r="J20" i="76"/>
  <c r="K20" i="76"/>
  <c r="B20" i="76"/>
  <c r="C21" i="72"/>
  <c r="D21" i="72"/>
  <c r="E21" i="72"/>
  <c r="F21" i="72"/>
  <c r="G21" i="72"/>
  <c r="H21" i="72"/>
  <c r="I21" i="72"/>
  <c r="J21" i="72"/>
  <c r="B21" i="72"/>
  <c r="C21" i="59"/>
  <c r="D21" i="59"/>
  <c r="E21" i="59"/>
  <c r="F21" i="59"/>
  <c r="G21" i="59"/>
  <c r="H21" i="59"/>
  <c r="I21" i="59"/>
  <c r="J21" i="59"/>
  <c r="K21" i="59"/>
  <c r="L21" i="59"/>
  <c r="M21" i="59"/>
  <c r="N21" i="59"/>
  <c r="B21" i="59"/>
  <c r="C21" i="62"/>
  <c r="D21" i="62"/>
  <c r="E21" i="62"/>
  <c r="F21" i="62"/>
  <c r="G21" i="62"/>
  <c r="H21" i="62"/>
  <c r="I21" i="62"/>
  <c r="J21" i="62"/>
  <c r="K21" i="62"/>
  <c r="L21" i="62"/>
  <c r="M21" i="62"/>
  <c r="N21" i="62"/>
  <c r="O21" i="62"/>
  <c r="B21" i="62"/>
  <c r="C18" i="9"/>
  <c r="D18" i="9"/>
  <c r="E18" i="9"/>
  <c r="B18" i="9"/>
  <c r="C19" i="49"/>
  <c r="D19" i="49"/>
  <c r="E19" i="49"/>
  <c r="F19" i="49"/>
  <c r="G19" i="49"/>
  <c r="H19" i="49"/>
  <c r="I19" i="49"/>
  <c r="B19" i="49"/>
  <c r="C19" i="48"/>
  <c r="D19" i="48"/>
  <c r="F19" i="48"/>
  <c r="G19" i="48"/>
  <c r="B19" i="48"/>
  <c r="C20" i="47"/>
  <c r="D20" i="47"/>
  <c r="E20" i="47"/>
  <c r="F20" i="47"/>
  <c r="G20" i="47"/>
  <c r="B20" i="47"/>
  <c r="C20" i="46"/>
  <c r="D20" i="46"/>
  <c r="E20" i="46"/>
  <c r="F20" i="46"/>
  <c r="G20" i="46"/>
  <c r="H20" i="46"/>
  <c r="I20" i="46"/>
  <c r="J20" i="46"/>
  <c r="K20" i="46"/>
  <c r="B20" i="46"/>
  <c r="C20" i="45"/>
  <c r="D20" i="45"/>
  <c r="E20" i="45"/>
  <c r="F20" i="45"/>
  <c r="G20" i="45"/>
  <c r="B20" i="45"/>
  <c r="C20" i="44"/>
  <c r="D20" i="44"/>
  <c r="E20" i="44"/>
  <c r="F20" i="44"/>
  <c r="G20" i="44"/>
  <c r="H20" i="44"/>
  <c r="I20" i="44"/>
  <c r="J20" i="44"/>
  <c r="K20" i="44"/>
  <c r="B20" i="44"/>
  <c r="C20" i="43"/>
  <c r="D20" i="43"/>
  <c r="E20" i="43"/>
  <c r="F20" i="43"/>
  <c r="G20" i="43"/>
  <c r="H20" i="43"/>
  <c r="I20" i="43"/>
  <c r="J20" i="43"/>
  <c r="K20" i="43"/>
  <c r="B20" i="43"/>
  <c r="C20" i="42"/>
  <c r="D20" i="42"/>
  <c r="E20" i="42"/>
  <c r="F20" i="42"/>
  <c r="G20" i="42"/>
  <c r="H20" i="42"/>
  <c r="I20" i="42"/>
  <c r="J20" i="42"/>
  <c r="K20" i="42"/>
  <c r="B20" i="42"/>
  <c r="C20" i="41"/>
  <c r="D20" i="41"/>
  <c r="E20" i="41"/>
  <c r="F20" i="41"/>
  <c r="G20" i="41"/>
  <c r="H20" i="41"/>
  <c r="I20" i="41"/>
  <c r="J20" i="41"/>
  <c r="K20" i="41"/>
  <c r="B20" i="41"/>
  <c r="C20" i="40"/>
  <c r="D20" i="40"/>
  <c r="E20" i="40"/>
  <c r="F20" i="40"/>
  <c r="G20" i="40"/>
  <c r="H20" i="40"/>
  <c r="I20" i="40"/>
  <c r="J20" i="40"/>
  <c r="K20" i="40"/>
  <c r="B20" i="40"/>
  <c r="C20" i="39"/>
  <c r="D20" i="39"/>
  <c r="E20" i="39"/>
  <c r="F20" i="39"/>
  <c r="G20" i="39"/>
  <c r="H20" i="39"/>
  <c r="I20" i="39"/>
  <c r="J20" i="39"/>
  <c r="K20" i="39"/>
  <c r="B20" i="39"/>
  <c r="C20" i="38"/>
  <c r="D20" i="38"/>
  <c r="E20" i="38"/>
  <c r="F20" i="38"/>
  <c r="G20" i="38"/>
  <c r="H20" i="38"/>
  <c r="I20" i="38"/>
  <c r="J20" i="38"/>
  <c r="K20" i="38"/>
  <c r="B20" i="38"/>
  <c r="C20" i="37"/>
  <c r="D20" i="37"/>
  <c r="E20" i="37"/>
  <c r="F20" i="37"/>
  <c r="G20" i="37"/>
  <c r="H20" i="37"/>
  <c r="I20" i="37"/>
  <c r="J20" i="37"/>
  <c r="K20" i="37"/>
  <c r="B20" i="37"/>
  <c r="C20" i="36"/>
  <c r="D20" i="36"/>
  <c r="E20" i="36"/>
  <c r="F20" i="36"/>
  <c r="G20" i="36"/>
  <c r="H20" i="36"/>
  <c r="I20" i="36"/>
  <c r="J20" i="36"/>
  <c r="K20" i="36"/>
  <c r="B20" i="36"/>
  <c r="C20" i="35"/>
  <c r="D20" i="35"/>
  <c r="E20" i="35"/>
  <c r="F20" i="35"/>
  <c r="G20" i="35"/>
  <c r="H20" i="35"/>
  <c r="I20" i="35"/>
  <c r="J20" i="35"/>
  <c r="K20" i="35"/>
  <c r="B20" i="35"/>
  <c r="C20" i="34"/>
  <c r="D20" i="34"/>
  <c r="E20" i="34"/>
  <c r="F20" i="34"/>
  <c r="G20" i="34"/>
  <c r="H20" i="34"/>
  <c r="I20" i="34"/>
  <c r="J20" i="34"/>
  <c r="K20" i="34"/>
  <c r="B20" i="34"/>
  <c r="C20" i="32"/>
  <c r="D20" i="32"/>
  <c r="E20" i="32"/>
  <c r="F20" i="32"/>
  <c r="G20" i="32"/>
  <c r="H20" i="32"/>
  <c r="I20" i="32"/>
  <c r="J20" i="32"/>
  <c r="K20" i="32"/>
  <c r="B20" i="32"/>
  <c r="C20" i="31"/>
  <c r="D20" i="31"/>
  <c r="E20" i="31"/>
  <c r="F20" i="31"/>
  <c r="G20" i="31"/>
  <c r="H20" i="31"/>
  <c r="I20" i="31"/>
  <c r="J20" i="31"/>
  <c r="K20" i="31"/>
  <c r="B20" i="31"/>
  <c r="C20" i="30"/>
  <c r="D20" i="30"/>
  <c r="E20" i="30"/>
  <c r="F20" i="30"/>
  <c r="G20" i="30"/>
  <c r="H20" i="30"/>
  <c r="I20" i="30"/>
  <c r="J20" i="30"/>
  <c r="K20" i="30"/>
  <c r="B20" i="30"/>
  <c r="C20" i="29"/>
  <c r="D20" i="29"/>
  <c r="E20" i="29"/>
  <c r="F20" i="29"/>
  <c r="G20" i="29"/>
  <c r="H20" i="29"/>
  <c r="I20" i="29"/>
  <c r="J20" i="29"/>
  <c r="K20" i="29"/>
  <c r="B20" i="29"/>
  <c r="C20" i="26"/>
  <c r="D20" i="26"/>
  <c r="E20" i="26"/>
  <c r="F20" i="26"/>
  <c r="G20" i="26"/>
  <c r="H20" i="26"/>
  <c r="I20" i="26"/>
  <c r="J20" i="26"/>
  <c r="K20" i="26"/>
  <c r="B20" i="26"/>
  <c r="C20" i="25"/>
  <c r="D20" i="25"/>
  <c r="E20" i="25"/>
  <c r="F20" i="25"/>
  <c r="G20" i="25"/>
  <c r="H20" i="25"/>
  <c r="I20" i="25"/>
  <c r="J20" i="25"/>
  <c r="K20" i="25"/>
  <c r="B20" i="25"/>
  <c r="D20" i="20"/>
  <c r="E20" i="20"/>
  <c r="F20" i="20"/>
  <c r="G20" i="20"/>
  <c r="H20" i="20"/>
  <c r="I20" i="20"/>
  <c r="J20" i="20"/>
  <c r="K20" i="20"/>
  <c r="L20" i="20"/>
  <c r="M20" i="20"/>
  <c r="B19" i="104"/>
  <c r="C19" i="104"/>
  <c r="D19" i="104"/>
  <c r="E19" i="104"/>
  <c r="F19" i="104"/>
  <c r="G19" i="104"/>
  <c r="H19" i="104"/>
  <c r="I19" i="104"/>
  <c r="J19" i="104"/>
  <c r="C19" i="107"/>
  <c r="D19" i="107"/>
  <c r="E19" i="107"/>
  <c r="F19" i="107"/>
  <c r="G19" i="107"/>
  <c r="H19" i="107"/>
  <c r="I19" i="107"/>
  <c r="B19" i="107"/>
  <c r="S20" i="8"/>
  <c r="C19" i="99"/>
  <c r="B19" i="99"/>
  <c r="C19" i="84"/>
  <c r="D19" i="84"/>
  <c r="E19" i="84"/>
  <c r="F19" i="84"/>
  <c r="G19" i="84"/>
  <c r="H19" i="84"/>
  <c r="I19" i="84"/>
  <c r="J19" i="84"/>
  <c r="K19" i="84"/>
  <c r="L19" i="84"/>
  <c r="M19" i="84"/>
  <c r="N19" i="84"/>
  <c r="O19" i="84"/>
  <c r="B19" i="84"/>
  <c r="C19" i="82"/>
  <c r="D19" i="82"/>
  <c r="E19" i="82"/>
  <c r="F19" i="82"/>
  <c r="G19" i="82"/>
  <c r="H19" i="82"/>
  <c r="I19" i="82"/>
  <c r="J19" i="82"/>
  <c r="K19" i="82"/>
  <c r="L19" i="82"/>
  <c r="M19" i="82"/>
  <c r="N19" i="82"/>
  <c r="O19" i="82"/>
  <c r="B19" i="82"/>
  <c r="C19" i="81"/>
  <c r="D19" i="81"/>
  <c r="E19" i="81"/>
  <c r="B8" i="81"/>
  <c r="B9" i="81"/>
  <c r="B10" i="81"/>
  <c r="B11" i="81"/>
  <c r="B12" i="81"/>
  <c r="B13" i="81"/>
  <c r="B14" i="81"/>
  <c r="B15" i="81"/>
  <c r="B16" i="81"/>
  <c r="B17" i="81"/>
  <c r="B18" i="81"/>
  <c r="B7" i="81"/>
  <c r="B19" i="81"/>
  <c r="C19" i="78"/>
  <c r="D19" i="78"/>
  <c r="E19" i="78"/>
  <c r="F19" i="78"/>
  <c r="H19" i="78"/>
  <c r="I19" i="78"/>
  <c r="J19" i="78"/>
  <c r="K19" i="78"/>
  <c r="M19" i="78"/>
  <c r="N19" i="78"/>
  <c r="O19" i="78"/>
  <c r="P19" i="78"/>
  <c r="L8" i="78"/>
  <c r="L9" i="78"/>
  <c r="L10" i="78"/>
  <c r="L11" i="78"/>
  <c r="L12" i="78"/>
  <c r="L13" i="78"/>
  <c r="L14" i="78"/>
  <c r="L15" i="78"/>
  <c r="L16" i="78"/>
  <c r="L17" i="78"/>
  <c r="L18" i="78"/>
  <c r="L7" i="78"/>
  <c r="L19" i="78" s="1"/>
  <c r="G8" i="78"/>
  <c r="G9" i="78"/>
  <c r="G10" i="78"/>
  <c r="G11" i="78"/>
  <c r="G12" i="78"/>
  <c r="G13" i="78"/>
  <c r="G14" i="78"/>
  <c r="G15" i="78"/>
  <c r="G16" i="78"/>
  <c r="G17" i="78"/>
  <c r="G18" i="78"/>
  <c r="G7" i="78"/>
  <c r="G19" i="78"/>
  <c r="B8" i="78"/>
  <c r="B9" i="78"/>
  <c r="B10" i="78"/>
  <c r="B11" i="78"/>
  <c r="B12" i="78"/>
  <c r="B13" i="78"/>
  <c r="B14" i="78"/>
  <c r="B15" i="78"/>
  <c r="B16" i="78"/>
  <c r="B17" i="78"/>
  <c r="B18" i="78"/>
  <c r="B7" i="78"/>
  <c r="B19" i="78" s="1"/>
  <c r="C22" i="71"/>
  <c r="D22" i="71"/>
  <c r="E22" i="71"/>
  <c r="F22" i="71"/>
  <c r="G22" i="71"/>
  <c r="H22" i="71"/>
  <c r="I22" i="71"/>
  <c r="J22" i="71"/>
  <c r="K22" i="71"/>
  <c r="L22" i="71"/>
  <c r="M22" i="71"/>
  <c r="N22" i="71"/>
  <c r="O22" i="71"/>
  <c r="P22" i="71"/>
  <c r="Q22" i="71"/>
  <c r="R22" i="71"/>
  <c r="S22" i="71"/>
  <c r="B22" i="71"/>
  <c r="C21" i="70"/>
  <c r="D21" i="70"/>
  <c r="E21" i="70"/>
  <c r="F21" i="70"/>
  <c r="G21" i="70"/>
  <c r="H21" i="70"/>
  <c r="I21" i="70"/>
  <c r="J21" i="70"/>
  <c r="B21" i="70"/>
  <c r="C21" i="69"/>
  <c r="D21" i="69"/>
  <c r="E21" i="69"/>
  <c r="F21" i="69"/>
  <c r="G21" i="69"/>
  <c r="H21" i="69"/>
  <c r="I21" i="69"/>
  <c r="J21" i="69"/>
  <c r="K21" i="69"/>
  <c r="L21" i="69"/>
  <c r="M21" i="69"/>
  <c r="N21" i="69"/>
  <c r="B21" i="69"/>
  <c r="C22" i="68"/>
  <c r="D22" i="68"/>
  <c r="E22" i="68"/>
  <c r="F22" i="68"/>
  <c r="G22" i="68"/>
  <c r="H22" i="68"/>
  <c r="I22" i="68"/>
  <c r="J22" i="68"/>
  <c r="K22" i="68"/>
  <c r="L22" i="68"/>
  <c r="M22" i="68"/>
  <c r="N22" i="68"/>
  <c r="O22" i="68"/>
  <c r="P22" i="68"/>
  <c r="B22" i="68"/>
  <c r="C21" i="67"/>
  <c r="D21" i="67"/>
  <c r="E21" i="67"/>
  <c r="F21" i="67"/>
  <c r="G21" i="67"/>
  <c r="H21" i="67"/>
  <c r="I21" i="67"/>
  <c r="J21" i="67"/>
  <c r="B21" i="67"/>
  <c r="C21" i="56"/>
  <c r="D21" i="56"/>
  <c r="E21" i="56"/>
  <c r="F21" i="56"/>
  <c r="G21" i="56"/>
  <c r="H21" i="56"/>
  <c r="I21" i="56"/>
  <c r="J21" i="56"/>
  <c r="K21" i="56"/>
  <c r="L21" i="56"/>
  <c r="M21" i="56"/>
  <c r="N21" i="56"/>
  <c r="B21" i="56"/>
  <c r="B19" i="137"/>
  <c r="P19" i="136"/>
  <c r="O19" i="136"/>
  <c r="N19" i="136"/>
  <c r="M19" i="136"/>
  <c r="L19" i="136"/>
  <c r="K19" i="136"/>
  <c r="J19" i="136"/>
  <c r="I19" i="136"/>
  <c r="H19" i="136"/>
  <c r="G19" i="136"/>
  <c r="F19" i="136"/>
  <c r="E19" i="136"/>
  <c r="D19" i="136"/>
  <c r="C19" i="136"/>
  <c r="C20" i="23"/>
  <c r="D20" i="23"/>
  <c r="E20" i="23"/>
  <c r="F20" i="23"/>
  <c r="G20" i="23"/>
  <c r="H20" i="23"/>
  <c r="I20" i="23"/>
  <c r="J20" i="23"/>
  <c r="K20" i="23"/>
  <c r="B20" i="23"/>
  <c r="C20" i="24"/>
  <c r="D20" i="24"/>
  <c r="E20" i="24"/>
  <c r="F20" i="24"/>
  <c r="G20" i="24"/>
  <c r="H20" i="24"/>
  <c r="I20" i="24"/>
  <c r="J20" i="24"/>
  <c r="K20" i="24"/>
  <c r="B20" i="24"/>
  <c r="C20" i="27"/>
  <c r="D20" i="27"/>
  <c r="E20" i="27"/>
  <c r="F20" i="27"/>
  <c r="G20" i="27"/>
  <c r="H20" i="27"/>
  <c r="I20" i="27"/>
  <c r="J20" i="27"/>
  <c r="K20" i="27"/>
  <c r="B20" i="27"/>
  <c r="C20" i="28"/>
  <c r="D20" i="28"/>
  <c r="E20" i="28"/>
  <c r="F20" i="28"/>
  <c r="G20" i="28"/>
  <c r="H20" i="28"/>
  <c r="I20" i="28"/>
  <c r="J20" i="28"/>
  <c r="K20" i="28"/>
  <c r="B20" i="28"/>
  <c r="C20" i="33"/>
  <c r="D20" i="33"/>
  <c r="E20" i="33"/>
  <c r="F20" i="33"/>
  <c r="G20" i="33"/>
  <c r="H20" i="33"/>
  <c r="I20" i="33"/>
  <c r="J20" i="33"/>
  <c r="K20" i="33"/>
  <c r="B20" i="33"/>
  <c r="C20" i="22"/>
  <c r="D20" i="22"/>
  <c r="E20" i="22"/>
  <c r="F20" i="22"/>
  <c r="G20" i="22"/>
  <c r="H20" i="22"/>
  <c r="I20" i="22"/>
  <c r="J20" i="22"/>
  <c r="K20" i="22"/>
  <c r="B20" i="22"/>
  <c r="C20" i="21"/>
  <c r="D20" i="21"/>
  <c r="E20" i="21"/>
  <c r="F20" i="21"/>
  <c r="G20" i="21"/>
  <c r="H20" i="21"/>
  <c r="I20" i="21"/>
  <c r="J20" i="21"/>
  <c r="K20" i="21"/>
  <c r="B20" i="21"/>
  <c r="D20" i="54"/>
  <c r="E20" i="54"/>
  <c r="F20" i="54"/>
  <c r="G20" i="54"/>
  <c r="H20" i="54"/>
  <c r="I20" i="54"/>
  <c r="J20" i="54"/>
  <c r="K20" i="54"/>
  <c r="L20" i="54"/>
  <c r="M20" i="54"/>
  <c r="N20" i="54"/>
  <c r="O20" i="54"/>
  <c r="P20" i="54"/>
  <c r="Q20" i="54"/>
  <c r="D20" i="53"/>
  <c r="E20" i="53"/>
  <c r="F20" i="53"/>
  <c r="G20" i="53"/>
  <c r="H20" i="53"/>
  <c r="I20" i="53"/>
  <c r="J20" i="53"/>
  <c r="K20" i="53"/>
  <c r="L20" i="53"/>
  <c r="M20" i="53"/>
  <c r="N20" i="53"/>
  <c r="O20" i="53"/>
  <c r="P20" i="53"/>
  <c r="Q20" i="53"/>
  <c r="D20" i="52"/>
  <c r="E20" i="52"/>
  <c r="F20" i="52"/>
  <c r="G20" i="52"/>
  <c r="H20" i="52"/>
  <c r="I20" i="52"/>
  <c r="J20" i="52"/>
  <c r="K20" i="52"/>
  <c r="L20" i="52"/>
  <c r="M20" i="52"/>
  <c r="N20" i="52"/>
  <c r="O20" i="52"/>
  <c r="P20" i="52"/>
  <c r="Q20" i="52"/>
  <c r="C20" i="54"/>
  <c r="B20" i="54"/>
  <c r="C20" i="53"/>
  <c r="B20" i="53"/>
  <c r="C20" i="52"/>
  <c r="B20" i="52"/>
  <c r="C20" i="51"/>
  <c r="B20" i="51"/>
  <c r="C20" i="50"/>
  <c r="B20" i="50"/>
  <c r="C20" i="20"/>
  <c r="B20" i="20"/>
  <c r="C19" i="10"/>
  <c r="B19" i="10"/>
  <c r="B19" i="5"/>
  <c r="B20" i="3"/>
  <c r="C20" i="3"/>
  <c r="D20" i="3"/>
  <c r="E20" i="3"/>
  <c r="F20" i="3"/>
  <c r="G20" i="3"/>
  <c r="H20" i="3"/>
  <c r="I20" i="3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B18" i="11"/>
  <c r="D19" i="10"/>
  <c r="E19" i="10"/>
  <c r="F19" i="10"/>
  <c r="G19" i="10"/>
  <c r="H19" i="10"/>
  <c r="I19" i="10"/>
  <c r="J19" i="10"/>
  <c r="K19" i="10"/>
  <c r="L19" i="10"/>
  <c r="M19" i="10"/>
  <c r="D20" i="51"/>
  <c r="E20" i="51"/>
  <c r="F20" i="51"/>
  <c r="G20" i="51"/>
  <c r="H20" i="51"/>
  <c r="I20" i="51"/>
  <c r="J20" i="51"/>
  <c r="K20" i="51"/>
  <c r="L20" i="51"/>
  <c r="M20" i="51"/>
  <c r="N20" i="51"/>
  <c r="O20" i="51"/>
  <c r="P20" i="51"/>
  <c r="Q20" i="51"/>
  <c r="H20" i="50"/>
  <c r="I20" i="50"/>
  <c r="J20" i="50"/>
  <c r="K20" i="50"/>
  <c r="L20" i="50"/>
  <c r="M20" i="50"/>
  <c r="N20" i="50"/>
  <c r="O20" i="50"/>
  <c r="P20" i="50"/>
  <c r="Q20" i="50"/>
  <c r="E20" i="50"/>
  <c r="F20" i="50"/>
  <c r="G20" i="50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B18" i="12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B18" i="13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B18" i="14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B18" i="15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B18" i="16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B18" i="17"/>
  <c r="C19" i="18"/>
  <c r="D19" i="18"/>
  <c r="E19" i="18"/>
  <c r="F19" i="18"/>
  <c r="G19" i="18"/>
  <c r="H19" i="18"/>
  <c r="I19" i="18"/>
  <c r="J19" i="18"/>
  <c r="K19" i="18"/>
  <c r="L19" i="18"/>
  <c r="M19" i="18"/>
  <c r="B19" i="1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B20" i="8"/>
  <c r="C22" i="6"/>
  <c r="D22" i="6"/>
  <c r="E22" i="6"/>
  <c r="F22" i="6"/>
  <c r="G22" i="6"/>
  <c r="H22" i="6"/>
  <c r="I22" i="6"/>
  <c r="J22" i="6"/>
  <c r="K22" i="6"/>
  <c r="B22" i="6"/>
  <c r="C21" i="7"/>
  <c r="D21" i="7"/>
  <c r="E21" i="7"/>
  <c r="F21" i="7"/>
  <c r="G21" i="7"/>
  <c r="H21" i="7"/>
  <c r="I21" i="7"/>
  <c r="J21" i="7"/>
  <c r="K21" i="7"/>
  <c r="L21" i="7"/>
  <c r="M21" i="7"/>
  <c r="B21" i="7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B19" i="4"/>
  <c r="M20" i="3"/>
  <c r="L20" i="3"/>
  <c r="K20" i="3"/>
  <c r="J20" i="3"/>
  <c r="L19" i="1"/>
  <c r="K19" i="1"/>
  <c r="J19" i="1"/>
  <c r="I19" i="1"/>
  <c r="H19" i="1"/>
  <c r="C19" i="1"/>
  <c r="D19" i="1"/>
  <c r="E19" i="1"/>
  <c r="F19" i="1"/>
  <c r="G19" i="1"/>
  <c r="B19" i="1"/>
  <c r="D20" i="50"/>
</calcChain>
</file>

<file path=xl/sharedStrings.xml><?xml version="1.0" encoding="utf-8"?>
<sst xmlns="http://schemas.openxmlformats.org/spreadsheetml/2006/main" count="4085" uniqueCount="716">
  <si>
    <t xml:space="preserve"> Holdings without land      </t>
  </si>
  <si>
    <t xml:space="preserve"> Holdings with land         </t>
  </si>
  <si>
    <t xml:space="preserve">    Under 0.1 ha            </t>
  </si>
  <si>
    <t xml:space="preserve">    0.1 ha and under 0.2 ha </t>
  </si>
  <si>
    <t xml:space="preserve">    0.2 ha and under 0.5 ha </t>
  </si>
  <si>
    <t xml:space="preserve">    0.5 ha and under 1   ha </t>
  </si>
  <si>
    <t xml:space="preserve">    1   ha and under 2   ha </t>
  </si>
  <si>
    <t xml:space="preserve">    2   ha and under 3   ha </t>
  </si>
  <si>
    <t xml:space="preserve">    3   ha and under 4   ha </t>
  </si>
  <si>
    <t xml:space="preserve">    4   ha and under 5   ha </t>
  </si>
  <si>
    <t xml:space="preserve">    5   ha and under 10  ha </t>
  </si>
  <si>
    <t xml:space="preserve">    10  ha and over         </t>
  </si>
  <si>
    <t xml:space="preserve"> Total                      </t>
  </si>
  <si>
    <t xml:space="preserve">   Number   </t>
  </si>
  <si>
    <t xml:space="preserve">    Wet    </t>
  </si>
  <si>
    <t xml:space="preserve">    Dry    </t>
  </si>
  <si>
    <t xml:space="preserve">   Total   </t>
  </si>
  <si>
    <t xml:space="preserve">     2-3   </t>
  </si>
  <si>
    <t xml:space="preserve">    4-5    </t>
  </si>
  <si>
    <t xml:space="preserve">    6-9    </t>
  </si>
  <si>
    <t xml:space="preserve"> 10 and over </t>
  </si>
  <si>
    <t>Area (ha)</t>
  </si>
  <si>
    <t>Fragmentation</t>
  </si>
  <si>
    <t>Remarks: Holdings having area under crops less than 0.01355 ha (8 Dhurs) in Terai or 0.01272 ha (4 Aanas) in Hilly and Mountainous region</t>
  </si>
  <si>
    <t xml:space="preserve">               are included in the category 'Holdings without land'.</t>
  </si>
  <si>
    <t xml:space="preserve">               Details may not add up to totals due to rounding.    </t>
  </si>
  <si>
    <t xml:space="preserve">Total no. of parcels  </t>
  </si>
  <si>
    <t xml:space="preserve">Average no. of parcels  </t>
  </si>
  <si>
    <t>Holdings</t>
  </si>
  <si>
    <t>Table 1. Number, area and fragmentation of holdings by total area of holding</t>
  </si>
  <si>
    <t>Total area of holding</t>
  </si>
  <si>
    <t>Number of holdings consisting of parcels</t>
  </si>
  <si>
    <t>NEPAL</t>
  </si>
  <si>
    <t xml:space="preserve"> NATIONAL SAMPLE CENSUS OF AGRICULTURE 2021/22</t>
  </si>
  <si>
    <t>NATIONAL SAMPLE CENSUS OF AGRICULTURE 2021/22</t>
  </si>
  <si>
    <t>Tenure forms</t>
  </si>
  <si>
    <t>One tenure forms</t>
  </si>
  <si>
    <t>More than one tenure forms</t>
  </si>
  <si>
    <t>Owned</t>
  </si>
  <si>
    <t>Rented from others</t>
  </si>
  <si>
    <t>Other tenure forms</t>
  </si>
  <si>
    <t>No. of holdings</t>
  </si>
  <si>
    <t>Number</t>
  </si>
  <si>
    <t>Rented</t>
  </si>
  <si>
    <t>Other tenure</t>
  </si>
  <si>
    <t>Number of holdings</t>
  </si>
  <si>
    <t>Under one tenure form - rented from others</t>
  </si>
  <si>
    <t>Total</t>
  </si>
  <si>
    <t>Rented for fixed amount of money</t>
  </si>
  <si>
    <t>Rented in exchange for services</t>
  </si>
  <si>
    <t>Rented for mortgage</t>
  </si>
  <si>
    <t>Other rental arrangements</t>
  </si>
  <si>
    <t>Area     (ha)</t>
  </si>
  <si>
    <t xml:space="preserve">Holdings without land      </t>
  </si>
  <si>
    <t xml:space="preserve">Holdings with land         </t>
  </si>
  <si>
    <t xml:space="preserve">   Under 0.1 ha            </t>
  </si>
  <si>
    <t xml:space="preserve">   0.1 ha and under 0.2 ha </t>
  </si>
  <si>
    <t xml:space="preserve">   0.2 ha and under 0.5 ha </t>
  </si>
  <si>
    <t xml:space="preserve">   0.5 ha and under 1   ha </t>
  </si>
  <si>
    <t xml:space="preserve">   1   ha and under 2   ha </t>
  </si>
  <si>
    <t xml:space="preserve">   2   ha and under 3   ha </t>
  </si>
  <si>
    <t xml:space="preserve">   3   ha and under 4   ha </t>
  </si>
  <si>
    <t xml:space="preserve">   4   ha and under 5   ha </t>
  </si>
  <si>
    <t xml:space="preserve">   5   ha and under 10  ha </t>
  </si>
  <si>
    <t xml:space="preserve">   10  ha and over         </t>
  </si>
  <si>
    <t xml:space="preserve">Total                      </t>
  </si>
  <si>
    <t xml:space="preserve">Table 3. Number, area and land use by total area of holding </t>
  </si>
  <si>
    <t>Land used for agriculture</t>
  </si>
  <si>
    <t>Agricultural land</t>
  </si>
  <si>
    <t>Crop land</t>
  </si>
  <si>
    <t>Arable land</t>
  </si>
  <si>
    <t>Area under temporary crops</t>
  </si>
  <si>
    <t>Area under temporary fallow</t>
  </si>
  <si>
    <t>Total area under arable land</t>
  </si>
  <si>
    <t>Ponds</t>
  </si>
  <si>
    <t>Other land not elsewhere classified</t>
  </si>
  <si>
    <t>Land under farm buildings and farmyards</t>
  </si>
  <si>
    <t>Land under permanent crops</t>
  </si>
  <si>
    <t xml:space="preserve">Table 4. Number, area, number of holdings reporting and area irrigated by source of irrigation and total area of holding </t>
  </si>
  <si>
    <t>Irrigation by source</t>
  </si>
  <si>
    <t>No. of holdings reporting</t>
  </si>
  <si>
    <t>River/lake/pond</t>
  </si>
  <si>
    <t>Tube well/boring</t>
  </si>
  <si>
    <t>Others</t>
  </si>
  <si>
    <t>Mixed</t>
  </si>
  <si>
    <t>By gravity</t>
  </si>
  <si>
    <t>By pumping</t>
  </si>
  <si>
    <t>Land rented out to other</t>
  </si>
  <si>
    <t>Table 5. Number, area of holdings and crop stand by total area of holding</t>
  </si>
  <si>
    <t>Crops under pure stand</t>
  </si>
  <si>
    <t>Crops under mixed stand</t>
  </si>
  <si>
    <t>Associated crops</t>
  </si>
  <si>
    <t>Temporary</t>
  </si>
  <si>
    <t>Permanent</t>
  </si>
  <si>
    <t>Table 6. Number, area of holdings, number of holdings reporting and area under temporary crops by total area of holding</t>
  </si>
  <si>
    <t>Leguminous grains</t>
  </si>
  <si>
    <t>Tubers and bulb crops</t>
  </si>
  <si>
    <t>Oil seeds</t>
  </si>
  <si>
    <t>Cash crops</t>
  </si>
  <si>
    <t>Spices</t>
  </si>
  <si>
    <t>Vegetables</t>
  </si>
  <si>
    <t>Early paddy</t>
  </si>
  <si>
    <t>Main paddy</t>
  </si>
  <si>
    <t>Upland paddy</t>
  </si>
  <si>
    <t>Wheat</t>
  </si>
  <si>
    <t>Spring/winter maize</t>
  </si>
  <si>
    <t>Summer maize</t>
  </si>
  <si>
    <t>Green maize</t>
  </si>
  <si>
    <t>Millet</t>
  </si>
  <si>
    <t>Barley/naked barley</t>
  </si>
  <si>
    <t>Buckwheat</t>
  </si>
  <si>
    <t>Other cereals</t>
  </si>
  <si>
    <t>Soyabeans</t>
  </si>
  <si>
    <t>Black grams</t>
  </si>
  <si>
    <t>Red grams</t>
  </si>
  <si>
    <t>Grass pea</t>
  </si>
  <si>
    <t>Lentil</t>
  </si>
  <si>
    <t>Gram</t>
  </si>
  <si>
    <t>Pea</t>
  </si>
  <si>
    <t>Green gram</t>
  </si>
  <si>
    <t>Horse gram</t>
  </si>
  <si>
    <t>Cow pea</t>
  </si>
  <si>
    <t>Other leguminous crops</t>
  </si>
  <si>
    <t>Winter potato</t>
  </si>
  <si>
    <t>Summer potato</t>
  </si>
  <si>
    <t>Sweet potato</t>
  </si>
  <si>
    <t>Colocasia</t>
  </si>
  <si>
    <t>Other tubers and bulbs</t>
  </si>
  <si>
    <t>Mustard</t>
  </si>
  <si>
    <t>Ground nut</t>
  </si>
  <si>
    <t>Linseed</t>
  </si>
  <si>
    <t>Sesame</t>
  </si>
  <si>
    <t>Niger seed</t>
  </si>
  <si>
    <t>Other oil seeds</t>
  </si>
  <si>
    <t>Sugarcane</t>
  </si>
  <si>
    <t>Jute</t>
  </si>
  <si>
    <t>Tobacco</t>
  </si>
  <si>
    <t>Other cash crops</t>
  </si>
  <si>
    <t>Chili</t>
  </si>
  <si>
    <t>Onion</t>
  </si>
  <si>
    <t>Garlic</t>
  </si>
  <si>
    <t>Ginger</t>
  </si>
  <si>
    <t>Turmeric</t>
  </si>
  <si>
    <t>Coriander seed</t>
  </si>
  <si>
    <t>Other spices</t>
  </si>
  <si>
    <t>Cauliflower</t>
  </si>
  <si>
    <t>Cabbage</t>
  </si>
  <si>
    <t>Tomato</t>
  </si>
  <si>
    <t>Other temporary crops</t>
  </si>
  <si>
    <t xml:space="preserve">Table 7. Plantation features and ages of different permanent crops by total area of holding </t>
  </si>
  <si>
    <t>Permanent crops</t>
  </si>
  <si>
    <t>Compact plantation area (ha)</t>
  </si>
  <si>
    <t>Compact plantation</t>
  </si>
  <si>
    <t>Number of scattered trees</t>
  </si>
  <si>
    <t>Productive age</t>
  </si>
  <si>
    <t>Non-productive age</t>
  </si>
  <si>
    <t>Number of trees</t>
  </si>
  <si>
    <t>Orange</t>
  </si>
  <si>
    <t>Total holdings reporting</t>
  </si>
  <si>
    <t>Junar</t>
  </si>
  <si>
    <t>Table 7_2. Plantation features and ages of junar by total area of holding</t>
  </si>
  <si>
    <t>Table 7_1. Plantation features and ages of orange by total area of holding</t>
  </si>
  <si>
    <t>Lemon</t>
  </si>
  <si>
    <t>Table 7_3. Plantation features and ages of lemon by total area of holding</t>
  </si>
  <si>
    <t>Lime</t>
  </si>
  <si>
    <t xml:space="preserve">Table 7_4. Plantation features and ages of lime by total area of holding </t>
  </si>
  <si>
    <t>Sweet Orange</t>
  </si>
  <si>
    <t xml:space="preserve">Table 7_5. Plantation features and ages of sweet orange by total area of holding </t>
  </si>
  <si>
    <t>Other Citrus</t>
  </si>
  <si>
    <t>Table 7_6. Plantation features and ages of other citrus by total area of holding</t>
  </si>
  <si>
    <t>Mango</t>
  </si>
  <si>
    <t xml:space="preserve">Table 7_7. Plantation features and ages of mango by total area of holding </t>
  </si>
  <si>
    <t>Banana</t>
  </si>
  <si>
    <t xml:space="preserve">Table 7_8. Plantation features and ages of banana by total area of holding </t>
  </si>
  <si>
    <t>Guava</t>
  </si>
  <si>
    <t>Table 7_9. Plantation features and ages of guava by total area of holding</t>
  </si>
  <si>
    <t>Jackfruit</t>
  </si>
  <si>
    <t>Table 7_10. Plantation features and ages of jackfruit by total area of holding</t>
  </si>
  <si>
    <t>Pineapple</t>
  </si>
  <si>
    <t>Table 7_11. Plantation features and ages of pineapple by total area of holding</t>
  </si>
  <si>
    <t>Lychee</t>
  </si>
  <si>
    <t xml:space="preserve">Table 7_12. Plantation features and ages of lychee by total area of holding </t>
  </si>
  <si>
    <t>Apple</t>
  </si>
  <si>
    <t>Table 7_13. Plantation features and ages of apple by total area of holding</t>
  </si>
  <si>
    <t>Pear</t>
  </si>
  <si>
    <t>Table 7_14. Plantation features and ages of pear by total area of holding</t>
  </si>
  <si>
    <t>Peach</t>
  </si>
  <si>
    <t>Table 7_15. Plantation features and ages of peach by total area of holding</t>
  </si>
  <si>
    <t>Papaya</t>
  </si>
  <si>
    <t>Table 7_16. Plantation features and ages of papaya by total area of holding</t>
  </si>
  <si>
    <t>Pomegranate</t>
  </si>
  <si>
    <t>Table 7_17. Plantation features and ages of pomegranate by total area of holding</t>
  </si>
  <si>
    <t>Coconut</t>
  </si>
  <si>
    <t>Walnut</t>
  </si>
  <si>
    <t>Betel nut</t>
  </si>
  <si>
    <t>Table 7_20. Plantation features and ages of betel nut by total area of holding</t>
  </si>
  <si>
    <t>Table 7_19. Plantation features and ages of walnut by total area of holding</t>
  </si>
  <si>
    <t>Table 7_18. Plantation features and ages of coconut by total area of holding</t>
  </si>
  <si>
    <t>Kiwifruit</t>
  </si>
  <si>
    <t>Table 7_21. Plantation features and ages of kiwifruit by total area of holding</t>
  </si>
  <si>
    <t>Avocado</t>
  </si>
  <si>
    <t>Table 7_22. Plantation features and ages of avocado by total area of holding</t>
  </si>
  <si>
    <t>Plum</t>
  </si>
  <si>
    <t>Table 7_23. Plantation features and ages of plum by total area of holding</t>
  </si>
  <si>
    <t>Table 7_24. Plantation features and ages of other fruit by total area of holding</t>
  </si>
  <si>
    <t>Tea</t>
  </si>
  <si>
    <t>Coffee</t>
  </si>
  <si>
    <t>Cardamom</t>
  </si>
  <si>
    <t>Broom-Grass (Amriso)</t>
  </si>
  <si>
    <t>Thatch</t>
  </si>
  <si>
    <t>Bamboo</t>
  </si>
  <si>
    <t>Multi-year grass crops</t>
  </si>
  <si>
    <t>Table 7_27. Plantation features and ages of cardamom by total area of holding</t>
  </si>
  <si>
    <t>Table 7_26. Plantation features and ages of coffee by total area of holding</t>
  </si>
  <si>
    <t>Table 7_25. Plantation features and ages of tea by total area of holding</t>
  </si>
  <si>
    <t>Table 8. Number, area of holdings, number of holdings reporting, use of agricultural inputs, area treated with and quantity of chemical/mineral fertilizer used by total area of holding</t>
  </si>
  <si>
    <t>Paddy</t>
  </si>
  <si>
    <t>Seeds</t>
  </si>
  <si>
    <t xml:space="preserve">Pesticides   </t>
  </si>
  <si>
    <t>Fertilizers used</t>
  </si>
  <si>
    <t>Area treated with mineral/ chemical fertilizers and quantity used</t>
  </si>
  <si>
    <t>No. of holdings using</t>
  </si>
  <si>
    <t>No. of holdings by type</t>
  </si>
  <si>
    <t>Local seeds</t>
  </si>
  <si>
    <t>Improved seeds</t>
  </si>
  <si>
    <t>Hybrid seeds</t>
  </si>
  <si>
    <t>Local fertilizer</t>
  </si>
  <si>
    <t>Mineral/ chemical fertilizer</t>
  </si>
  <si>
    <t>Both</t>
  </si>
  <si>
    <t>Maize</t>
  </si>
  <si>
    <t>Table 8. Number, area of holdings, number of holdings reporting, use of agricultural inputs, area treated with and quantity of chemical/mineral fertilizer used by total area of holding (Continued 2)</t>
  </si>
  <si>
    <t>Table 8. Number, area of holdings, number of holdings reporting, use of agricultural inputs, area treated with and quantity of chemical/mineral fertilizer used by total area of holding (Continued 1)</t>
  </si>
  <si>
    <t>Potato</t>
  </si>
  <si>
    <t>Table 8. Number, area of holdings, number of holdings reporting, use of agricultural inputs, area treated with and quantity of chemical/mineral fertilizer used by total area of holding (Continued 3)</t>
  </si>
  <si>
    <t>Vegetable</t>
  </si>
  <si>
    <t>Table 8. Number, area of holdings, number of holdings reporting, use of agricultural inputs, area treated with and quantity of chemical/mineral fertilizer used by total area of holding (Continued 4)</t>
  </si>
  <si>
    <t>Cattle</t>
  </si>
  <si>
    <t>All ages</t>
  </si>
  <si>
    <t>Under one year</t>
  </si>
  <si>
    <t>Male</t>
  </si>
  <si>
    <t>Female</t>
  </si>
  <si>
    <t>Number of heads</t>
  </si>
  <si>
    <t>Local</t>
  </si>
  <si>
    <t>Improved</t>
  </si>
  <si>
    <t>No. of head</t>
  </si>
  <si>
    <t>Sheep</t>
  </si>
  <si>
    <t>Goat</t>
  </si>
  <si>
    <t>Buffalo</t>
  </si>
  <si>
    <t>Yak/Nak/Chauri</t>
  </si>
  <si>
    <t>Other</t>
  </si>
  <si>
    <t>Three years and over</t>
  </si>
  <si>
    <t>Yak/Nak/Chaunri</t>
  </si>
  <si>
    <t>One to under three year</t>
  </si>
  <si>
    <t>One to under three years</t>
  </si>
  <si>
    <t>Under six months</t>
  </si>
  <si>
    <t>Six months and over</t>
  </si>
  <si>
    <t>No. of heads</t>
  </si>
  <si>
    <t>Horses</t>
  </si>
  <si>
    <t>Mules</t>
  </si>
  <si>
    <t>Cow/Buffalo</t>
  </si>
  <si>
    <t>Grazing</t>
  </si>
  <si>
    <t>Grass/Hay</t>
  </si>
  <si>
    <t>Domestic feed</t>
  </si>
  <si>
    <t>Purchased feed</t>
  </si>
  <si>
    <t>Goat/Himalayan goat/Sheep</t>
  </si>
  <si>
    <t>No. of holding</t>
  </si>
  <si>
    <t>No. of holding reporting major feeding practice</t>
  </si>
  <si>
    <t>Number of birds</t>
  </si>
  <si>
    <t>Broiler</t>
  </si>
  <si>
    <t>Layers</t>
  </si>
  <si>
    <t>Giriraj</t>
  </si>
  <si>
    <t>Laying eggs</t>
  </si>
  <si>
    <t>Not laying eggs</t>
  </si>
  <si>
    <t>Other birds</t>
  </si>
  <si>
    <t>Duck</t>
  </si>
  <si>
    <t>Pigeon</t>
  </si>
  <si>
    <t>Laukat</t>
  </si>
  <si>
    <t>Quail</t>
  </si>
  <si>
    <t>Turkey</t>
  </si>
  <si>
    <t>No. of birds</t>
  </si>
  <si>
    <t>Table 9. Number of heads, number of holdings reporting livestock according to age, sex and breed by total area of holding</t>
  </si>
  <si>
    <t>Table 9. Number of heads, number of holdings reporting livestock according to age, sex and breed by total area of holding (Continued)</t>
  </si>
  <si>
    <t>Table 9a. Number of heads, number of holdings reporting livestocks according to age, sex and breed by total area of holding</t>
  </si>
  <si>
    <t>Table 9b. Number of heads, number of holdings reporting livestock according to age, sex and breed by total area of holding</t>
  </si>
  <si>
    <t xml:space="preserve">Table 9d. Number of heads, number of holdings reporting livestocks according to age and sex and breed by total area of holding </t>
  </si>
  <si>
    <t>Table 9d. Number of heads, number of holdings reporting livestocks according to age and sex and breed by total area of holding (Continued)</t>
  </si>
  <si>
    <t xml:space="preserve">Table 9e. Number of heads, number of holdings reporting livestocks according to age and sex and breed by total area of holding </t>
  </si>
  <si>
    <t xml:space="preserve">Table 9f. Number of heads, number of holdings reporting livestocks according to age and sex and breed by total area of holding </t>
  </si>
  <si>
    <t>Table 9f. Number of heads, number of holdings reporting livestocks according to age and sex and breed by total area of holding (Continued)</t>
  </si>
  <si>
    <t xml:space="preserve">Table 9g. Number of heads, number of holdings reporting livestocks according to age and sex and breed by total area of holding </t>
  </si>
  <si>
    <t xml:space="preserve">Table 10. Number of holdings reporting major feeding practice for livestocks by total area of holding </t>
  </si>
  <si>
    <t xml:space="preserve">Table 12. Number of holdings reporting major feeding practice for the poultry by total area of holding </t>
  </si>
  <si>
    <t>Poultry</t>
  </si>
  <si>
    <t>No. of holdings reporting the use</t>
  </si>
  <si>
    <t>For keeping poultry</t>
  </si>
  <si>
    <t>For keeping livestock</t>
  </si>
  <si>
    <t>Fully-managed</t>
  </si>
  <si>
    <t>Semi-managed</t>
  </si>
  <si>
    <t>Unmanaged</t>
  </si>
  <si>
    <t>For other purposes</t>
  </si>
  <si>
    <t>Power tillers</t>
  </si>
  <si>
    <t>Shallow tube well</t>
  </si>
  <si>
    <t>Deep tube well</t>
  </si>
  <si>
    <t>Tractor</t>
  </si>
  <si>
    <t>Thresher</t>
  </si>
  <si>
    <t>Sprayer</t>
  </si>
  <si>
    <t>Milking machine</t>
  </si>
  <si>
    <t>Wheel barrow</t>
  </si>
  <si>
    <t>Table 14. Number, area of holdings, number of agricultural implements and other facilities according to source by total area of holding</t>
  </si>
  <si>
    <t>Common</t>
  </si>
  <si>
    <t>Other's</t>
  </si>
  <si>
    <t>Rower/Dhiki pump</t>
  </si>
  <si>
    <t>Table 14. Number, area of holdings, number of agricultural implements and other facilities according to source by total area of holding (Continued 2)</t>
  </si>
  <si>
    <t>Table 14. Number, area of holdings, number of agricultural implements and other facilities according to source by total area of holding (Continued 1)</t>
  </si>
  <si>
    <t>Animal drawn cart</t>
  </si>
  <si>
    <t>Table 14. Number, area of holdings, number of agricultural implements and other facilities according to source by total area of holding (Continued 3)</t>
  </si>
  <si>
    <t>Table 14. Number, area of holdings, number of agricultural implements and other facilities according to source by total area of holding (Continued 4)</t>
  </si>
  <si>
    <t>Pump set</t>
  </si>
  <si>
    <t>Number of Holdings</t>
  </si>
  <si>
    <t>Mushroom farming</t>
  </si>
  <si>
    <t>No. of pond</t>
  </si>
  <si>
    <t>Pond area (ha)</t>
  </si>
  <si>
    <t>Fish farming in pond</t>
  </si>
  <si>
    <t>Bee keeping</t>
  </si>
  <si>
    <t>Total Area of Holding</t>
  </si>
  <si>
    <t xml:space="preserve">  Permanent basis</t>
  </si>
  <si>
    <t xml:space="preserve">  Exchange of labour basis</t>
  </si>
  <si>
    <t xml:space="preserve"> No . of agriculture workers</t>
  </si>
  <si>
    <t xml:space="preserve">Male </t>
  </si>
  <si>
    <t xml:space="preserve">Female </t>
  </si>
  <si>
    <t>Contract basis</t>
  </si>
  <si>
    <t>Cooperatives</t>
  </si>
  <si>
    <t>Farmer's group</t>
  </si>
  <si>
    <t>Women's group</t>
  </si>
  <si>
    <t>Relatives</t>
  </si>
  <si>
    <t>Traders</t>
  </si>
  <si>
    <t>Irrigation</t>
  </si>
  <si>
    <t>Fisheries</t>
  </si>
  <si>
    <t>Total number of holdings</t>
  </si>
  <si>
    <t>Livestock farming</t>
  </si>
  <si>
    <t>Poultry farming</t>
  </si>
  <si>
    <t>No of holdings received government subsidy</t>
  </si>
  <si>
    <t>Chemical fertilizer</t>
  </si>
  <si>
    <t>Organic manure</t>
  </si>
  <si>
    <t>Improved breed</t>
  </si>
  <si>
    <t>Agro- forestry on the holding</t>
  </si>
  <si>
    <t>Soil erosion</t>
  </si>
  <si>
    <t>Chemical degradation</t>
  </si>
  <si>
    <t>Physical degradation</t>
  </si>
  <si>
    <t>Type of soil degradation</t>
  </si>
  <si>
    <t>No. of holdings reporting soil test during last three year</t>
  </si>
  <si>
    <t>Temporary crop</t>
  </si>
  <si>
    <t>Permanent crop</t>
  </si>
  <si>
    <t>Total no. of holdings</t>
  </si>
  <si>
    <t xml:space="preserve"> No. of holdings reporting </t>
  </si>
  <si>
    <t>Decrease in production</t>
  </si>
  <si>
    <t>Increase in production</t>
  </si>
  <si>
    <t>Change in taste</t>
  </si>
  <si>
    <t>Heavy and light rain</t>
  </si>
  <si>
    <t>Change in breeding time</t>
  </si>
  <si>
    <t>Increase in disease/ insect</t>
  </si>
  <si>
    <t>Composting</t>
  </si>
  <si>
    <t>No treatment</t>
  </si>
  <si>
    <t>Number of holdings by holder's age and sex</t>
  </si>
  <si>
    <t>Under 15 years</t>
  </si>
  <si>
    <t>15 - 24 years</t>
  </si>
  <si>
    <t>25 - 34 years</t>
  </si>
  <si>
    <t>35 - 44 years</t>
  </si>
  <si>
    <t>45 - 54 years</t>
  </si>
  <si>
    <t>55 - 64 years</t>
  </si>
  <si>
    <t>65 years and over</t>
  </si>
  <si>
    <t>All Ages</t>
  </si>
  <si>
    <t>15 - 24 Years</t>
  </si>
  <si>
    <t>25 - 34 Years</t>
  </si>
  <si>
    <t>35 - 44 Years</t>
  </si>
  <si>
    <t>45 - 54 Years</t>
  </si>
  <si>
    <t>55 - 64 Years</t>
  </si>
  <si>
    <t>65 Years and Over</t>
  </si>
  <si>
    <t>Farm Population</t>
  </si>
  <si>
    <t>Under 10 Years</t>
  </si>
  <si>
    <t>10 - 14 Years</t>
  </si>
  <si>
    <t>Table 26. Farm Population by age, sex and total area of holding (Continued)</t>
  </si>
  <si>
    <t xml:space="preserve">Table 27. Education attainment of the farm population (5 years and above) by sex and total area of holding </t>
  </si>
  <si>
    <t>Table 27. Education attainment of the farm population (5 years and above) by sex and total area of holding (Continued)</t>
  </si>
  <si>
    <t>Total area of hoding</t>
  </si>
  <si>
    <t>Armed forces</t>
  </si>
  <si>
    <t>Managers</t>
  </si>
  <si>
    <t>Professionals</t>
  </si>
  <si>
    <t>Technicians and associate professionals</t>
  </si>
  <si>
    <t>Clerical support workers</t>
  </si>
  <si>
    <t>Service and sales workers</t>
  </si>
  <si>
    <t>Holding without land</t>
  </si>
  <si>
    <t>Holding with land</t>
  </si>
  <si>
    <t>under 0.1 ha</t>
  </si>
  <si>
    <t>0.1 ha and under 0.2 ha</t>
  </si>
  <si>
    <t>0.2 ha and under 0.5 ha</t>
  </si>
  <si>
    <t>0.5 ha and under 1 ha</t>
  </si>
  <si>
    <t>1  ha and under 2 ha</t>
  </si>
  <si>
    <t>2  ha and under 3 ha</t>
  </si>
  <si>
    <t>3  ha and under 4 ha</t>
  </si>
  <si>
    <t>4  ha and under 5 ha</t>
  </si>
  <si>
    <t>5  ha and under 10  ha</t>
  </si>
  <si>
    <t>10  ha and over</t>
  </si>
  <si>
    <t>Craft and related trades workers</t>
  </si>
  <si>
    <t>Plant and machine operators and assemblers</t>
  </si>
  <si>
    <t>Unskilled workers at elementary occupation</t>
  </si>
  <si>
    <t>Table 29. Occupational distribution of farm population other than holder (10 years and above)  by sex  and total area of holding (Continued)</t>
  </si>
  <si>
    <t>Less than half (&lt;40%)</t>
  </si>
  <si>
    <t>About half (40%-59%)</t>
  </si>
  <si>
    <t>Most (60%-99%)</t>
  </si>
  <si>
    <t>All (100%)</t>
  </si>
  <si>
    <t>Not spent at all</t>
  </si>
  <si>
    <t xml:space="preserve">Total </t>
  </si>
  <si>
    <t>Total (10 years and above)</t>
  </si>
  <si>
    <t>Main source of income in the household</t>
  </si>
  <si>
    <t>Agriculture</t>
  </si>
  <si>
    <t>Non-agriculture</t>
  </si>
  <si>
    <t>Period of insufficiency</t>
  </si>
  <si>
    <t>1 to 3 Months</t>
  </si>
  <si>
    <t>4 to 6 Months</t>
  </si>
  <si>
    <t>7 to 9 Months</t>
  </si>
  <si>
    <t>10 to 12 Months</t>
  </si>
  <si>
    <t>Own non-agriculture business</t>
  </si>
  <si>
    <t>Pension</t>
  </si>
  <si>
    <t>Less than 25%</t>
  </si>
  <si>
    <t>25%-49%</t>
  </si>
  <si>
    <t>50%-74%</t>
  </si>
  <si>
    <t>75%-100%</t>
  </si>
  <si>
    <t>Total Number of Holdings</t>
  </si>
  <si>
    <t>Single-holding household</t>
  </si>
  <si>
    <t>Multi-holding household</t>
  </si>
  <si>
    <t>Partnership of two or more household</t>
  </si>
  <si>
    <t>Irrigation around the year</t>
  </si>
  <si>
    <t>Other permanent crop</t>
  </si>
  <si>
    <t>For breed</t>
  </si>
  <si>
    <t>For agriculture work</t>
  </si>
  <si>
    <t xml:space="preserve"> For breed</t>
  </si>
  <si>
    <t>For meat</t>
  </si>
  <si>
    <t>Number of buildings by ownership</t>
  </si>
  <si>
    <t>Number of buildings by stracture</t>
  </si>
  <si>
    <t xml:space="preserve">Table 13. Number of holdings reporting the use and number of non-residential buildings by ownership and structure by total area of holding </t>
  </si>
  <si>
    <t>Table 13. Number of holdings reporting the use and number of non-residential buildings by ownership and structure by total area of holding (Continued)</t>
  </si>
  <si>
    <t>Number of holdings with loan by source</t>
  </si>
  <si>
    <t>No. of holdings with agricultural loan</t>
  </si>
  <si>
    <t>No. of holding by main purpose of loan</t>
  </si>
  <si>
    <t>Livestock/ poultry farming</t>
  </si>
  <si>
    <t>Agricultural equipments</t>
  </si>
  <si>
    <t>Agriculture infrastructure</t>
  </si>
  <si>
    <t>Cereal crop</t>
  </si>
  <si>
    <t>Vegetable crop</t>
  </si>
  <si>
    <t>Cash crop</t>
  </si>
  <si>
    <t>Area (ha.)</t>
  </si>
  <si>
    <t xml:space="preserve">Green house/tunnel farming </t>
  </si>
  <si>
    <t>Change in cultivating time</t>
  </si>
  <si>
    <t>Baisakh</t>
  </si>
  <si>
    <t>Jestha</t>
  </si>
  <si>
    <t>Bhadra</t>
  </si>
  <si>
    <t>Kartik</t>
  </si>
  <si>
    <t>Poush</t>
  </si>
  <si>
    <t>Magh</t>
  </si>
  <si>
    <t>Chaitra</t>
  </si>
  <si>
    <t>Falgun</t>
  </si>
  <si>
    <t>Ashar</t>
  </si>
  <si>
    <t>Shrawan</t>
  </si>
  <si>
    <t>Ashwin</t>
  </si>
  <si>
    <t>Marga</t>
  </si>
  <si>
    <t>30 to 59 minutes</t>
  </si>
  <si>
    <t>1 - 2 hours</t>
  </si>
  <si>
    <t>More than 2 hours</t>
  </si>
  <si>
    <t>Not required / sold from holding</t>
  </si>
  <si>
    <t>Disappearing/ emerging new species</t>
  </si>
  <si>
    <t>Cereal crops</t>
  </si>
  <si>
    <t>Main occupation of holder</t>
  </si>
  <si>
    <t>Main occupation of farm member other than holder</t>
  </si>
  <si>
    <t xml:space="preserve">Table 32. Number of holdings reporting main production of the holdings by total area  of  holding </t>
  </si>
  <si>
    <t>Number of holdings reporting main production of holdings</t>
  </si>
  <si>
    <t>Cereal</t>
  </si>
  <si>
    <t>Fruits</t>
  </si>
  <si>
    <t>Oil seed</t>
  </si>
  <si>
    <t xml:space="preserve">Livestock </t>
  </si>
  <si>
    <t>Fishery</t>
  </si>
  <si>
    <t>Floriculture</t>
  </si>
  <si>
    <t xml:space="preserve">Vegetable crop </t>
  </si>
  <si>
    <t>Bycycle/Rickshaw</t>
  </si>
  <si>
    <t>Motorcycle/Tempo</t>
  </si>
  <si>
    <t>Jeep/Car/Bus</t>
  </si>
  <si>
    <t>Mixed(foot/Vehicle)</t>
  </si>
  <si>
    <t>Market next to household</t>
  </si>
  <si>
    <t>Maining and quarrying</t>
  </si>
  <si>
    <t>Manufacturing</t>
  </si>
  <si>
    <t>Water supply: sewerage, waste management and remediation activities</t>
  </si>
  <si>
    <t>Construction</t>
  </si>
  <si>
    <t>Wholesale and retail trade; repaire of motor vehicles and motorcycles</t>
  </si>
  <si>
    <t>Transportation and storage</t>
  </si>
  <si>
    <t>Information and communication</t>
  </si>
  <si>
    <t>No. of holdings reporting month for food shortage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</si>
  <si>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</si>
  <si>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</si>
  <si>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</si>
  <si>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</si>
  <si>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Education</t>
  </si>
  <si>
    <t>Human health and social work activities</t>
  </si>
  <si>
    <t>Art, entertainment and recreation</t>
  </si>
  <si>
    <t>Other service activities</t>
  </si>
  <si>
    <t>Activities of household as employers</t>
  </si>
  <si>
    <t>Table 2. Number, area of holdings by tenure and total area of holding</t>
  </si>
  <si>
    <t>Other vegetables</t>
  </si>
  <si>
    <t>Fodder Tree</t>
  </si>
  <si>
    <t>Qty (Quintal)</t>
  </si>
  <si>
    <t>Pig/Boar</t>
  </si>
  <si>
    <t>Corn thresher mechine</t>
  </si>
  <si>
    <t>Groomer</t>
  </si>
  <si>
    <t>Grading mechine</t>
  </si>
  <si>
    <t>Early childhood</t>
  </si>
  <si>
    <t>Primary (1 to 5 class)</t>
  </si>
  <si>
    <t>Upper secondary (9 to 10 class)</t>
  </si>
  <si>
    <t>Lower secondary (6 to 8 class)</t>
  </si>
  <si>
    <t>S.L.C./S.E.E &amp; equivalent</t>
  </si>
  <si>
    <t>Graduate &amp; equivalent</t>
  </si>
  <si>
    <t>Post graduate equivalent &amp; above</t>
  </si>
  <si>
    <t>Table 38. Number of holdings reporting time taken to reach the nearest agriculture market by mode of transport and total area of holding</t>
  </si>
  <si>
    <t>Table 38. Number of holdings reporting time taken to reach the nearest agriculture market by mode of transport and total area of holding (Continued 1)</t>
  </si>
  <si>
    <t>Table 38. Number of holdings reporting time taken to reach the nearest agriculture market by mode of transport and total area of holding (Continued 2)</t>
  </si>
  <si>
    <t>Illiterate</t>
  </si>
  <si>
    <t>Literate (non-formanl eductaion)</t>
  </si>
  <si>
    <t>Bean</t>
  </si>
  <si>
    <t>Asses/Donkey</t>
  </si>
  <si>
    <t>Poultry (birds)</t>
  </si>
  <si>
    <t>Other fruits</t>
  </si>
  <si>
    <t>Note: Institutional firms are not included.</t>
  </si>
  <si>
    <t>Land under permanent meadows and pasture</t>
  </si>
  <si>
    <t>Milking</t>
  </si>
  <si>
    <t xml:space="preserve">Not milking  </t>
  </si>
  <si>
    <t>Not milking</t>
  </si>
  <si>
    <t>Table 8. Number, area of holdings, number of holdings reporting, use of agricultural inputs, area treated with and quantity of chemical/mineral fertilizer used by total area of holding (Continued 5)</t>
  </si>
  <si>
    <t>Other crops</t>
  </si>
  <si>
    <t>Flouriculture/ Nursery</t>
  </si>
  <si>
    <t>Flouriculture</t>
  </si>
  <si>
    <t>Horticulture</t>
  </si>
  <si>
    <t>Intermediate &amp; equivalent</t>
  </si>
  <si>
    <t>Change in size of product</t>
  </si>
  <si>
    <t>Wage earnings (within country)</t>
  </si>
  <si>
    <t>Wage earnings (outside the country/ remitance)</t>
  </si>
  <si>
    <t>Rented for fixed quantity of production</t>
  </si>
  <si>
    <t>Rented for share of production</t>
  </si>
  <si>
    <t>Forest and other wooded land</t>
  </si>
  <si>
    <t>Area under temporary meadows and pastures</t>
  </si>
  <si>
    <t>Green (slightly toxic)</t>
  </si>
  <si>
    <t>Blue (moderately toxic)</t>
  </si>
  <si>
    <t>Yellow (highly toxic)</t>
  </si>
  <si>
    <t>Red (extremely toxic)</t>
  </si>
  <si>
    <t>Note: The number refers to the holding who had reported to have used at least one non-residential building during the reference year</t>
  </si>
  <si>
    <t xml:space="preserve">Custom </t>
  </si>
  <si>
    <t xml:space="preserve">Electricity </t>
  </si>
  <si>
    <t>Chyangra (Himalayan goat)</t>
  </si>
  <si>
    <t xml:space="preserve">Iron ploughs </t>
  </si>
  <si>
    <t xml:space="preserve">No. of holdings reporting the use </t>
  </si>
  <si>
    <t>Number of holdings  reporting</t>
  </si>
  <si>
    <t>Number of holdings reporting</t>
  </si>
  <si>
    <t>No of holdings reporting need for agriculture loan/ additional loan</t>
  </si>
  <si>
    <t>Total area of holdings</t>
  </si>
  <si>
    <t>Total area of holdings (ha)</t>
  </si>
  <si>
    <t>Goat/Chyangra (Himalayan goat)</t>
  </si>
  <si>
    <t>Table 14. Number, area of holdings, number of agricultural implements and other facilities according to source by total area of holding (Continued 5)</t>
  </si>
  <si>
    <t>Table 16. Number of holdings by type of employment of agricultural workers by sex and total area of holding</t>
  </si>
  <si>
    <t>Table 16. Number of holdings by type of employment of agricultural workers by sex and total area of holding (continued)</t>
  </si>
  <si>
    <t>Table 17. Number of holdings reporting agricultural loan by source and total area of holding</t>
  </si>
  <si>
    <t>Table 18. Number of holdings reporting insurance for different type of agricultural activities by total area of holding</t>
  </si>
  <si>
    <t xml:space="preserve">Table 20. Number, area of holdings and number of holdings reporting agro-forestry practice, soil degradation and soil test on the holding by total area of holding </t>
  </si>
  <si>
    <t xml:space="preserve">Table 21. Number, area of holdings and number of holdings reporting green house/tunnel farming practice on the holding by total area of holding </t>
  </si>
  <si>
    <t>Table 24. Number of holdings reporting by holder's age, sex and total area of holding</t>
  </si>
  <si>
    <t>Table 24. Number of holdings reporting by holder's age, sex and total area of holding (Continued)</t>
  </si>
  <si>
    <t>Table 36. Number of holdings reporting  name of month for insufficient food shortage by total area of holdings</t>
  </si>
  <si>
    <t>Percentage of agricultural income out of total household income</t>
  </si>
  <si>
    <t>Number by ownership (on the day of enumeration)</t>
  </si>
  <si>
    <t xml:space="preserve">Number by ownership (on the day of enumeration) </t>
  </si>
  <si>
    <t>Borrowing</t>
  </si>
  <si>
    <t xml:space="preserve"> On foot (without load)</t>
  </si>
  <si>
    <t>Total number of holdings reporting livestock</t>
  </si>
  <si>
    <t>Table 35. Number of holdings reporting  main source of income and sufficiency of income by total area of holding</t>
  </si>
  <si>
    <t>Total number of holdings reporting</t>
  </si>
  <si>
    <t xml:space="preserve"> Occasional  basis</t>
  </si>
  <si>
    <t>Table 7_28. Plantation features and ages of fodder tree and multi-year grass crop by total area of holding</t>
  </si>
  <si>
    <t>Table 7_29. Plantation features of broom-grass (amriso), thatch, bamboo and other permanent crops by total area of holding</t>
  </si>
  <si>
    <t>Table 6b. Number of holdings reporting and area under different temporary crops by total area of holding</t>
  </si>
  <si>
    <t>Table 6a. Number of holdings reporting and area under different temporary crops by total area of holding</t>
  </si>
  <si>
    <t xml:space="preserve">Table 6c. Number of holdings reporting and area under different temporary crops by total area of holding </t>
  </si>
  <si>
    <t xml:space="preserve">Table 6d. Number of holdings reporting and area under different temporary crops by total area of holding  </t>
  </si>
  <si>
    <t xml:space="preserve">Table 6e. Number of holdings reporting and area under different temporary crops by total area of holding </t>
  </si>
  <si>
    <t xml:space="preserve">Table 6f. Number of holdings reporting and area under different temporary crops by total area of holding </t>
  </si>
  <si>
    <t>Table 6g. Number of holdings reporting and area under different temporary crops by total area of holding</t>
  </si>
  <si>
    <t>Table 4a. Number and area of holdings reporting rented out land to other by total area of holding</t>
  </si>
  <si>
    <t>Electricity, gas and vapourous activities</t>
  </si>
  <si>
    <t>Accommodation and food services activities</t>
  </si>
  <si>
    <t>Table 25. Area of holdings reporting by holder's age, sex and total area of holding</t>
  </si>
  <si>
    <t>Table 25. Area of holdings reporting by holder's age, sex and total area of holding (Continued )</t>
  </si>
  <si>
    <t xml:space="preserve">Table 2a. Number, area of holdings by tenure and total area of holding </t>
  </si>
  <si>
    <t xml:space="preserve">Table 2b. Number, area of holdings by tenure and total area of holding </t>
  </si>
  <si>
    <t>Under more than one tenure forms --- Rented from others</t>
  </si>
  <si>
    <t>Table 3. Number, area and land use by total area of holding (Continued)</t>
  </si>
  <si>
    <t>Dam/reservoir</t>
  </si>
  <si>
    <t>Grass crops</t>
  </si>
  <si>
    <t>Yam/cassava</t>
  </si>
  <si>
    <t>Table 9a. Number of heads, number of holdings reporting livestocks according to age, sex and breed by total area of holding (Continued 1)</t>
  </si>
  <si>
    <t>Table 9a. Number of heads, number of holdings reporting livestocks according to age, sex and breed by total area of holding (Continued 2)</t>
  </si>
  <si>
    <t>Table 9c. Number of heads, number of holdings reporting livestocks according to age, sex and breed by total area of holding (Continued 1)</t>
  </si>
  <si>
    <t>Table 9c. Number of heads, number of holdings reporting livestocks according to age, sex and breed by total area of holding (Continued 2)</t>
  </si>
  <si>
    <t>Poultry (Chicken)</t>
  </si>
  <si>
    <t>Chicks</t>
  </si>
  <si>
    <t>Cocks</t>
  </si>
  <si>
    <t>Hens</t>
  </si>
  <si>
    <t>Parent (Broiler/ layer)</t>
  </si>
  <si>
    <t>Table 11. Number and number of holdings reporting different type of birds by total area of holding (continued)</t>
  </si>
  <si>
    <t>Table 11. Number and number of holdings reporting different type of birds by total area of holding</t>
  </si>
  <si>
    <t>For storing agricultural product</t>
  </si>
  <si>
    <t>Chaff-Cutter</t>
  </si>
  <si>
    <t>Table 15. Number, area of holdings reporting fish farming and  number of holdings reporting mushroom, bee keeping and flower/nursery farming by total area of holding</t>
  </si>
  <si>
    <t>Number of beehives by type</t>
  </si>
  <si>
    <t>(*) Nursery farming includes forest, fruit and flower nursery.</t>
  </si>
  <si>
    <t xml:space="preserve"> No. of agriculture workers (Man-days)</t>
  </si>
  <si>
    <t>Commercial bank</t>
  </si>
  <si>
    <t>Development bank</t>
  </si>
  <si>
    <t>Financial institution</t>
  </si>
  <si>
    <t>Money lender/land lord</t>
  </si>
  <si>
    <t>Table 17a. Number of holdings reporting need for agricultural loan/additional loan by main purpose and total area of holding</t>
  </si>
  <si>
    <t>Agricultural inputs</t>
  </si>
  <si>
    <t>No of holdings reporting insurance for agricultural activity</t>
  </si>
  <si>
    <t>Seed/ seedling/ grass</t>
  </si>
  <si>
    <t>Number of holdings covered by insurance and type of agricultural activities</t>
  </si>
  <si>
    <t>Table 19. Number of holdings received government subsidy according to agricultural activities by total area of holding</t>
  </si>
  <si>
    <t>Number of holding received government subsidy by type of agricultural activities</t>
  </si>
  <si>
    <t>Agricultural infrastructure</t>
  </si>
  <si>
    <t>Agricultural implement</t>
  </si>
  <si>
    <t>No. of holdings reporting impact of climate changes on agriculture</t>
  </si>
  <si>
    <t>No. of holdings know about climate changes</t>
  </si>
  <si>
    <t xml:space="preserve">Number of holdings reporting impact on agriculture by the climate change </t>
  </si>
  <si>
    <t xml:space="preserve">Table 22. Number of holding reporting know about climate changes and its impact on agriculture by total area of holding </t>
  </si>
  <si>
    <t xml:space="preserve">Table 23. Number of holdings reporting agricultural waste management by total area of holding </t>
  </si>
  <si>
    <t>No. of holdings by type of management/treatment of agricultural waste</t>
  </si>
  <si>
    <t>Burying</t>
  </si>
  <si>
    <t>Burning</t>
  </si>
  <si>
    <t>Collecting by waste manager</t>
  </si>
  <si>
    <t>Using as energy</t>
  </si>
  <si>
    <t>Area (ha) of holdings by holder's age and sex</t>
  </si>
  <si>
    <t>Table 26. Farm population by age, sex and total area of holding</t>
  </si>
  <si>
    <t>Farm population</t>
  </si>
  <si>
    <t xml:space="preserve">Level of education completed </t>
  </si>
  <si>
    <t>Level of education completed</t>
  </si>
  <si>
    <t xml:space="preserve">Table 28. Occupational distribution of holder by sex  and total area of holding </t>
  </si>
  <si>
    <t>Table 28. Occupational distribution of holder by sex and total area of holding (Continued)</t>
  </si>
  <si>
    <t>Skilled agriculture, forestry and fishery workers</t>
  </si>
  <si>
    <t>Craft and related trade workers</t>
  </si>
  <si>
    <t>Plants and machine operators and assemblers</t>
  </si>
  <si>
    <t>Unskilled worker at elementary occupation</t>
  </si>
  <si>
    <t>Not involved in any economic work</t>
  </si>
  <si>
    <t xml:space="preserve">Table 29. Occupational distribution of farm population other than holder (10 years and above)  by sex and total area of holding  </t>
  </si>
  <si>
    <t xml:space="preserve">Table 30. Training received on agriculture, participation in decision making and spending time on agriculture of the farm population (10 years and above) by sex  and total area of holding  </t>
  </si>
  <si>
    <t xml:space="preserve">No. of population received formal training on agriculture </t>
  </si>
  <si>
    <t xml:space="preserve">No. of population reporting participation in decision making for agriculture activities </t>
  </si>
  <si>
    <t xml:space="preserve">Number of population spent time on agriculture </t>
  </si>
  <si>
    <t xml:space="preserve">Table 31. Number of holdings reporting holder as head of the household, status of the holding by total area of holding </t>
  </si>
  <si>
    <t>Status of holding</t>
  </si>
  <si>
    <t>Head of the household</t>
  </si>
  <si>
    <t>Holdings with holder as head of household</t>
  </si>
  <si>
    <t>Holdings with other person as head of household</t>
  </si>
  <si>
    <t xml:space="preserve">Table 33. Number of holdings reporting main use of agriculture production from the holdings by total area  of  holding </t>
  </si>
  <si>
    <t>Number of holding reporting main use of production</t>
  </si>
  <si>
    <t>Mostly for sale, with some household conumption</t>
  </si>
  <si>
    <t>All for household consumption</t>
  </si>
  <si>
    <t>Mostly for household consumption, with some sale</t>
  </si>
  <si>
    <t>All for sale</t>
  </si>
  <si>
    <t>No. of holdings reporting the activity registered in government agency</t>
  </si>
  <si>
    <t xml:space="preserve">Number of holding reporting by registered agicultural activities </t>
  </si>
  <si>
    <t>Sufficiency of  agriculture produce</t>
  </si>
  <si>
    <t>Sufficient for  household consumption</t>
  </si>
  <si>
    <t>Insufficient for  household consumption</t>
  </si>
  <si>
    <t>Total number of holdings reporting insufficiency of own produce for household consumption</t>
  </si>
  <si>
    <t>Income sources for insufficiency</t>
  </si>
  <si>
    <t>Table 36a. Number of holdings reporting wheather agricultural/livestock produce is sufficient, period of insufficiency and income sources of insufficiency by total area of holding</t>
  </si>
  <si>
    <t>Table 37. Number of holdings reporting  other main economic production activity by total area of holdings</t>
  </si>
  <si>
    <t>Total number of holdings reporting other main economic production activity</t>
  </si>
  <si>
    <t xml:space="preserve">No. of holdings reporting other main economic production activity </t>
  </si>
  <si>
    <t>Table 37. Number of holdings reporting  other main economic production activity by total area of holdings (continued)</t>
  </si>
  <si>
    <t>No. of holdings reporting time taken to reach the nearest agricultural market by mode of transport</t>
  </si>
  <si>
    <t>Under 30 minutes</t>
  </si>
  <si>
    <t xml:space="preserve">Table 34. Number of holdings reporting agriculture activity registered in government agency and type of registered activties operated by the holding and total area of holding </t>
  </si>
  <si>
    <t>Flower/Nursery (*) farming</t>
  </si>
  <si>
    <t>Table 9c. Number of heads, number of holdings reporting livestocks according to age, sex and breed by total area of holding</t>
  </si>
  <si>
    <t>NATIONAL LEVEL</t>
  </si>
  <si>
    <t>LIST OF TABLES</t>
  </si>
  <si>
    <t>Table 7_4. Plantation features and ages of lime by total area of holding</t>
  </si>
  <si>
    <t>Table 7_5. Plantation features and ages of sweet orange by total area of holding</t>
  </si>
  <si>
    <t>Table 7_7. Plantation features and ages of mango by total area of holding</t>
  </si>
  <si>
    <t>Table 7_8. Plantation features and ages of banana by total area of holding</t>
  </si>
  <si>
    <t>Table 7_12. Plantation features and ages of lychee by total area of holding</t>
  </si>
  <si>
    <t xml:space="preserve">Table 6b. Number of holdings reporting and area under different temporary crops by total area of holding </t>
  </si>
  <si>
    <t>Table 8. Number, area of holdings, number of holdings reporting, use of agricultural inputs, area treated with and quantity of chemical/mineral fertilizer used by total area of holding (Continued 4) (Vegetable)</t>
  </si>
  <si>
    <t>Table 8. Number, area of holdings, number of holdings reporting, use of agricultural inputs, area treated with and quantity of chemical/mineral fertilizer used by total area of holding (Continued 3) (Potato)</t>
  </si>
  <si>
    <t>Table 8. Number, area of holdings, number of holdings reporting, use of agricultural inputs, area treated with and quantity of chemical/mineral fertilizer used by total area of holding (Continued 2) (Wheat)</t>
  </si>
  <si>
    <t>Table 8. Number, area of holdings, number of holdings reporting, use of agricultural inputs, area treated with and quantity of chemical/mineral fertilizer used by total area of holding (Continued 1) (Maize)</t>
  </si>
  <si>
    <t>Table 8. Number, area of holdings, number of holdings reporting, use of agricultural inputs, area treated with and quantity of chemical/mineral fertilizer used by total area of holding (Paddy)</t>
  </si>
  <si>
    <t>Table 8. Number, area of holdings, number of holdings reporting, use of agricultural inputs, area treated with and quantity of chemical/mineral fertilizer used by total area of holding (Continued 5) (Other crop)</t>
  </si>
  <si>
    <t>Table 9b. Number of heads, number of holdings reporting livestock according to age, sex and breed by total area of holding (Chauri)</t>
  </si>
  <si>
    <t>Table 9a. Number of heads, number of holdings reporting livestocks according to age, sex and breed by total area of holding (Continued 2) (cattle 3 years and above)</t>
  </si>
  <si>
    <t>Table 9a. Number of heads, number of holdings reporting livestocks according to age, sex and breed by total area of holding (Continued 1) (cattle 1 to 3 year)</t>
  </si>
  <si>
    <t>Table 9a. Number of heads, number of holdings reporting livestocks according to age, sex and breed by total area of holding (cattle under 1 year)</t>
  </si>
  <si>
    <t xml:space="preserve">Table 9d. Number of heads, number of holdings reporting livestocks according to age and sex and breed by total area of holding (goat under 6 month) </t>
  </si>
  <si>
    <t>Table 9e. Number of heads, number of holdings reporting livestocks according to age and sex and breed by total area of holding (Cyangra)</t>
  </si>
  <si>
    <t xml:space="preserve">Table 9f. Number of heads, number of holdings reporting livestocks according to age and sex and breed by total area of holding (sheep under 6 month) </t>
  </si>
  <si>
    <t>Table 9d. Number of heads, number of holdings reporting livestocks according to age and sex and breed by total area of holding (Continued) (goat 6 month and above)</t>
  </si>
  <si>
    <t>Table 9f. Number of heads, number of holdings reporting livestocks according to age and sex and breed by total area of holding (Continued) (sheep 6 month and above)</t>
  </si>
  <si>
    <t>Table 9g. Number of heads, number of holdings reporting livestocks according to age and sex and breed by total area of holding (pig)</t>
  </si>
  <si>
    <t>Table 9c. Number of heads, number of holdings reporting livestocks according to age, sex and breed by total area of holding (buffalo under 1 year)</t>
  </si>
  <si>
    <t>Table 9c. Number of heads, number of holdings reporting livestocks according to age, sex and breed by total area of holding (Continued 1) (buffalo 1 to 3 year)</t>
  </si>
  <si>
    <t>Table 9c. Number of heads, number of holdings reporting livestocks according to age, sex and breed by total area of holding (Continued 2)  (buffalo 3 years and above)</t>
  </si>
  <si>
    <t>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</si>
</sst>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-* #,##0.00_-;\-* #,##0.00_-;_-* &quot;-&quot;??_-;_-@_-"/>
    <numFmt numFmtId="182" formatCode="#,##0.0"/>
  </numFmts>
  <fonts count="18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</borders>
  <cellStyleXfs count="1985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25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2" applyFont="1"/>
    <xf numFmtId="0" fontId="6" fillId="0" borderId="0" xfId="2" applyFont="1"/>
    <xf numFmtId="0" fontId="5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0" xfId="2"/>
    <xf numFmtId="0" fontId="1" fillId="0" borderId="0" xfId="2" applyFont="1"/>
    <xf numFmtId="0" fontId="4" fillId="0" borderId="0" xfId="2" applyAlignment="1">
      <alignment horizontal="center" vertical="center"/>
    </xf>
    <xf numFmtId="0" fontId="4" fillId="0" borderId="0" xfId="2" applyAlignment="1">
      <alignment vertical="top"/>
    </xf>
    <xf numFmtId="0" fontId="0" fillId="0" borderId="2" xfId="0" applyBorder="1"/>
    <xf numFmtId="0" fontId="0" fillId="0" borderId="0" xfId="0" applyAlignment="1">
      <alignment vertical="center"/>
    </xf>
    <xf numFmtId="0" fontId="4" fillId="0" borderId="0" xfId="0" applyFont="1" applyAlignment="1">
      <alignment vertical="top" wrapText="1"/>
    </xf>
    <xf numFmtId="3" fontId="8" fillId="0" borderId="3" xfId="0" applyNumberFormat="1" applyFont="1" applyBorder="1" applyAlignment="1">
      <alignment vertical="center"/>
    </xf>
    <xf numFmtId="182" fontId="8" fillId="0" borderId="3" xfId="0" applyNumberFormat="1" applyFont="1" applyBorder="1" applyAlignment="1">
      <alignment vertical="center"/>
    </xf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0" fillId="0" borderId="0" xfId="0" applyFont="1"/>
    <xf numFmtId="49" fontId="9" fillId="0" borderId="5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5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3" fillId="0" borderId="0" xfId="3"/>
    <xf numFmtId="0" fontId="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171" fontId="8" fillId="0" borderId="0" xfId="0" applyNumberFormat="1" applyFont="1"/>
    <xf numFmtId="3" fontId="8" fillId="0" borderId="6" xfId="0" applyNumberFormat="1" applyFont="1" applyBorder="1" applyAlignment="1">
      <alignment vertical="center"/>
    </xf>
    <xf numFmtId="182" fontId="8" fillId="0" borderId="6" xfId="0" applyNumberFormat="1" applyFont="1" applyBorder="1" applyAlignment="1">
      <alignment vertical="center"/>
    </xf>
    <xf numFmtId="3" fontId="8" fillId="0" borderId="4" xfId="0" applyNumberFormat="1" applyFont="1" applyBorder="1" applyAlignment="1">
      <alignment vertical="center"/>
    </xf>
    <xf numFmtId="182" fontId="8" fillId="0" borderId="4" xfId="0" applyNumberFormat="1" applyFont="1" applyBorder="1" applyAlignment="1">
      <alignment vertical="center"/>
    </xf>
    <xf numFmtId="3" fontId="9" fillId="0" borderId="4" xfId="0" applyNumberFormat="1" applyFont="1" applyBorder="1" applyAlignment="1">
      <alignment vertical="center"/>
    </xf>
    <xf numFmtId="182" fontId="9" fillId="0" borderId="4" xfId="0" applyNumberFormat="1" applyFont="1" applyBorder="1" applyAlignment="1">
      <alignment vertical="center"/>
    </xf>
    <xf numFmtId="182" fontId="9" fillId="0" borderId="0" xfId="0" applyNumberFormat="1" applyFont="1"/>
    <xf numFmtId="4" fontId="8" fillId="0" borderId="6" xfId="0" applyNumberFormat="1" applyFont="1" applyBorder="1" applyAlignment="1">
      <alignment vertical="center"/>
    </xf>
    <xf numFmtId="4" fontId="8" fillId="0" borderId="4" xfId="0" applyNumberFormat="1" applyFont="1" applyBorder="1" applyAlignment="1">
      <alignment vertical="center"/>
    </xf>
    <xf numFmtId="4" fontId="9" fillId="0" borderId="4" xfId="0" applyNumberFormat="1" applyFont="1" applyBorder="1" applyAlignment="1">
      <alignment vertical="center"/>
    </xf>
    <xf numFmtId="4" fontId="8" fillId="0" borderId="3" xfId="0" applyNumberFormat="1" applyFont="1" applyBorder="1" applyAlignment="1">
      <alignment vertical="center"/>
    </xf>
    <xf numFmtId="3" fontId="0" fillId="0" borderId="0" xfId="0" applyNumberFormat="1"/>
    <xf numFmtId="3" fontId="5" fillId="0" borderId="0" xfId="0" applyNumberFormat="1" applyFont="1"/>
    <xf numFmtId="3" fontId="1" fillId="0" borderId="0" xfId="0" applyNumberFormat="1" applyFont="1"/>
    <xf numFmtId="0" fontId="3" fillId="0" borderId="0" xfId="2" applyFont="1"/>
    <xf numFmtId="0" fontId="0" fillId="0" borderId="7" xfId="0" applyFill="1" applyBorder="1" applyAlignment="1">
      <alignment horizontal="left"/>
    </xf>
    <xf numFmtId="49" fontId="9" fillId="0" borderId="5" xfId="0" applyNumberFormat="1" applyFont="1" applyFill="1" applyBorder="1" applyAlignment="1">
      <alignment horizontal="center" vertical="center" wrapText="1"/>
    </xf>
    <xf numFmtId="3" fontId="9" fillId="0" borderId="4" xfId="0" applyNumberFormat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Fill="1"/>
    <xf numFmtId="0" fontId="8" fillId="0" borderId="8" xfId="0" applyFont="1" applyBorder="1" applyAlignment="1">
      <alignment vertical="center"/>
    </xf>
    <xf numFmtId="3" fontId="8" fillId="0" borderId="8" xfId="0" applyNumberFormat="1" applyFont="1" applyBorder="1" applyAlignment="1">
      <alignment vertical="center"/>
    </xf>
    <xf numFmtId="182" fontId="8" fillId="0" borderId="8" xfId="0" applyNumberFormat="1" applyFont="1" applyBorder="1" applyAlignment="1">
      <alignment vertical="center"/>
    </xf>
    <xf numFmtId="0" fontId="9" fillId="0" borderId="1" xfId="0" applyNumberFormat="1" applyFont="1" applyBorder="1" applyAlignment="1">
      <alignment horizontal="center" vertical="center" wrapText="1"/>
    </xf>
    <xf numFmtId="3" fontId="8" fillId="0" borderId="3" xfId="0" applyNumberFormat="1" applyFont="1" applyFill="1" applyBorder="1" applyAlignment="1">
      <alignment vertical="center"/>
    </xf>
    <xf numFmtId="0" fontId="0" fillId="0" borderId="9" xfId="0" applyFill="1" applyBorder="1" applyAlignment="1">
      <alignment vertical="center"/>
    </xf>
    <xf numFmtId="4" fontId="1" fillId="0" borderId="0" xfId="0" applyNumberFormat="1" applyFont="1"/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9" fillId="0" borderId="0" xfId="2" applyFont="1"/>
    <xf numFmtId="0" fontId="8" fillId="0" borderId="0" xfId="2" applyFont="1" applyAlignment="1">
      <alignment horizontal="right"/>
    </xf>
    <xf numFmtId="0" fontId="9" fillId="0" borderId="0" xfId="2" applyFont="1" applyAlignment="1">
      <alignment vertical="top"/>
    </xf>
    <xf numFmtId="49" fontId="9" fillId="0" borderId="1" xfId="2" applyNumberFormat="1" applyFont="1" applyBorder="1" applyAlignment="1">
      <alignment horizontal="center" vertical="center" wrapText="1"/>
    </xf>
    <xf numFmtId="49" fontId="9" fillId="0" borderId="1" xfId="2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 wrapText="1"/>
    </xf>
    <xf numFmtId="0" fontId="9" fillId="0" borderId="1" xfId="2" applyFont="1" applyBorder="1" applyAlignment="1">
      <alignment horizontal="center" vertical="center"/>
    </xf>
    <xf numFmtId="0" fontId="9" fillId="0" borderId="12" xfId="0" applyFont="1" applyBorder="1" applyAlignment="1">
      <alignment vertical="top"/>
    </xf>
    <xf numFmtId="0" fontId="9" fillId="0" borderId="12" xfId="0" applyFont="1" applyBorder="1" applyAlignment="1">
      <alignment vertical="top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9" fillId="0" borderId="0" xfId="0" applyFont="1" applyFill="1"/>
    <xf numFmtId="49" fontId="9" fillId="2" borderId="5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indent="5"/>
    </xf>
    <xf numFmtId="0" fontId="9" fillId="2" borderId="1" xfId="0" applyFont="1" applyFill="1" applyBorder="1" applyAlignment="1">
      <alignment horizontal="center" vertical="center"/>
    </xf>
    <xf numFmtId="0" fontId="12" fillId="0" borderId="0" xfId="2" applyFont="1" applyAlignment="1">
      <alignment horizontal="right"/>
    </xf>
    <xf numFmtId="0" fontId="16" fillId="0" borderId="0" xfId="2" applyFont="1"/>
    <xf numFmtId="0" fontId="17" fillId="0" borderId="0" xfId="2" applyFont="1" applyAlignment="1">
      <alignment horizontal="right"/>
    </xf>
    <xf numFmtId="49" fontId="9" fillId="0" borderId="13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0" xfId="2" applyFont="1" applyFill="1" applyAlignment="1">
      <alignment vertical="top"/>
    </xf>
    <xf numFmtId="0" fontId="17" fillId="0" borderId="0" xfId="2" applyFont="1" applyAlignment="1">
      <alignment horizontal="right" vertical="top"/>
    </xf>
    <xf numFmtId="0" fontId="8" fillId="0" borderId="0" xfId="2" applyFont="1" applyAlignment="1">
      <alignment horizontal="right" vertical="top"/>
    </xf>
    <xf numFmtId="0" fontId="16" fillId="0" borderId="0" xfId="2" applyFont="1" applyAlignment="1">
      <alignment vertical="top"/>
    </xf>
    <xf numFmtId="0" fontId="9" fillId="0" borderId="1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8" fillId="0" borderId="1" xfId="0" applyFont="1" applyBorder="1" applyAlignment="1">
      <alignment horizontal="left"/>
    </xf>
    <xf numFmtId="0" fontId="15" fillId="0" borderId="1" xfId="1" applyFill="1" applyBorder="1" applyAlignment="1" applyProtection="1">
      <alignment vertical="center" wrapText="1"/>
    </xf>
    <xf numFmtId="0" fontId="15" fillId="0" borderId="1" xfId="1" applyBorder="1" applyAlignment="1" applyProtection="1">
      <alignment vertical="center" wrapText="1"/>
    </xf>
    <xf numFmtId="0" fontId="15" fillId="0" borderId="1" xfId="1" applyFill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19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4" xfId="0" applyNumberFormat="1" applyFont="1" applyFill="1" applyBorder="1" applyAlignment="1">
      <alignment horizontal="center" vertical="center" wrapText="1"/>
    </xf>
    <xf numFmtId="49" fontId="9" fillId="0" borderId="15" xfId="0" applyNumberFormat="1" applyFont="1" applyFill="1" applyBorder="1" applyAlignment="1">
      <alignment horizontal="center" vertical="center" wrapText="1"/>
    </xf>
    <xf numFmtId="49" fontId="9" fillId="0" borderId="16" xfId="0" applyNumberFormat="1" applyFont="1" applyFill="1" applyBorder="1" applyAlignment="1">
      <alignment horizontal="center" vertical="center" wrapText="1"/>
    </xf>
    <xf numFmtId="49" fontId="9" fillId="0" borderId="1" xfId="2" applyNumberFormat="1" applyFont="1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8" fillId="0" borderId="1" xfId="2" applyFont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14" xfId="0" applyNumberFormat="1" applyFont="1" applyFill="1" applyBorder="1" applyAlignment="1">
      <alignment horizontal="center" vertical="center" wrapText="1"/>
    </xf>
    <xf numFmtId="49" fontId="9" fillId="2" borderId="16" xfId="0" applyNumberFormat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/>
    </xf>
    <xf numFmtId="49" fontId="9" fillId="0" borderId="10" xfId="0" applyNumberFormat="1" applyFont="1" applyFill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3" fontId="9" fillId="0" borderId="13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3" fontId="9" fillId="0" borderId="19" xfId="0" applyNumberFormat="1" applyFont="1" applyBorder="1" applyAlignment="1">
      <alignment horizontal="center" vertical="center" wrapText="1"/>
    </xf>
    <xf numFmtId="3" fontId="9" fillId="0" borderId="1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9" fillId="0" borderId="20" xfId="0" applyNumberFormat="1" applyFont="1" applyBorder="1" applyAlignment="1">
      <alignment horizontal="center" vertical="center" wrapText="1"/>
    </xf>
    <xf numFmtId="4" fontId="9" fillId="0" borderId="21" xfId="0" applyNumberFormat="1" applyFont="1" applyBorder="1" applyAlignment="1">
      <alignment horizontal="center" vertical="center" wrapText="1"/>
    </xf>
    <xf numFmtId="4" fontId="9" fillId="0" borderId="22" xfId="0" applyNumberFormat="1" applyFont="1" applyBorder="1" applyAlignment="1">
      <alignment horizontal="center" vertical="center" wrapText="1"/>
    </xf>
    <xf numFmtId="3" fontId="9" fillId="0" borderId="14" xfId="0" applyNumberFormat="1" applyFont="1" applyBorder="1" applyAlignment="1">
      <alignment horizontal="center" vertical="center" wrapText="1"/>
    </xf>
    <xf numFmtId="3" fontId="9" fillId="0" borderId="15" xfId="0" applyNumberFormat="1" applyFont="1" applyBorder="1" applyAlignment="1">
      <alignment horizontal="center" vertical="center" wrapText="1"/>
    </xf>
    <xf numFmtId="3" fontId="9" fillId="0" borderId="16" xfId="0" applyNumberFormat="1" applyFont="1" applyBorder="1" applyAlignment="1">
      <alignment horizontal="center" vertical="center" wrapText="1"/>
    </xf>
    <xf numFmtId="3" fontId="9" fillId="0" borderId="13" xfId="0" applyNumberFormat="1" applyFont="1" applyFill="1" applyBorder="1" applyAlignment="1">
      <alignment horizontal="center" vertical="center" wrapText="1"/>
    </xf>
    <xf numFmtId="3" fontId="9" fillId="0" borderId="7" xfId="0" applyNumberFormat="1" applyFont="1" applyFill="1" applyBorder="1" applyAlignment="1">
      <alignment horizontal="center" vertical="center" wrapText="1"/>
    </xf>
    <xf numFmtId="3" fontId="9" fillId="0" borderId="19" xfId="0" applyNumberFormat="1" applyFont="1" applyFill="1" applyBorder="1" applyAlignment="1">
      <alignment horizontal="center" vertical="center" wrapText="1"/>
    </xf>
    <xf numFmtId="3" fontId="9" fillId="0" borderId="11" xfId="0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/>
    </xf>
    <xf numFmtId="49" fontId="9" fillId="0" borderId="14" xfId="2" applyNumberFormat="1" applyFont="1" applyBorder="1" applyAlignment="1">
      <alignment horizontal="center" vertical="center" wrapText="1"/>
    </xf>
    <xf numFmtId="49" fontId="9" fillId="0" borderId="16" xfId="2" applyNumberFormat="1" applyFont="1" applyBorder="1" applyAlignment="1">
      <alignment horizontal="center" vertical="center" wrapText="1"/>
    </xf>
    <xf numFmtId="0" fontId="9" fillId="0" borderId="14" xfId="2" applyFont="1" applyFill="1" applyBorder="1" applyAlignment="1">
      <alignment horizontal="center" vertical="center" wrapText="1"/>
    </xf>
    <xf numFmtId="0" fontId="9" fillId="0" borderId="16" xfId="2" applyFont="1" applyFill="1" applyBorder="1" applyAlignment="1">
      <alignment horizontal="center" vertical="center" wrapText="1"/>
    </xf>
    <xf numFmtId="49" fontId="9" fillId="0" borderId="14" xfId="2" applyNumberFormat="1" applyFont="1" applyFill="1" applyBorder="1" applyAlignment="1">
      <alignment horizontal="center" vertical="center" wrapText="1"/>
    </xf>
    <xf numFmtId="49" fontId="9" fillId="0" borderId="15" xfId="2" applyNumberFormat="1" applyFont="1" applyFill="1" applyBorder="1" applyAlignment="1">
      <alignment horizontal="center" vertical="center" wrapText="1"/>
    </xf>
    <xf numFmtId="49" fontId="9" fillId="0" borderId="16" xfId="2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top"/>
    </xf>
    <xf numFmtId="49" fontId="9" fillId="0" borderId="5" xfId="2" applyNumberFormat="1" applyFont="1" applyBorder="1" applyAlignment="1">
      <alignment horizontal="center" vertical="center" wrapText="1"/>
    </xf>
    <xf numFmtId="49" fontId="9" fillId="0" borderId="10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0" borderId="16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49" fontId="9" fillId="0" borderId="5" xfId="2" applyNumberFormat="1" applyFont="1" applyFill="1" applyBorder="1" applyAlignment="1">
      <alignment horizontal="center" vertical="center" wrapText="1"/>
    </xf>
    <xf numFmtId="49" fontId="9" fillId="0" borderId="10" xfId="2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2" borderId="10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49" fontId="9" fillId="0" borderId="9" xfId="2" applyNumberFormat="1" applyFont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2" borderId="15" xfId="2" applyFont="1" applyFill="1" applyBorder="1" applyAlignment="1">
      <alignment horizontal="center" vertical="center" wrapText="1"/>
    </xf>
    <xf numFmtId="0" fontId="9" fillId="2" borderId="16" xfId="2" applyFont="1" applyFill="1" applyBorder="1" applyAlignment="1">
      <alignment horizontal="center" vertical="center" wrapText="1"/>
    </xf>
  </cellXfs>
  <cellStyles count="1985">
    <cellStyle name="Hyperlink" xfId="1" builtinId="8"/>
    <cellStyle name="Normal" xfId="0" builtinId="0"/>
    <cellStyle name="Normal 2" xfId="2" xr:uid="{E97CB954-74AB-4EF7-98D7-4BBFF87C8742}"/>
    <cellStyle name="Normal_Tab03a" xfId="3" xr:uid="{2C0C2D00-C454-4D63-9A75-867A05ABA938}"/>
    <cellStyle name="style1687600807441" xfId="4" xr:uid="{06D4ED20-ED02-404A-ABA5-2F976FEEE059}"/>
    <cellStyle name="style1687600807550" xfId="5" xr:uid="{C96952BB-8985-4471-A892-CDA46F114D21}"/>
    <cellStyle name="style1687600807628" xfId="6" xr:uid="{8084A1DA-CE07-4690-948C-776EFA6DCA2E}"/>
    <cellStyle name="style1687600807723" xfId="7" xr:uid="{5CE2E519-C351-41B8-9ADF-1D59E853146E}"/>
    <cellStyle name="style1687600807832" xfId="8" xr:uid="{1B564D19-6077-4CE8-8AC1-C43452AC257A}"/>
    <cellStyle name="style1687600807925" xfId="9" xr:uid="{65263219-3B9C-43A7-A024-690A81F79C75}"/>
    <cellStyle name="style1687600808019" xfId="10" xr:uid="{2867031F-2FC5-4722-9716-3BB19A8D19A9}"/>
    <cellStyle name="style1687600808128" xfId="11" xr:uid="{B24A6722-45E3-4A7B-84B0-0428B9457512}"/>
    <cellStyle name="style1687600808206" xfId="12" xr:uid="{92E2B1EA-4AF1-4E69-A720-04249C33C301}"/>
    <cellStyle name="style1687600808284" xfId="13" xr:uid="{1AF1DA9E-0682-47F4-9674-3C208BB8AE46}"/>
    <cellStyle name="style1687600808378" xfId="14" xr:uid="{8DE89F87-D719-49CB-8312-6AD93762448B}"/>
    <cellStyle name="style1687600808628" xfId="15" xr:uid="{304A2AA0-60D5-46D6-8ED7-00CBC1635600}"/>
    <cellStyle name="style1687600808722" xfId="16" xr:uid="{324CB727-F520-4BAC-A6B5-936464DE37A6}"/>
    <cellStyle name="style1687600808815" xfId="17" xr:uid="{3812689F-1F9B-4040-A7DF-FAF71C223851}"/>
    <cellStyle name="style1687600808894" xfId="18" xr:uid="{5D1AB6D0-AD1D-429C-A6D0-B24CDF3DD737}"/>
    <cellStyle name="style1687600808973" xfId="19" xr:uid="{FE146404-1328-4CF9-A772-E67CD095896F}"/>
    <cellStyle name="style1687600809051" xfId="20" xr:uid="{7284A1BF-E842-4BEF-A5B7-6771E18B2B7F}"/>
    <cellStyle name="style1688180143949" xfId="21" xr:uid="{B5D73F6B-DAF4-472D-A913-60B120B8E026}"/>
    <cellStyle name="style1688180144043" xfId="22" xr:uid="{16E5DCD1-9AD8-40ED-9BDF-EE67467976A4}"/>
    <cellStyle name="style1688180144136" xfId="23" xr:uid="{1D8140B4-5FD3-4275-A07A-CEBD094A8BC9}"/>
    <cellStyle name="style1688180144215" xfId="24" xr:uid="{5D656DE1-0000-4EC7-BFC1-69C8B0251070}"/>
    <cellStyle name="style1688180144308" xfId="25" xr:uid="{85F2850C-1FBB-4AF7-8F93-30B5E5F57C9A}"/>
    <cellStyle name="style1688180144402" xfId="26" xr:uid="{D466DD2E-B624-46A1-B850-6001ACA74E45}"/>
    <cellStyle name="style1688180144496" xfId="27" xr:uid="{5BA7E517-14D5-4A24-BB90-90BEA8881DE3}"/>
    <cellStyle name="style1688180144574" xfId="28" xr:uid="{3C6CEFFD-2F5C-481B-A4E1-644412865E95}"/>
    <cellStyle name="style1688180144708" xfId="29" xr:uid="{9F129D67-5D80-4846-A898-EA61301DF95E}"/>
    <cellStyle name="style1688180144802" xfId="30" xr:uid="{59FBA62F-CD74-4D22-BF3A-BD001E813998}"/>
    <cellStyle name="style1688180144880" xfId="31" xr:uid="{EB9E7A58-3729-43DA-B428-21B5E5BC1795}"/>
    <cellStyle name="style1688180144958" xfId="32" xr:uid="{D31B8D37-5362-4043-BE20-45BA3EC15F47}"/>
    <cellStyle name="style1688180164344" xfId="33" xr:uid="{081E378B-C504-436D-922E-24B3975291FA}"/>
    <cellStyle name="style1688180164422" xfId="34" xr:uid="{9DD0108D-BCD4-47AE-B07F-A66D949BD0C0}"/>
    <cellStyle name="style1688180164516" xfId="35" xr:uid="{9CD3DF1E-24FC-4C94-A15C-3A7C72AA1393}"/>
    <cellStyle name="style1688180164719" xfId="36" xr:uid="{6F6971F3-83D6-4EF5-BE5F-0E7819615A8F}"/>
    <cellStyle name="style1688180164813" xfId="37" xr:uid="{BE505E15-0158-44D4-82C7-1AA4945E5E5D}"/>
    <cellStyle name="style1688180164907" xfId="38" xr:uid="{A7CB04A2-0983-4F45-AFA2-410CA21C19A0}"/>
    <cellStyle name="style1688180165071" xfId="39" xr:uid="{5DC421AA-53F9-4E91-B541-F1F044570168}"/>
    <cellStyle name="style1688180165243" xfId="40" xr:uid="{AB405702-94E3-4627-9EAA-83CC789058E2}"/>
    <cellStyle name="style1688180165353" xfId="41" xr:uid="{4068487F-4AB5-4935-8EFE-D49E24556345}"/>
    <cellStyle name="style1688180165415" xfId="42" xr:uid="{B9EF3F29-4A02-4ACB-8E2B-B7920627D318}"/>
    <cellStyle name="style1688180165493" xfId="43" xr:uid="{9F5F9022-EC8A-4F5B-93EA-89169FC49183}"/>
    <cellStyle name="style1688180189228" xfId="44" xr:uid="{E0414CBB-5278-405C-9381-78DE9AC07BA6}"/>
    <cellStyle name="style1688180189353" xfId="45" xr:uid="{3DF467B4-3478-41C8-8626-7F354D056540}"/>
    <cellStyle name="style1688180189572" xfId="46" xr:uid="{8BE35F13-4618-4159-B783-9A6556525A3B}"/>
    <cellStyle name="style1688180211113" xfId="47" xr:uid="{75C1FF7F-91E5-4017-A749-74873DFE99FB}"/>
    <cellStyle name="style1688180211253" xfId="48" xr:uid="{3DF56436-327D-4623-8F35-CDDF955A82ED}"/>
    <cellStyle name="style1688180211378" xfId="49" xr:uid="{9425D7AA-124E-4CC6-A38F-1C903FF0B293}"/>
    <cellStyle name="style1688180211441" xfId="50" xr:uid="{38278165-12E1-4C75-870F-A0D2DBB08D44}"/>
    <cellStyle name="style1688180211519" xfId="51" xr:uid="{BA3A9189-ED2E-4287-9694-63095EC37B25}"/>
    <cellStyle name="style1688180211581" xfId="52" xr:uid="{87E01AF4-F4E9-4466-9178-F9D5EC03B830}"/>
    <cellStyle name="style1688180211644" xfId="53" xr:uid="{41A1F231-4347-4AFA-828E-3E3F7DB22359}"/>
    <cellStyle name="style1688180211712" xfId="54" xr:uid="{0E8FB0DB-77CD-4A0C-B392-680B48BF7C2C}"/>
    <cellStyle name="style1688180211775" xfId="55" xr:uid="{23393940-7150-4D0F-B859-71C4F80AA67B}"/>
    <cellStyle name="style1688180211853" xfId="56" xr:uid="{889568FF-3564-4651-906A-CF94E1E3F8AB}"/>
    <cellStyle name="style1688180211915" xfId="57" xr:uid="{7F5FC590-0A3B-4600-9FAA-2246885671D6}"/>
    <cellStyle name="style1688180212009" xfId="58" xr:uid="{8EFFDE96-ECF1-4664-B148-8350023AADC9}"/>
    <cellStyle name="style1688180212243" xfId="59" xr:uid="{57066593-C1C3-45DB-A288-4D632147A7F2}"/>
    <cellStyle name="style1688180212321" xfId="60" xr:uid="{5569E52B-08B8-49B4-A3B9-1DE30EFB3775}"/>
    <cellStyle name="style1688180212446" xfId="61" xr:uid="{34F9A130-E0FD-4C46-BED9-49922C372C2A}"/>
    <cellStyle name="style1688180212524" xfId="62" xr:uid="{1C456A32-4B40-4C18-B85B-52F1E4C50592}"/>
    <cellStyle name="style1688180212587" xfId="63" xr:uid="{9AFCF836-A975-47C5-B2E4-F8C071897316}"/>
    <cellStyle name="style1688180212649" xfId="64" xr:uid="{2204D940-9265-46A9-8D4F-4E57F23741CC}"/>
    <cellStyle name="style1688180212712" xfId="65" xr:uid="{DB298618-EB2E-4ADC-8307-6771229D911F}"/>
    <cellStyle name="style1688180212775" xfId="66" xr:uid="{242A5AC8-C4DD-444D-A3F6-CEB30210FFCC}"/>
    <cellStyle name="style1688180212837" xfId="67" xr:uid="{EA6F1945-CF5A-4E60-B092-C127B89CFF0C}"/>
    <cellStyle name="style1688180212915" xfId="68" xr:uid="{F0D45D47-240A-4080-9460-C713D48DDCEE}"/>
    <cellStyle name="style1688180212962" xfId="69" xr:uid="{4D93EFE7-DE21-43EB-BD19-4572E590B794}"/>
    <cellStyle name="style1688180213072" xfId="70" xr:uid="{D7516EB4-1835-4A4B-B9F9-F83067B9D3E7}"/>
    <cellStyle name="style1688180213134" xfId="71" xr:uid="{FB0DF417-04B8-4C05-B629-4B5746EC0DA6}"/>
    <cellStyle name="style1688180213197" xfId="72" xr:uid="{A4EACF6C-C8D9-4FDF-A288-AEB01493823D}"/>
    <cellStyle name="style1688180213277" xfId="73" xr:uid="{7006E7BA-0C38-4F10-A452-95CC8E496675}"/>
    <cellStyle name="style1688180213327" xfId="74" xr:uid="{C1E7AB25-C9DA-44D7-98F3-5F2F036FE3FE}"/>
    <cellStyle name="style1688180213374" xfId="75" xr:uid="{8C6DEA44-DF87-4462-9E01-A97E85269186}"/>
    <cellStyle name="style1688180234088" xfId="76" xr:uid="{B8915E9A-B1A1-4F35-A2EA-543330BBD9C2}"/>
    <cellStyle name="style1688180234244" xfId="77" xr:uid="{E831193F-BDED-42F0-9E86-FF80D309393D}"/>
    <cellStyle name="style1688180234323" xfId="78" xr:uid="{6122E66A-0CBA-41FC-A796-46DC5497C78E}"/>
    <cellStyle name="style1688180234432" xfId="79" xr:uid="{6778A208-D2E4-42B5-879B-4EDC9CCFF787}"/>
    <cellStyle name="style1688180234494" xfId="80" xr:uid="{C74FADB4-276D-4247-B0E5-97D2E1E29C98}"/>
    <cellStyle name="style1688180234557" xfId="81" xr:uid="{8F869090-1E91-481D-A88A-E52EB6241DBF}"/>
    <cellStyle name="style1688180234635" xfId="82" xr:uid="{63BE7C6F-2EDF-4133-95BE-F1AA419F47AE}"/>
    <cellStyle name="style1688180234713" xfId="83" xr:uid="{FAA963CE-3493-43D3-803E-09498986B83A}"/>
    <cellStyle name="style1688180234916" xfId="84" xr:uid="{6B64DCB9-D36A-40CF-9F1F-E183D3385A27}"/>
    <cellStyle name="style1688180234994" xfId="85" xr:uid="{28E5E440-B6DE-4DF5-A56D-91F749009360}"/>
    <cellStyle name="style1688180235118" xfId="86" xr:uid="{F1B9CD0A-F75A-4F42-A5C6-CBFFCA4CA44D}"/>
    <cellStyle name="style1688180235197" xfId="87" xr:uid="{0E8146C5-C54D-49B6-8D7C-7EA5610929DD}"/>
    <cellStyle name="style1688180235259" xfId="88" xr:uid="{63DA88E9-8DBF-4686-9A7A-A11F7F33A6C1}"/>
    <cellStyle name="style1688180235321" xfId="89" xr:uid="{0E3882F9-7286-4771-B8CE-3D682F748E3B}"/>
    <cellStyle name="style1688180235368" xfId="90" xr:uid="{3F6EAC7D-2D10-48D4-95F7-50B76EB5BB37}"/>
    <cellStyle name="style1688180235446" xfId="91" xr:uid="{73ACF48C-2FC7-4A31-A43C-9DD03A02A26A}"/>
    <cellStyle name="style1688180235509" xfId="92" xr:uid="{91549598-7B2C-45DA-B627-F70D75FAC6D2}"/>
    <cellStyle name="style1688180235603" xfId="93" xr:uid="{EB0EAE8F-0202-4CB4-BAFE-0A6D96CAF52B}"/>
    <cellStyle name="style1688180235681" xfId="94" xr:uid="{65CD05CF-A88A-41B2-89B5-DB31F86C0F40}"/>
    <cellStyle name="style1688180235806" xfId="95" xr:uid="{0B8B2437-82D1-4E28-8582-FAAACA914200}"/>
    <cellStyle name="style1688180235884" xfId="96" xr:uid="{355D7DDE-CE18-4A2A-B01F-5E046378CD8D}"/>
    <cellStyle name="style1688180235978" xfId="97" xr:uid="{885FCD52-05D6-46AD-BD5E-81AE823B814F}"/>
    <cellStyle name="style1688180236040" xfId="98" xr:uid="{E95F84F6-633C-431C-B4F5-E3D83A628F3B}"/>
    <cellStyle name="style1688182198406" xfId="99" xr:uid="{F7F75B18-03B1-4309-BDF9-021A1989A24E}"/>
    <cellStyle name="style1688182198531" xfId="100" xr:uid="{C1090955-EB22-4272-910D-76AEF19CDDF9}"/>
    <cellStyle name="style1688182198594" xfId="101" xr:uid="{9ABC94E5-6348-4979-9DFA-C62ADD339231}"/>
    <cellStyle name="style1688182198656" xfId="102" xr:uid="{E3027A9D-17AF-42EE-B2A6-C9D248E97934}"/>
    <cellStyle name="style1688182198734" xfId="103" xr:uid="{0B5DEA86-1D62-4708-A12A-416D23BD6493}"/>
    <cellStyle name="style1688182198813" xfId="104" xr:uid="{945DB770-A28B-45BB-B8F5-A9B6FD0980AA}"/>
    <cellStyle name="style1688182198878" xfId="105" xr:uid="{D3853416-736E-45C7-A469-20F232F068F5}"/>
    <cellStyle name="style1688182198971" xfId="106" xr:uid="{C8C98CCF-3B76-40B0-9568-DAF9B878DD79}"/>
    <cellStyle name="style1688182199221" xfId="107" xr:uid="{A28D624F-ACFF-4EBF-9472-6E2B854791A2}"/>
    <cellStyle name="style1688182199284" xfId="108" xr:uid="{71A6D067-14AD-419A-9FA8-CAAE53385DE9}"/>
    <cellStyle name="style1688182199409" xfId="109" xr:uid="{B849F95D-85D1-45DF-8F3E-D696BDF88AEC}"/>
    <cellStyle name="style1688182199534" xfId="110" xr:uid="{B910A60C-7DBB-4681-99C3-26F804B6EFA4}"/>
    <cellStyle name="style1688182199612" xfId="111" xr:uid="{C9DC4F6F-A7E6-481B-ABC5-F964528AC088}"/>
    <cellStyle name="style1688182199674" xfId="112" xr:uid="{302D0D58-76B6-40B2-BE40-85EF3AE47AD1}"/>
    <cellStyle name="style1688182199737" xfId="113" xr:uid="{53E2D9F2-7ACC-4CD7-B333-07E2DA833B26}"/>
    <cellStyle name="style1688182199799" xfId="114" xr:uid="{67D5E17D-048E-4D6D-BD98-864581A56B64}"/>
    <cellStyle name="style1688182199886" xfId="115" xr:uid="{8B73FD0B-C0FA-42D6-B27C-2418FAE278A5}"/>
    <cellStyle name="style1688182199941" xfId="116" xr:uid="{F685BC84-8968-4F3C-81DE-713104288A3F}"/>
    <cellStyle name="style1688182200035" xfId="117" xr:uid="{94D8B0DB-8DD7-4B1A-894F-B4661ECF2C3F}"/>
    <cellStyle name="style1688182200128" xfId="118" xr:uid="{9B8FD71A-5331-48D2-A96C-A00FF62B6DCE}"/>
    <cellStyle name="style1688182200206" xfId="119" xr:uid="{EBD01082-35CE-434B-90AD-DDD39B249CAC}"/>
    <cellStyle name="style1688182200347" xfId="120" xr:uid="{A46F2567-7164-4FBF-8E8F-CAC7BFF5C399}"/>
    <cellStyle name="style1688182200425" xfId="121" xr:uid="{B883A08D-B268-4574-B754-1C0CF375A36D}"/>
    <cellStyle name="style1688184247320" xfId="122" xr:uid="{65DE0728-E350-42E6-9479-864FEC65C24B}"/>
    <cellStyle name="style1688184247461" xfId="123" xr:uid="{848EBA05-AE38-41A7-A13D-B3F536E7B61B}"/>
    <cellStyle name="style1688184247648" xfId="124" xr:uid="{0C873F77-CB23-46E8-9036-E6C2463A3DED}"/>
    <cellStyle name="style1688184247773" xfId="125" xr:uid="{A67E274A-26F6-4663-A227-19030E9D55CF}"/>
    <cellStyle name="style1688184247898" xfId="126" xr:uid="{822B1C51-745E-4B6F-9D12-C10CBB3ADAC1}"/>
    <cellStyle name="style1688184248065" xfId="127" xr:uid="{59408A96-346F-4DA0-9639-EAD6F2E0F27A}"/>
    <cellStyle name="style1688184248243" xfId="128" xr:uid="{4472457B-4BEF-4B50-B98C-54BE8EB274EB}"/>
    <cellStyle name="style1688184248352" xfId="129" xr:uid="{AE744A20-B86B-43CC-9893-6551B6480518}"/>
    <cellStyle name="style1688184248508" xfId="130" xr:uid="{A8551DE3-4EC2-4CD4-8363-3730C5CECC9E}"/>
    <cellStyle name="style1688184248664" xfId="131" xr:uid="{99AE124D-DEE3-4967-ADF4-6FF132C05B5C}"/>
    <cellStyle name="style1688184248820" xfId="132" xr:uid="{12732CF8-5A91-43ED-ACA3-3F62408BE6C2}"/>
    <cellStyle name="style1688184248945" xfId="133" xr:uid="{E43C41CB-8BAA-4602-9FCB-A28FF2BEAFD2}"/>
    <cellStyle name="style1688185952387" xfId="134" xr:uid="{05240266-B542-4E26-8C8A-71482B50E839}"/>
    <cellStyle name="style1688185952496" xfId="135" xr:uid="{6882BC9F-4522-448B-AF2B-718EF75A587A}"/>
    <cellStyle name="style1688185952574" xfId="136" xr:uid="{E1D85C5F-E62D-4EF4-BB80-A621C84FFF2E}"/>
    <cellStyle name="style1688185952653" xfId="137" xr:uid="{0CA455D1-E881-4460-AB5A-B1B72A1720E2}"/>
    <cellStyle name="style1688185952715" xfId="138" xr:uid="{FD37CFA1-5234-4009-A812-470509B357E4}"/>
    <cellStyle name="style1688185952793" xfId="139" xr:uid="{A0BE2AC1-55CD-4716-B76D-94164B8FF4C3}"/>
    <cellStyle name="style1688185952887" xfId="140" xr:uid="{00610E12-4695-4318-A362-0BA2964D3BAA}"/>
    <cellStyle name="style1688185952934" xfId="141" xr:uid="{92652B74-E6F1-4DAA-B18D-17B0172B7669}"/>
    <cellStyle name="style1688185953012" xfId="142" xr:uid="{A74BDB14-2215-455A-9B11-6CC9ED912F2B}"/>
    <cellStyle name="style1688185953075" xfId="143" xr:uid="{BD8556B8-2149-4EE4-A00D-6F6E3381EC72}"/>
    <cellStyle name="style1688185953137" xfId="144" xr:uid="{B4FD75B3-6E48-4DC8-95CD-5B7D6D088CF7}"/>
    <cellStyle name="style1688185953184" xfId="145" xr:uid="{294F51D9-39D2-4E98-9B0A-96B889E7C413}"/>
    <cellStyle name="style1688207268028" xfId="146" xr:uid="{76D496D1-9FC7-4B76-8181-44FBAF0D94A0}"/>
    <cellStyle name="style1688207268135" xfId="147" xr:uid="{0ACB66EB-9BD2-4FD9-A82B-EDCBCA6281B8}"/>
    <cellStyle name="style1688207268256" xfId="148" xr:uid="{3D60A762-184C-43C7-ADE2-22C814876A62}"/>
    <cellStyle name="style1688207268341" xfId="149" xr:uid="{3BCBD33B-8DCF-424B-8223-AC94FDF785F1}"/>
    <cellStyle name="style1688207268430" xfId="150" xr:uid="{EB881121-8118-411F-8862-70CBB73FE543}"/>
    <cellStyle name="style1688207268525" xfId="151" xr:uid="{BDECABF1-00C9-462E-BC16-428FBEAFF772}"/>
    <cellStyle name="style1688207268645" xfId="152" xr:uid="{75F544EC-EBF0-41F9-BB30-BC55C4161FC2}"/>
    <cellStyle name="style1688207268752" xfId="153" xr:uid="{00F59497-F586-4F07-B749-383DD8635809}"/>
    <cellStyle name="style1688207268849" xfId="154" xr:uid="{E1DCD1B4-26E2-44C0-BAF0-2DD79D2D89FA}"/>
    <cellStyle name="style1688207268927" xfId="155" xr:uid="{4CDAA42E-AFBE-48E7-A3BA-71C2F5ACA270}"/>
    <cellStyle name="style1688207269000" xfId="156" xr:uid="{CE0EB8EC-BD2A-48BD-90B5-C4A3BB314E7B}"/>
    <cellStyle name="style1688207269294" xfId="157" xr:uid="{CE81781F-A7FE-47AE-B395-E7DA809957E3}"/>
    <cellStyle name="style1688207269424" xfId="158" xr:uid="{CADAB96C-2228-4BB4-8D12-AAD2C11B936D}"/>
    <cellStyle name="style1688207269516" xfId="159" xr:uid="{D581138E-90F8-4467-9BB9-F824DCCDA38B}"/>
    <cellStyle name="style1688207269585" xfId="160" xr:uid="{4FB526A8-E17F-43E3-A52F-48A2E1529663}"/>
    <cellStyle name="style1688207269674" xfId="161" xr:uid="{323EAB50-9E47-4A5B-AB5D-336BE915B245}"/>
    <cellStyle name="style1688207269753" xfId="162" xr:uid="{16E03094-10AC-44B0-A59E-5DE4CFA4FD29}"/>
    <cellStyle name="style1688207687223" xfId="163" xr:uid="{0D7D99C2-E57F-43F2-BD77-788A0DD7C17A}"/>
    <cellStyle name="style1688207687329" xfId="164" xr:uid="{7D7F4C63-399D-4DC9-AE41-747F20F51DCB}"/>
    <cellStyle name="style1688207687525" xfId="165" xr:uid="{494A4FB5-E912-4176-9163-394197540066}"/>
    <cellStyle name="style1688207687657" xfId="166" xr:uid="{654BC702-F2E8-4617-8D48-FF871380E3C0}"/>
    <cellStyle name="style1688207687723" xfId="167" xr:uid="{936402E2-3FC5-4BF9-84A2-FFF0CFCDCECA}"/>
    <cellStyle name="style1688207687839" xfId="168" xr:uid="{B9B7A2A0-4F8F-4642-AA0B-22815B378A7F}"/>
    <cellStyle name="style1688207688106" xfId="169" xr:uid="{FBC814CC-2CD6-46EF-9B9D-20487C4DEFF6}"/>
    <cellStyle name="style1688207688214" xfId="170" xr:uid="{78FF3EEA-7ABF-4A8E-B7E5-57804FC8C15E}"/>
    <cellStyle name="style1688207688425" xfId="171" xr:uid="{51863E99-EA44-40B4-A04E-859D573BB8E0}"/>
    <cellStyle name="style1688211704177" xfId="172" xr:uid="{8F1C9D78-81A7-4BE9-BEB3-0A7E86EA11CE}"/>
    <cellStyle name="style1688211704296" xfId="173" xr:uid="{01ED5633-9306-4221-AB0D-B48092792A13}"/>
    <cellStyle name="style1688211704396" xfId="174" xr:uid="{1364D9DA-EA45-411E-9862-6F5381746355}"/>
    <cellStyle name="style1688211704472" xfId="175" xr:uid="{A96B4D10-2C70-44EC-917D-7DA978D3F1B0}"/>
    <cellStyle name="style1688211704569" xfId="176" xr:uid="{05154FF5-9781-4F99-99CD-7F9115457FF2}"/>
    <cellStyle name="style1688211704660" xfId="177" xr:uid="{EE1D41E0-0CA8-46A2-A18D-8293704EF838}"/>
    <cellStyle name="style1688211704778" xfId="178" xr:uid="{B1C513D6-C447-442C-B5D4-6CCBFEE10ED5}"/>
    <cellStyle name="style1688211704851" xfId="179" xr:uid="{3B3A903B-C700-48B5-92BF-41EB4A72D427}"/>
    <cellStyle name="style1688211704964" xfId="180" xr:uid="{ED67A053-6545-4959-A5DB-7CE3724F1BA6}"/>
    <cellStyle name="style1688211705054" xfId="181" xr:uid="{51B7BAD3-2D17-487B-9A48-85738D1086EA}"/>
    <cellStyle name="style1688211705138" xfId="182" xr:uid="{EF7FFD65-DCDA-41D0-8CC0-4C6735CAADAE}"/>
    <cellStyle name="style1688211705207" xfId="183" xr:uid="{C4228EE8-1A98-470B-834B-5CDE7EF68C86}"/>
    <cellStyle name="style1688468157446" xfId="184" xr:uid="{EE5EBBC1-E849-4941-A5E3-7AF9F13A2BAC}"/>
    <cellStyle name="style1688468157540" xfId="185" xr:uid="{A705D3AF-5F1D-434B-8FDD-CDC17B680E92}"/>
    <cellStyle name="style1688468157603" xfId="186" xr:uid="{259945A4-6727-43C6-B5B0-E4743BABC9E5}"/>
    <cellStyle name="style1688468157649" xfId="187" xr:uid="{BA1400CE-5471-4A8F-8DFA-560795831E0A}"/>
    <cellStyle name="style1688468157728" xfId="188" xr:uid="{4A671BC6-A4BE-4D0E-BCD5-827ABD23D612}"/>
    <cellStyle name="style1688468157806" xfId="189" xr:uid="{15B98342-F5EF-441D-A047-2C95F32CA913}"/>
    <cellStyle name="style1688468157868" xfId="190" xr:uid="{11F998C8-123B-4009-8198-9D62CF492D43}"/>
    <cellStyle name="style1688468157931" xfId="191" xr:uid="{CD848AA3-05E7-442D-9CAA-8692AB39F220}"/>
    <cellStyle name="style1688468158040" xfId="192" xr:uid="{8B98AE1C-BFEF-4C25-AC22-CCCB71A802AF}"/>
    <cellStyle name="style1688468158150" xfId="193" xr:uid="{0FE0E1FC-3618-4346-8164-7D2C400B8551}"/>
    <cellStyle name="style1688468158212" xfId="194" xr:uid="{E2091832-E57F-472C-80B7-C1A3B8E82132}"/>
    <cellStyle name="style1688468158275" xfId="195" xr:uid="{AFCA8FC0-CA41-4DC7-B6A1-27AC9734E08B}"/>
    <cellStyle name="style1688468178383" xfId="196" xr:uid="{72C96E3B-4E9C-4FC6-B1F9-8D0B22B4CBEE}"/>
    <cellStyle name="style1688468178445" xfId="197" xr:uid="{F7387F9F-B990-4205-B986-4F4C1C6BF718}"/>
    <cellStyle name="style1688468178523" xfId="198" xr:uid="{7BFBCF2A-E3BB-4C25-924F-1673F2FF03ED}"/>
    <cellStyle name="style1688468178570" xfId="199" xr:uid="{FF2DF0A6-590A-4837-AC8B-C55726704748}"/>
    <cellStyle name="style1688468178633" xfId="200" xr:uid="{62A0FF4B-D86C-4EB4-8CD9-532026A98D6B}"/>
    <cellStyle name="style1688468178711" xfId="201" xr:uid="{424228F4-A410-412A-BCC2-60B5A60B30C3}"/>
    <cellStyle name="style1688468178773" xfId="202" xr:uid="{7CBBE8F3-2CA1-4202-BF6F-1E3412DB2A47}"/>
    <cellStyle name="style1688468178820" xfId="203" xr:uid="{4C7AFFBF-C8A2-4AA4-9AB1-B71000687F0B}"/>
    <cellStyle name="style1688468178914" xfId="204" xr:uid="{70F3CAC9-06C2-4CCC-AB2C-CE4C2925BE7A}"/>
    <cellStyle name="style1688468178976" xfId="205" xr:uid="{A8908923-0F55-47A7-B417-C6CE9FDE9AD7}"/>
    <cellStyle name="style1688468179086" xfId="206" xr:uid="{B16AEFDB-5413-474C-AD3C-F2213F7C41B0}"/>
    <cellStyle name="style1688468179180" xfId="207" xr:uid="{FB4AAB91-8B02-4941-953E-F3FF528846E2}"/>
    <cellStyle name="style1688468179226" xfId="208" xr:uid="{FDE63295-304F-45BA-BEE2-D9975A321BE1}"/>
    <cellStyle name="style1688468179289" xfId="209" xr:uid="{A1907821-685E-41C8-B513-5D14B62D866E}"/>
    <cellStyle name="style1688468196806" xfId="210" xr:uid="{70D13030-F473-47EC-89F2-882CABA8E888}"/>
    <cellStyle name="style1688468197009" xfId="211" xr:uid="{9360B104-913C-46D0-B1E6-2CD3E110A5BE}"/>
    <cellStyle name="style1688468197149" xfId="212" xr:uid="{D491DF61-C925-488D-B0FD-91413BF4492B}"/>
    <cellStyle name="style1688468224279" xfId="213" xr:uid="{9C295519-1D48-4BD3-AFA9-8E2755246CE2}"/>
    <cellStyle name="style1688468224373" xfId="214" xr:uid="{69DA63C9-14AC-4121-8557-F69AE2DFE455}"/>
    <cellStyle name="style1688468224451" xfId="215" xr:uid="{16B6208A-6DE1-4045-AC8E-43F4427F8EA5}"/>
    <cellStyle name="style1688468224513" xfId="216" xr:uid="{25B12E23-6C91-4095-9400-A153520D924E}"/>
    <cellStyle name="style1688468224607" xfId="217" xr:uid="{93D49F5E-96DD-42EB-A27C-49E3C187F634}"/>
    <cellStyle name="style1688468224685" xfId="218" xr:uid="{001D7D50-3FB0-45D8-B041-F5825056E108}"/>
    <cellStyle name="style1688468224779" xfId="219" xr:uid="{2C51875E-20A2-4B65-AD6B-01ECEBA70FDA}"/>
    <cellStyle name="style1688468224857" xfId="220" xr:uid="{473BE580-C6AD-4478-A814-AB1839968DD6}"/>
    <cellStyle name="style1688468224982" xfId="221" xr:uid="{68C38EBF-9F90-4278-A36C-4783F21E4DC0}"/>
    <cellStyle name="style1688468225060" xfId="222" xr:uid="{CEC9F527-DD31-4E80-A936-5E487927D683}"/>
    <cellStyle name="style1688468225154" xfId="223" xr:uid="{36A3BCF2-7C0C-4212-8AD7-5F7A1F04E16B}"/>
    <cellStyle name="style1688468225232" xfId="224" xr:uid="{9060C6B8-6839-4028-9D1E-0CF6EC0E32B5}"/>
    <cellStyle name="style1688468225295" xfId="225" xr:uid="{C3C0088B-F1C4-480B-9301-00A94210BD84}"/>
    <cellStyle name="style1688468225357" xfId="226" xr:uid="{4646DB6F-937F-4C99-AA7D-3388DE97B101}"/>
    <cellStyle name="style1688468250764" xfId="227" xr:uid="{1E6AFF5A-B555-4552-8444-719E666ED56B}"/>
    <cellStyle name="style1688468250858" xfId="228" xr:uid="{9B6C304A-9F12-4421-B39C-0F49526F223B}"/>
    <cellStyle name="style1688468250999" xfId="229" xr:uid="{9317A14A-1D5A-4BBA-8934-406ECFFEF5C1}"/>
    <cellStyle name="style1688468251124" xfId="230" xr:uid="{6DD6CF9B-AD0D-4C4F-BF70-B5F7A156EC02}"/>
    <cellStyle name="style1688468251264" xfId="231" xr:uid="{F46C2869-EE7E-4D6F-AB88-819ED589599B}"/>
    <cellStyle name="style1688468251421" xfId="232" xr:uid="{3D5B1B89-23DD-4C12-989E-DF8F311C33B9}"/>
    <cellStyle name="style1688468251530" xfId="233" xr:uid="{36F70208-9B13-4F85-99A9-3AE0884E96DE}"/>
    <cellStyle name="style1688468251608" xfId="234" xr:uid="{D906AB0E-1491-44C9-B6B9-2532F3F9289E}"/>
    <cellStyle name="style1688468251733" xfId="235" xr:uid="{4E289962-C521-4F40-B40D-938EB24C53ED}"/>
    <cellStyle name="style1688468251811" xfId="236" xr:uid="{29D8D0A6-995C-406D-B5B8-B4FC72E20E11}"/>
    <cellStyle name="style1688468251889" xfId="237" xr:uid="{48845078-5A29-4AE8-8EC8-6C7B773EF4C9}"/>
    <cellStyle name="style1688468251952" xfId="238" xr:uid="{25300B52-8055-4E81-AD37-E1C938750550}"/>
    <cellStyle name="style1688468272215" xfId="239" xr:uid="{790EC1DD-A937-47FB-A415-35F9F8B3AFD3}"/>
    <cellStyle name="style1688468272293" xfId="240" xr:uid="{BB14980E-D0B8-495B-ADD2-5D89495BE721}"/>
    <cellStyle name="style1688468272371" xfId="241" xr:uid="{DD55FA15-5EEF-4708-9A24-9CAA09825A63}"/>
    <cellStyle name="style1688468272418" xfId="242" xr:uid="{C6B97CD4-A029-4B27-BFA6-DA5DB0064FDF}"/>
    <cellStyle name="style1688468272480" xfId="243" xr:uid="{9ABC3BAC-DEBA-4494-ABEC-3FAC429952A9}"/>
    <cellStyle name="style1688468272543" xfId="244" xr:uid="{14FB90F3-DF49-4F51-AAA0-F88B90161FD5}"/>
    <cellStyle name="style1688468272605" xfId="245" xr:uid="{CC4766C1-D4F9-4E64-8FCD-44003D1ECFDC}"/>
    <cellStyle name="style1688468272652" xfId="246" xr:uid="{ABE83C0A-7EA3-4194-89C7-923202D8D4BA}"/>
    <cellStyle name="style1688468272746" xfId="247" xr:uid="{DDA03BB4-E612-48D7-95E3-FA7C03E9B7C0}"/>
    <cellStyle name="style1688468272808" xfId="248" xr:uid="{5581DA44-B00E-4FAC-9894-0A9D5880B378}"/>
    <cellStyle name="style1688468272871" xfId="249" xr:uid="{B8DDB20A-0922-450A-898E-262AC1FD3988}"/>
    <cellStyle name="style1688468272918" xfId="250" xr:uid="{C2CB3CC5-01C4-4A7E-91C2-25AD53B374FF}"/>
    <cellStyle name="style1688471793683" xfId="251" xr:uid="{D5F7B832-32CD-402C-B801-57743EB1D0AB}"/>
    <cellStyle name="style1688471793761" xfId="252" xr:uid="{3E6994AE-8CB7-4274-9306-1096FBF4BBBC}"/>
    <cellStyle name="style1688471793824" xfId="253" xr:uid="{ADFBE433-4AD3-41CB-8E43-5741FC97D3CE}"/>
    <cellStyle name="style1688471793870" xfId="254" xr:uid="{FB3B0742-2444-440F-82B7-1023FD726E40}"/>
    <cellStyle name="style1688471793933" xfId="255" xr:uid="{2E1A0225-F5FB-4705-B98F-300FFEAABF86}"/>
    <cellStyle name="style1688471793995" xfId="256" xr:uid="{D1AECFF7-F149-46C5-936B-B21D35378209}"/>
    <cellStyle name="style1688471794058" xfId="257" xr:uid="{FCBE5B54-9B18-4F9E-98F5-E571E33400F8}"/>
    <cellStyle name="style1688471794105" xfId="258" xr:uid="{E570CE95-31F2-443B-AE3C-C470867E4B8C}"/>
    <cellStyle name="style1688471794183" xfId="259" xr:uid="{18557A2F-428D-461F-B3AD-081D18E198F5}"/>
    <cellStyle name="style1688471794246" xfId="260" xr:uid="{605E75E4-909A-4807-9A6F-E2FF7CA93696}"/>
    <cellStyle name="style1688471794324" xfId="261" xr:uid="{DC4620F9-0B01-41AD-906A-FACF2D56BD03}"/>
    <cellStyle name="style1688471794371" xfId="262" xr:uid="{61BA148E-3F94-4813-BC1A-4C5D2D029EF1}"/>
    <cellStyle name="style1688472953762" xfId="263" xr:uid="{2DC519B0-91B3-465D-9D10-1494D25D68EF}"/>
    <cellStyle name="style1688472953840" xfId="264" xr:uid="{1C0A1EAA-02C8-42B0-9B30-F629FACA7465}"/>
    <cellStyle name="style1688472953903" xfId="265" xr:uid="{9F820C14-3901-4EB7-9CB1-7E8DDF1B231B}"/>
    <cellStyle name="style1688472953966" xfId="266" xr:uid="{704D2668-F3CB-4773-B8E7-2067D3FEDCC6}"/>
    <cellStyle name="style1688472954044" xfId="267" xr:uid="{B5B55E0D-83B0-482F-A7C8-A9E4A655E483}"/>
    <cellStyle name="style1688472954138" xfId="268" xr:uid="{AC3E07A7-BA3D-4064-9D67-CCA25C550867}"/>
    <cellStyle name="style1688472954216" xfId="269" xr:uid="{5A27A700-E492-405D-AE21-2AA45C71363F}"/>
    <cellStyle name="style1688472954263" xfId="270" xr:uid="{094FCA05-63AC-4A99-8A9A-BAC74CE090C2}"/>
    <cellStyle name="style1688472954419" xfId="271" xr:uid="{EE2A2CA3-4B9B-4F52-A5B2-DA39EC51C301}"/>
    <cellStyle name="style1688472954513" xfId="272" xr:uid="{971A2754-C6E6-45EF-AF9B-85A0BE1F58F4}"/>
    <cellStyle name="style1688472954606" xfId="273" xr:uid="{9E85F4A9-8E91-4566-BA27-7B852A85DD93}"/>
    <cellStyle name="style1688472954684" xfId="274" xr:uid="{1DAAB937-7151-48D0-8D10-9CA3B1217861}"/>
    <cellStyle name="style1688472972716" xfId="275" xr:uid="{0312EE82-62A4-44FC-A818-3A9357475DB2}"/>
    <cellStyle name="style1688472972825" xfId="276" xr:uid="{3F134FC0-9606-4CC1-B372-7A7280FB4CE1}"/>
    <cellStyle name="style1688472972919" xfId="277" xr:uid="{3CF7CC2C-D149-42DB-A4EC-FC62B5E81953}"/>
    <cellStyle name="style1688472972997" xfId="278" xr:uid="{F17B0313-761E-4FB4-B30F-F3565849F0B5}"/>
    <cellStyle name="style1688472973106" xfId="279" xr:uid="{F2FBCE87-D621-42C0-A768-1C0F706D58E1}"/>
    <cellStyle name="style1688472973200" xfId="280" xr:uid="{409387DA-C4C5-4DD8-A776-29A75E668960}"/>
    <cellStyle name="style1688472973278" xfId="281" xr:uid="{6CB1A527-4970-4EF8-8867-B44B77645526}"/>
    <cellStyle name="style1688472973341" xfId="282" xr:uid="{D61B038F-181E-45EC-8C65-8E646E5990EC}"/>
    <cellStyle name="style1688472973403" xfId="283" xr:uid="{C171B832-1EB8-40C6-8A41-73BBA4C000AC}"/>
    <cellStyle name="style1688472973466" xfId="284" xr:uid="{71EB6037-5F6C-492B-A135-11843A0B1095}"/>
    <cellStyle name="style1688472973512" xfId="285" xr:uid="{D16E2027-AD5B-4D70-91CD-C257D7EC0CDB}"/>
    <cellStyle name="style1688472973684" xfId="286" xr:uid="{7572B9F8-2313-4F9B-823C-EF819057211E}"/>
    <cellStyle name="style1688472973747" xfId="287" xr:uid="{781C1EAB-59AD-417D-A400-04E7141594B2}"/>
    <cellStyle name="style1688472973809" xfId="288" xr:uid="{873A75E8-416D-4343-8709-051B12FF61C4}"/>
    <cellStyle name="style1688472973872" xfId="289" xr:uid="{8FB04680-357B-4A3F-B342-A14354569E87}"/>
    <cellStyle name="style1688472973919" xfId="290" xr:uid="{A64AD468-6209-4983-BABB-5CF2E92D9E6D}"/>
    <cellStyle name="style1688472973981" xfId="291" xr:uid="{A178B462-D3CE-43EC-9F37-F9385369F281}"/>
    <cellStyle name="style1688476587127" xfId="292" xr:uid="{7D34F054-EBF3-4FF8-9800-E8D69F4E7FA6}"/>
    <cellStyle name="style1688476587268" xfId="293" xr:uid="{B33ABEC8-AA68-4245-A2EE-68965F121A06}"/>
    <cellStyle name="style1688476587440" xfId="294" xr:uid="{79BD36D5-E29D-447C-86DD-A99C56E84175}"/>
    <cellStyle name="style1688476604956" xfId="295" xr:uid="{477B5823-14CB-446F-983F-7F3CB39810C0}"/>
    <cellStyle name="style1688476605018" xfId="296" xr:uid="{D3C6CC01-FBEF-42B5-A84A-715CE7BA8160}"/>
    <cellStyle name="style1688476605081" xfId="297" xr:uid="{5F6551A5-BA8C-4684-B69A-784E7BD007A8}"/>
    <cellStyle name="style1688476605127" xfId="298" xr:uid="{5EBDADCF-88C6-4C1B-A688-8C48DE74C348}"/>
    <cellStyle name="style1688476605190" xfId="299" xr:uid="{E7EE9451-4A03-41D3-AEBD-BE00D9E7288A}"/>
    <cellStyle name="style1688476605268" xfId="300" xr:uid="{4317D287-D9F1-4855-BF5E-52CDE1E9367C}"/>
    <cellStyle name="style1688476605330" xfId="301" xr:uid="{677F3F9F-3812-4583-9DCD-3CEDD01D8E69}"/>
    <cellStyle name="style1688476605377" xfId="302" xr:uid="{302F696C-8369-4230-B506-2AC32C7C988A}"/>
    <cellStyle name="style1688476605455" xfId="303" xr:uid="{6E675A89-6883-44F4-B70B-7A1B3758D2BC}"/>
    <cellStyle name="style1688476605518" xfId="304" xr:uid="{823C4A1A-1C3D-46C2-83A7-3F02D9E0F9F5}"/>
    <cellStyle name="style1688476605596" xfId="305" xr:uid="{48F17DD6-707C-4462-A298-CA0E712B5F17}"/>
    <cellStyle name="style1688476605658" xfId="306" xr:uid="{2365E73F-226A-40F7-9B52-029EC59EF8C4}"/>
    <cellStyle name="style1688479981551" xfId="307" xr:uid="{05DEEFA9-81AA-4560-82D1-8D97C41E5FA4}"/>
    <cellStyle name="style1688479981645" xfId="308" xr:uid="{0073957C-1F33-4509-9853-5BF7A07F9A97}"/>
    <cellStyle name="style1688479981723" xfId="309" xr:uid="{8121B444-33C8-45EC-981B-DA36B09C8445}"/>
    <cellStyle name="style1688479981786" xfId="310" xr:uid="{31E43111-1975-4127-A355-6EEA46307A5F}"/>
    <cellStyle name="style1688479981864" xfId="311" xr:uid="{B6EABA05-C7C7-4D7C-BA9E-2CF39BA89438}"/>
    <cellStyle name="style1688479981958" xfId="312" xr:uid="{F2CB9856-0FC1-479E-A014-4625B05EDF1B}"/>
    <cellStyle name="style1688479982036" xfId="313" xr:uid="{96A67250-437E-4A3D-AE00-31501B612A45}"/>
    <cellStyle name="style1688479982083" xfId="314" xr:uid="{42E74B96-64BA-4341-916B-350A0E45629B}"/>
    <cellStyle name="style1688479982192" xfId="315" xr:uid="{27E73D4B-E157-4CF9-8BCB-54A4AA8EB7AF}"/>
    <cellStyle name="style1688479982270" xfId="316" xr:uid="{07F94C57-236E-4A8E-BFBA-37CAC4542321}"/>
    <cellStyle name="style1688479982364" xfId="317" xr:uid="{201224CB-1B2E-4643-9121-2B8E522B7904}"/>
    <cellStyle name="style1688479982442" xfId="318" xr:uid="{AD82019C-0FFF-473D-90DB-8F340EBF50DA}"/>
    <cellStyle name="style1688480001913" xfId="319" xr:uid="{059107A7-1BBD-4594-A1E6-77279A8C94E9}"/>
    <cellStyle name="style1688480001976" xfId="320" xr:uid="{0199FC08-33AD-4C83-9007-E35CBE3EC8C4}"/>
    <cellStyle name="style1688480002038" xfId="321" xr:uid="{C1C63582-788B-43A8-99DB-8F07AA85CB03}"/>
    <cellStyle name="style1688480002101" xfId="322" xr:uid="{0F35199F-4369-41AF-BA93-2AF52AEE1F89}"/>
    <cellStyle name="style1688480002226" xfId="323" xr:uid="{A56BDC41-57A3-4840-AEB3-9E71AEF7A335}"/>
    <cellStyle name="style1688480002304" xfId="324" xr:uid="{864AF0B3-3B51-4D00-9B82-717DEAD40E07}"/>
    <cellStyle name="style1688480002398" xfId="325" xr:uid="{3C19F1E8-4116-49FE-9D56-215EF29D5A2B}"/>
    <cellStyle name="style1688480002476" xfId="326" xr:uid="{16DB4F34-F941-426B-81B6-862F2AC99713}"/>
    <cellStyle name="style1688480002601" xfId="327" xr:uid="{7EA53096-72FA-4A9F-B192-9EBB99AC15BD}"/>
    <cellStyle name="style1688480002711" xfId="328" xr:uid="{914F9903-26C3-47A0-80B0-6CF906F2AC24}"/>
    <cellStyle name="style1688480002789" xfId="329" xr:uid="{9E5FC679-FA46-40FE-8BAF-92A4D3523D7C}"/>
    <cellStyle name="style1688480002836" xfId="330" xr:uid="{A8FFC4E0-DBE4-4D86-BAC9-09C0EEA4CB6A}"/>
    <cellStyle name="style1688480020156" xfId="331" xr:uid="{AC467ED4-A5B2-4455-9D30-EFE20034E4FC}"/>
    <cellStyle name="style1688480020234" xfId="332" xr:uid="{26CDB9D6-F99A-4DFE-8B57-A627F7A55703}"/>
    <cellStyle name="style1688480020297" xfId="333" xr:uid="{F594D7BE-A237-4602-A90A-897C38F48ED4}"/>
    <cellStyle name="style1688480020359" xfId="334" xr:uid="{9137ACCD-F13D-4DFC-8AD6-AD908EFB260D}"/>
    <cellStyle name="style1688480020422" xfId="335" xr:uid="{CAAD19CD-A2F9-415B-810B-405134775C21}"/>
    <cellStyle name="style1688480020485" xfId="336" xr:uid="{7D1B9A11-1754-4654-9A92-70240B5EDB18}"/>
    <cellStyle name="style1688480020563" xfId="337" xr:uid="{58839205-D221-488F-A427-EA6348AC2993}"/>
    <cellStyle name="style1688480020610" xfId="338" xr:uid="{C4C9FBD3-2FF2-428A-875E-9CAA55829871}"/>
    <cellStyle name="style1688480020688" xfId="339" xr:uid="{77E2FAF1-2E0D-478E-8A47-FB638CFE8F8B}"/>
    <cellStyle name="style1688480020766" xfId="340" xr:uid="{E5F458BA-B895-4858-A33C-59A0648CF58E}"/>
    <cellStyle name="style1688480020828" xfId="341" xr:uid="{5140966D-29BC-46AF-A4E8-B910EDE86A1F}"/>
    <cellStyle name="style1688480020891" xfId="342" xr:uid="{8B433497-7333-4BEA-9025-5B0797C88D50}"/>
    <cellStyle name="style1688480037516" xfId="343" xr:uid="{EA2702B8-738D-4E77-BC46-65C47D2756B8}"/>
    <cellStyle name="style1688480037594" xfId="344" xr:uid="{F02D3A3F-ED9E-42EF-8B39-A563E8F51CDC}"/>
    <cellStyle name="style1688480037672" xfId="345" xr:uid="{333E911E-FD0F-4DA7-9608-6A06125C02AD}"/>
    <cellStyle name="style1688480037719" xfId="346" xr:uid="{AFD4D1EA-3430-4D82-AFAE-206F8C67AEC8}"/>
    <cellStyle name="style1688480037782" xfId="347" xr:uid="{F265A664-43BB-4D35-AA0D-FE5EA7BB74C8}"/>
    <cellStyle name="style1688480037860" xfId="348" xr:uid="{6AFC889F-EFD1-4F6E-8DE5-18007184AB85}"/>
    <cellStyle name="style1688480037922" xfId="349" xr:uid="{53A81E51-4438-4FFD-8C92-148701000682}"/>
    <cellStyle name="style1688480037969" xfId="350" xr:uid="{7EAFBCC8-9E58-4E20-AC97-0F5D8F5EA8DB}"/>
    <cellStyle name="style1688480038047" xfId="351" xr:uid="{73E1E1CF-A0A7-4875-8C15-AAB8C728F28D}"/>
    <cellStyle name="style1688480038126" xfId="352" xr:uid="{405998FE-229B-498D-A224-7CCDDDA7F8B1}"/>
    <cellStyle name="style1688480038188" xfId="353" xr:uid="{7269030A-C7C1-48AC-9D59-B26438220619}"/>
    <cellStyle name="style1688480038250" xfId="354" xr:uid="{EC518B53-D5AB-4621-A84F-773DF573EAD4}"/>
    <cellStyle name="style1688480054479" xfId="355" xr:uid="{B5B56AE2-97A4-4F76-A497-CF2AAC15F504}"/>
    <cellStyle name="style1688480054542" xfId="356" xr:uid="{AF5142C2-9705-42A6-B973-F65BF895175C}"/>
    <cellStyle name="style1688480054620" xfId="357" xr:uid="{DF39211F-1C9C-4886-BD2E-782E04CD8655}"/>
    <cellStyle name="style1688480054667" xfId="358" xr:uid="{DF36DA8E-D8DD-4A0E-8DAB-E6FCE6C37246}"/>
    <cellStyle name="style1688480054730" xfId="359" xr:uid="{B7A3CB52-62F5-474F-B626-E9823BF2F5D9}"/>
    <cellStyle name="style1688480054792" xfId="360" xr:uid="{F3FEBE88-FF20-4420-B6B3-CBD712AAC50B}"/>
    <cellStyle name="style1688480054886" xfId="361" xr:uid="{FE2FD04C-7BAE-44E5-81D9-33F3BF2378C6}"/>
    <cellStyle name="style1688480054964" xfId="362" xr:uid="{DB326D59-A8FB-433B-8D00-1C7368411805}"/>
    <cellStyle name="style1688480055042" xfId="363" xr:uid="{70ECF0EF-0C3F-4116-9D8B-AA94AA30D2A2}"/>
    <cellStyle name="style1688480055136" xfId="364" xr:uid="{7642C961-1226-4306-9B09-B7EC7CEB06A6}"/>
    <cellStyle name="style1688480055198" xfId="365" xr:uid="{CF944426-071B-4CE4-8B1E-99D668FC31C0}"/>
    <cellStyle name="style1688480055276" xfId="366" xr:uid="{4632EE88-99F7-4BA4-A82D-CB6A66D856D2}"/>
    <cellStyle name="style1688486028129" xfId="367" xr:uid="{71DB3FDD-440C-4D05-951B-98BB86AF8F42}"/>
    <cellStyle name="style1688486028236" xfId="368" xr:uid="{6A247DC9-5AC8-4118-AEAF-1274C29B0D14}"/>
    <cellStyle name="style1688486028341" xfId="369" xr:uid="{E8D05D97-CF11-43BC-A894-328D3C056932}"/>
    <cellStyle name="style1688486028419" xfId="370" xr:uid="{28BC66B5-D149-4A81-B235-48DC281A1D74}"/>
    <cellStyle name="style1688486028532" xfId="371" xr:uid="{5D074D9F-0AE5-4D3B-8D29-4AE6DBEE292C}"/>
    <cellStyle name="style1688486028618" xfId="372" xr:uid="{F7FC6848-3C62-41C3-8730-31F36330E072}"/>
    <cellStyle name="style1688486028713" xfId="373" xr:uid="{E0CC39AF-D696-4307-8B47-07D3F812671D}"/>
    <cellStyle name="style1688486028785" xfId="374" xr:uid="{394BEB5B-76A1-427E-B023-059D7FCB98E1}"/>
    <cellStyle name="style1688486028904" xfId="375" xr:uid="{7692AFEA-E8D7-47B7-BCA6-7920209EC79B}"/>
    <cellStyle name="style1688486028999" xfId="376" xr:uid="{F8726B8D-0B80-45AD-AAAA-A83BB03AA1F3}"/>
    <cellStyle name="style1688486029075" xfId="377" xr:uid="{36EED165-E679-4955-B697-E0519596B692}"/>
    <cellStyle name="style1688486029128" xfId="378" xr:uid="{DB00B508-1501-4B3B-ACCD-AB4BF016553D}"/>
    <cellStyle name="style1688486029206" xfId="379" xr:uid="{449AEA32-4C81-4A2F-8187-25E83DAD1378}"/>
    <cellStyle name="style1688486051629" xfId="380" xr:uid="{C5FB7742-D571-4987-B800-271514B581AC}"/>
    <cellStyle name="style1688486051713" xfId="381" xr:uid="{6AD8113A-6FB4-426B-8A35-F1D20E2794E6}"/>
    <cellStyle name="style1688486051812" xfId="382" xr:uid="{1B40AB87-D2C5-4341-94A0-E956144CE29F}"/>
    <cellStyle name="style1688486051872" xfId="383" xr:uid="{F544D26C-ACDC-4BB4-A679-401694F4BC01}"/>
    <cellStyle name="style1688486051952" xfId="384" xr:uid="{A8B6AF99-A908-48E0-A6D0-E3F11FE972EE}"/>
    <cellStyle name="style1688486052032" xfId="385" xr:uid="{51BB8A83-E76E-4F99-8E76-BF8E7C73A618}"/>
    <cellStyle name="style1688486052107" xfId="386" xr:uid="{5DEBE699-6A06-4AD8-B590-FE243EA7299E}"/>
    <cellStyle name="style1688486052160" xfId="387" xr:uid="{B230540A-3684-4173-AB81-F5D94EEF6B7A}"/>
    <cellStyle name="style1688486052240" xfId="388" xr:uid="{51C38626-C65C-4AB8-BA55-DAED0DAE390A}"/>
    <cellStyle name="style1688486052304" xfId="389" xr:uid="{D59F6A8C-A27B-4E41-87BF-D24631678BC4}"/>
    <cellStyle name="style1688486052375" xfId="390" xr:uid="{2C73BD31-6886-4919-B9F0-4E6AD447913B}"/>
    <cellStyle name="style1688486052470" xfId="391" xr:uid="{6B05F501-135D-4795-A480-EC7C68BBD639}"/>
    <cellStyle name="style1688486052541" xfId="392" xr:uid="{18DFA121-7BF8-4895-A6DC-A156FB78BF63}"/>
    <cellStyle name="style1688486078113" xfId="393" xr:uid="{E5FF794E-7BF9-4D57-837A-57C54B18543C}"/>
    <cellStyle name="style1688486078177" xfId="394" xr:uid="{F72B8CEA-3780-400F-B3A2-868FCE6D600C}"/>
    <cellStyle name="style1688486078244" xfId="395" xr:uid="{322CE6F6-144E-4CDC-BB43-14B3011B5217}"/>
    <cellStyle name="style1688486078309" xfId="396" xr:uid="{B1B2138C-5287-4917-B152-7DC61F04D38F}"/>
    <cellStyle name="style1688486078398" xfId="397" xr:uid="{D254DC89-D6F1-40FD-ACCC-11F61B92463B}"/>
    <cellStyle name="style1688486078484" xfId="398" xr:uid="{7C12BE49-82D2-4C3A-B253-A3F153FD14EA}"/>
    <cellStyle name="style1688486078585" xfId="399" xr:uid="{FDCC851F-5922-40BE-AF25-07F17AB234F7}"/>
    <cellStyle name="style1688486078655" xfId="400" xr:uid="{0A0DA4AB-44DD-4251-AD8F-2FCED63BE7A1}"/>
    <cellStyle name="style1688486078746" xfId="401" xr:uid="{0FC345CB-3C28-4C11-84A7-B8AE5AF6F525}"/>
    <cellStyle name="style1688486078816" xfId="402" xr:uid="{A5428EB6-DF63-499D-B786-8818D68D712A}"/>
    <cellStyle name="style1688486078899" xfId="403" xr:uid="{A9123503-D5EF-440D-89DF-1AB150215298}"/>
    <cellStyle name="style1688486078961" xfId="404" xr:uid="{2FB1A21C-4BFB-4BE4-BA1A-08971298E38B}"/>
    <cellStyle name="style1688486096622" xfId="405" xr:uid="{21F980A7-6DE7-4EDA-B34A-CBBE057FEA1A}"/>
    <cellStyle name="style1688486096705" xfId="406" xr:uid="{3839E5DE-228B-4087-A068-C2E86229C8D0}"/>
    <cellStyle name="style1688486096802" xfId="407" xr:uid="{E08BCA7D-C3D9-4B78-A298-5FE595F63122}"/>
    <cellStyle name="style1688486096875" xfId="408" xr:uid="{50984948-F52E-4B91-9C27-4962097F3209}"/>
    <cellStyle name="style1688486097004" xfId="409" xr:uid="{09230550-5FF8-4827-B685-55EEFEAA7F0A}"/>
    <cellStyle name="style1688486097083" xfId="410" xr:uid="{0709F543-6DBE-42B0-968C-00E5425BE38A}"/>
    <cellStyle name="style1688486097159" xfId="411" xr:uid="{A0FEAC6D-1DC4-499C-9A54-852F0C09DE2B}"/>
    <cellStyle name="style1688486097207" xfId="412" xr:uid="{9B43B72F-E372-44BF-B1F2-B5BFFD7379F2}"/>
    <cellStyle name="style1688486097288" xfId="413" xr:uid="{29CAD4B9-83EE-41F2-80F6-169A3714AF85}"/>
    <cellStyle name="style1688486097361" xfId="414" xr:uid="{8FEB9A61-2B11-4004-93CF-E5F9D67CD08B}"/>
    <cellStyle name="style1688486097454" xfId="415" xr:uid="{CD81C816-88FB-4333-9A8B-728940D126B6}"/>
    <cellStyle name="style1688486097541" xfId="416" xr:uid="{DD5B9D96-D5DB-4705-98BD-829D80CBDD7B}"/>
    <cellStyle name="style1688486097595" xfId="417" xr:uid="{5CE4C240-CD64-459A-8D88-62310F48F476}"/>
    <cellStyle name="style1688486122879" xfId="418" xr:uid="{7A0EA384-5354-48DF-95BC-05ECD0238470}"/>
    <cellStyle name="style1688486122958" xfId="419" xr:uid="{43A5AD37-47B5-4A85-848F-8D946CDF3B36}"/>
    <cellStyle name="style1688486123039" xfId="420" xr:uid="{49242716-5E1C-4794-B281-CA64E7F33D6D}"/>
    <cellStyle name="style1688486123090" xfId="421" xr:uid="{A191A575-A05A-415B-A3D3-DFCCCAB1375C}"/>
    <cellStyle name="style1688486123158" xfId="422" xr:uid="{8297420C-01FD-4071-A67E-5375FE7102BB}"/>
    <cellStyle name="style1688486123228" xfId="423" xr:uid="{EE6DE05B-1079-4BF1-AA44-B92DA02AFD47}"/>
    <cellStyle name="style1688486123343" xfId="424" xr:uid="{A0928E43-F196-4698-A22D-077C4AE51E10}"/>
    <cellStyle name="style1688486123483" xfId="425" xr:uid="{D1E166F8-70B1-4B0A-AB8E-377DA932186C}"/>
    <cellStyle name="style1688486123567" xfId="426" xr:uid="{CE75FDBF-8FB7-4D10-B8D8-82D4A9EB1EA8}"/>
    <cellStyle name="style1688486123631" xfId="427" xr:uid="{3BF369E1-7F3D-4944-B1AA-0AE9E4473B82}"/>
    <cellStyle name="style1688486123697" xfId="428" xr:uid="{8D7E3DA0-B857-4653-B803-7217FE73EAB1}"/>
    <cellStyle name="style1688486123749" xfId="429" xr:uid="{9A939F6E-ECBD-4A60-8259-D36D81EAD9FA}"/>
    <cellStyle name="style1688486140423" xfId="430" xr:uid="{F9CBE1B3-C332-4BD2-B863-750C4FBF18D1}"/>
    <cellStyle name="style1688486140490" xfId="431" xr:uid="{B8B44D27-D593-44FF-A64B-BE861A5300BF}"/>
    <cellStyle name="style1688486140558" xfId="432" xr:uid="{98EDB81E-D464-472A-9A83-2300065EDEB9}"/>
    <cellStyle name="style1688486140652" xfId="433" xr:uid="{901C3837-6A5A-4303-8076-F8FA71A07831}"/>
    <cellStyle name="style1688486140797" xfId="434" xr:uid="{E64DBC7E-F6DB-4F7B-80E3-EEDF750602B7}"/>
    <cellStyle name="style1688486140929" xfId="435" xr:uid="{0AC50516-A4C5-4EB5-8D7F-A1C24B80E0E6}"/>
    <cellStyle name="style1688486141082" xfId="436" xr:uid="{DF676274-0A6B-4720-B5F5-4185A5FD4DA9}"/>
    <cellStyle name="style1688486141158" xfId="437" xr:uid="{61B20673-5CD7-43F3-AE3F-5DEF43B89374}"/>
    <cellStyle name="style1688486141277" xfId="438" xr:uid="{FCF9C14A-9133-44C1-84AE-AE844165D941}"/>
    <cellStyle name="style1688486141415" xfId="439" xr:uid="{9B6272CE-7D32-4E28-87B5-536B75EFD1CE}"/>
    <cellStyle name="style1688486141483" xfId="440" xr:uid="{AA1BEBCA-854A-4933-A239-303AEE6947DC}"/>
    <cellStyle name="style1688486141544" xfId="441" xr:uid="{8D6D26CD-0110-4752-94EC-DE067CC4374A}"/>
    <cellStyle name="style1688486165067" xfId="442" xr:uid="{D55F37AC-A2CC-4A76-A2E1-7AB97F543BDC}"/>
    <cellStyle name="style1688486165165" xfId="443" xr:uid="{AD82D28E-A04E-4B4B-9B73-4216C9D41747}"/>
    <cellStyle name="style1688486165248" xfId="444" xr:uid="{308FDE92-EC89-41A8-A467-B491CA0F58A3}"/>
    <cellStyle name="style1688486165321" xfId="445" xr:uid="{96ED5C53-FC4F-4FF8-829E-9FCB23DAEA16}"/>
    <cellStyle name="style1688486165397" xfId="446" xr:uid="{AA6D2FDD-3AC6-4416-AA7D-8E2FB604F5EF}"/>
    <cellStyle name="style1688486165478" xfId="447" xr:uid="{39EC1A8E-C5B3-4309-B718-0B31F0160020}"/>
    <cellStyle name="style1688486165560" xfId="448" xr:uid="{D605D740-3959-45B0-ACD7-094D90E839AF}"/>
    <cellStyle name="style1688486165615" xfId="449" xr:uid="{AC912FDB-C751-45FF-8231-BEC0EC570181}"/>
    <cellStyle name="style1688486165742" xfId="450" xr:uid="{DA88E7F1-D2C2-48B5-A5F5-A5FBE720E166}"/>
    <cellStyle name="style1688486165839" xfId="451" xr:uid="{B076B05D-09B5-46FB-A0C2-42BB1711848D}"/>
    <cellStyle name="style1688486165920" xfId="452" xr:uid="{83C5DB98-A3AC-4367-B0C1-D85448DBFA0C}"/>
    <cellStyle name="style1688486165993" xfId="453" xr:uid="{95573F52-4287-4A5F-B431-3BEB420E9AE4}"/>
    <cellStyle name="style1688487428496" xfId="454" xr:uid="{244DF327-BF53-4048-94C2-259E6BDB6E3C}"/>
    <cellStyle name="style1688487428559" xfId="455" xr:uid="{146C91DA-ABA5-4CA0-8474-542A98551772}"/>
    <cellStyle name="style1688487428629" xfId="456" xr:uid="{4AA4DCCD-BB8F-4E4D-BA36-D78D427E31ED}"/>
    <cellStyle name="style1688487447491" xfId="457" xr:uid="{A8FF55A9-E053-4023-B016-DF23A0BBEC81}"/>
    <cellStyle name="style1688487447551" xfId="458" xr:uid="{971D8673-677E-453D-BCED-D3F7BBA36A3A}"/>
    <cellStyle name="style1688487447628" xfId="459" xr:uid="{DF37BBE6-7D58-473D-8616-38CA53276390}"/>
    <cellStyle name="style1688488874785" xfId="460" xr:uid="{1C59153C-1988-4711-B32A-136AEBF9566E}"/>
    <cellStyle name="style1688488874847" xfId="461" xr:uid="{4B66AD33-B50D-4722-B21D-DB9D83979B05}"/>
    <cellStyle name="style1688488874910" xfId="462" xr:uid="{BD271EC6-443A-46CC-8DF7-A4BD14075B59}"/>
    <cellStyle name="style1688488893262" xfId="463" xr:uid="{25C278B9-24D8-40AE-AB97-5452B1CFE268}"/>
    <cellStyle name="style1688488893324" xfId="464" xr:uid="{96CC63D9-5004-44BA-A0A4-5D0CC1FED8CC}"/>
    <cellStyle name="style1688488893407" xfId="465" xr:uid="{9933E39D-9DC0-4C41-983D-9E30650EF219}"/>
    <cellStyle name="style1688488911375" xfId="466" xr:uid="{60EBA947-642A-47A1-B182-F5EC84C591C7}"/>
    <cellStyle name="style1688488911469" xfId="467" xr:uid="{FFA7AC23-B672-434B-8E4B-9626036A1888}"/>
    <cellStyle name="style1688488911531" xfId="468" xr:uid="{CA93873E-8445-4C94-A554-D6529A8791FD}"/>
    <cellStyle name="style1688488930432" xfId="469" xr:uid="{2EC5D969-A173-4AAB-8BF3-C12B0E4BFDB0}"/>
    <cellStyle name="style1688488930510" xfId="470" xr:uid="{6659708E-44E9-400C-9634-A15FC4A3BEBB}"/>
    <cellStyle name="style1688488930572" xfId="471" xr:uid="{79B59192-F7FC-4ED8-B1F8-3756A3F9EC94}"/>
    <cellStyle name="style1688488950382" xfId="472" xr:uid="{7CD6C0EB-A6B6-400E-A526-EAEF3289840A}"/>
    <cellStyle name="style1688488950460" xfId="473" xr:uid="{20817053-986A-419E-9C55-092F95DC8421}"/>
    <cellStyle name="style1688488950522" xfId="474" xr:uid="{5FFEEAAF-55DE-4BBB-B801-047262119659}"/>
    <cellStyle name="style1688705911964" xfId="475" xr:uid="{B143E5CE-80E3-4616-8548-FEFC2A1B303F}"/>
    <cellStyle name="style1688705912058" xfId="476" xr:uid="{00843CEC-E18B-4D0B-BB49-2D36413F9EF0}"/>
    <cellStyle name="style1688705912136" xfId="477" xr:uid="{CCD511E4-CFEE-46C9-9241-2917BD16ADE7}"/>
    <cellStyle name="style1688705912184" xfId="478" xr:uid="{76FD5945-FD74-4E81-AB71-3B85A613E858}"/>
    <cellStyle name="style1688705912278" xfId="479" xr:uid="{4C8D1364-C12F-4F67-B6AD-2B746903290E}"/>
    <cellStyle name="style1688705912356" xfId="480" xr:uid="{C48A6CBF-D580-411F-8280-2CF65EC9FB3A}"/>
    <cellStyle name="style1688705912434" xfId="481" xr:uid="{1928F93C-B59A-449F-AE63-98C949146122}"/>
    <cellStyle name="style1688705912481" xfId="482" xr:uid="{56962C19-B9F8-4861-B2FF-D07E642E7AC8}"/>
    <cellStyle name="style1688705912590" xfId="483" xr:uid="{C23C393F-43E4-45AB-9817-B6A885626DC2}"/>
    <cellStyle name="style1688705912684" xfId="484" xr:uid="{91DAA4BE-5515-489D-ACA2-7C98AEF5A17F}"/>
    <cellStyle name="style1688705912778" xfId="485" xr:uid="{5C72BB90-C24B-4D01-9D3D-D9C0DD2929A9}"/>
    <cellStyle name="style1688705912840" xfId="486" xr:uid="{410D6CE5-F2FB-4A91-8CA9-852319D3E5AA}"/>
    <cellStyle name="style1688706762846" xfId="487" xr:uid="{66595B14-A61E-4C08-8E57-BFE388880A09}"/>
    <cellStyle name="style1688706762924" xfId="488" xr:uid="{CE6B767F-64C1-4680-AA1D-DE8B9F289A14}"/>
    <cellStyle name="style1688706763003" xfId="489" xr:uid="{7A7FEC18-E293-40F3-B341-2341F4C57C94}"/>
    <cellStyle name="style1688706763065" xfId="490" xr:uid="{52EE48BB-24C0-45E7-9C83-1448A8D58BDC}"/>
    <cellStyle name="style1688706763128" xfId="491" xr:uid="{881A6AD1-7317-43B8-ABED-89B8131D6BFD}"/>
    <cellStyle name="style1688706763206" xfId="492" xr:uid="{96D8EC22-4292-425E-8633-FAF3530BA8A4}"/>
    <cellStyle name="style1688706763284" xfId="493" xr:uid="{2C3CEF00-F4A9-46FC-B885-5A871AC3F38E}"/>
    <cellStyle name="style1688706763331" xfId="494" xr:uid="{8E28D5B5-042A-43C6-BB80-62036D04A587}"/>
    <cellStyle name="style1688706763424" xfId="495" xr:uid="{B33C7627-1E6E-4284-9677-0208492D8278}"/>
    <cellStyle name="style1688706763487" xfId="496" xr:uid="{D2A87D24-AA91-47E8-8A18-618E11598DC2}"/>
    <cellStyle name="style1688706763565" xfId="497" xr:uid="{86B03AA5-B8A8-47AC-B7C1-12347EC0C032}"/>
    <cellStyle name="style1688706763628" xfId="498" xr:uid="{DFB8FB5A-74C8-42A7-9169-BAAD8F87DF46}"/>
    <cellStyle name="style1688706782907" xfId="499" xr:uid="{1819B434-9BCE-41DC-B9DA-1C5033A9A0DC}"/>
    <cellStyle name="style1688706783001" xfId="500" xr:uid="{53687C5E-45E0-4E73-B58E-579DD518532E}"/>
    <cellStyle name="style1688706783095" xfId="501" xr:uid="{CE7DA4F3-8335-4ADA-ABBA-4973A3DA1839}"/>
    <cellStyle name="style1688706783173" xfId="502" xr:uid="{F2847084-CB0D-40DE-88DB-B8D1BEE6A44D}"/>
    <cellStyle name="style1688706783251" xfId="503" xr:uid="{2092A731-417F-464E-A574-27499591FC3D}"/>
    <cellStyle name="style1688706783329" xfId="504" xr:uid="{ADB8A2BD-8152-474D-9170-FA9A577FFB87}"/>
    <cellStyle name="style1688706783423" xfId="505" xr:uid="{B44808A4-2E3D-49A8-8994-DA79FD9E442C}"/>
    <cellStyle name="style1688706783501" xfId="506" xr:uid="{4ECEB4BB-A8FE-43AE-8DC2-6949D49F5FF2}"/>
    <cellStyle name="style1688706783610" xfId="507" xr:uid="{F9ED82BF-9168-4CBF-921B-B2723ABE9C1D}"/>
    <cellStyle name="style1688706783688" xfId="508" xr:uid="{24CD3323-69A1-4F4D-AFA7-21EEC8DDB133}"/>
    <cellStyle name="style1688706783782" xfId="509" xr:uid="{06E5C732-A54E-4BD7-B537-26194A3AF5FA}"/>
    <cellStyle name="style1688706783845" xfId="510" xr:uid="{D3073E75-B3A7-4E57-A260-4FFA90300815}"/>
    <cellStyle name="style1688707234788" xfId="511" xr:uid="{3874AD24-6823-42CA-A38C-38E1D682F59C}"/>
    <cellStyle name="style1688707234866" xfId="512" xr:uid="{FE6BA56F-50C4-4807-8CE5-996EBD3192BA}"/>
    <cellStyle name="style1688707234959" xfId="513" xr:uid="{6C7BA18B-9C0C-4B9B-BAF9-BAE4D387925C}"/>
    <cellStyle name="style1688707235021" xfId="514" xr:uid="{3C7CB762-DC4C-456E-87BB-80465BBD5B35}"/>
    <cellStyle name="style1688707235085" xfId="515" xr:uid="{FEBDF88B-26AF-4BC3-84AB-E94928039486}"/>
    <cellStyle name="style1688707235163" xfId="516" xr:uid="{E4EC260C-A118-4753-8DE9-3EDEE5B5E679}"/>
    <cellStyle name="style1688707235226" xfId="517" xr:uid="{A2ACC302-1826-4140-9BAF-83C58D92130D}"/>
    <cellStyle name="style1688707235273" xfId="518" xr:uid="{139D2962-8D38-40D4-A581-4358D57C0DC8}"/>
    <cellStyle name="style1688707235366" xfId="519" xr:uid="{D0B10E97-8520-43D7-BC4B-B6B7CCED085D}"/>
    <cellStyle name="style1688707235429" xfId="520" xr:uid="{DA1A61D4-D7E3-4E0B-A5CA-05EA9CCBAAEC}"/>
    <cellStyle name="style1688707235492" xfId="521" xr:uid="{88612890-327A-40B0-8012-66CBD68A4676}"/>
    <cellStyle name="style1688707235538" xfId="522" xr:uid="{F6FCDF35-33E4-4971-A1EB-16A8ABF26D43}"/>
    <cellStyle name="style1688800920584" xfId="523" xr:uid="{5AFE3FB8-9E7A-4DE8-8A07-4C1264FA7C8D}"/>
    <cellStyle name="style1688800920676" xfId="524" xr:uid="{0FEB3FD5-3D53-4191-84CA-4D8710076A8D}"/>
    <cellStyle name="style1688800920808" xfId="525" xr:uid="{336774B6-11F1-4D61-B5BE-9BC553D76CB8}"/>
    <cellStyle name="style1688800920897" xfId="526" xr:uid="{04B692B0-C149-487A-AC98-BB03396DDF59}"/>
    <cellStyle name="style1688800920996" xfId="527" xr:uid="{F83F78E0-5EAA-4A8C-A77C-AD8EEC3E5BF6}"/>
    <cellStyle name="style1688800921081" xfId="528" xr:uid="{D80DA3A8-7117-4A69-98BB-B229B3566D5E}"/>
    <cellStyle name="style1688800921209" xfId="529" xr:uid="{410D628F-FA05-41A0-84AD-D74946217F27}"/>
    <cellStyle name="style1688800921338" xfId="530" xr:uid="{69F5F36E-2AF2-4FFD-9E4C-7190CE36CD94}"/>
    <cellStyle name="style1688800921441" xfId="531" xr:uid="{0C55A41E-44F3-42A1-BAAC-7CC33BB5A8D1}"/>
    <cellStyle name="style1688800942579" xfId="532" xr:uid="{D98F6442-218A-4371-B500-5F65359F76B9}"/>
    <cellStyle name="style1688800942693" xfId="533" xr:uid="{37385A5A-4853-43B2-B6BC-6635D185AD85}"/>
    <cellStyle name="style1688800942819" xfId="534" xr:uid="{B44B6ECB-FEFF-48A7-84E6-2E13F554D239}"/>
    <cellStyle name="style1688800942939" xfId="535" xr:uid="{12D43A96-EDE2-49DE-9AD9-409E4D1A0F87}"/>
    <cellStyle name="style1688800943034" xfId="536" xr:uid="{15407C37-CD6F-4301-9AA0-0FAEC10C9F48}"/>
    <cellStyle name="style1688800943121" xfId="537" xr:uid="{7B5F0C5D-CAFE-4E7D-A2A8-E0E5AEAD4D1B}"/>
    <cellStyle name="style1688800943210" xfId="538" xr:uid="{09917222-E21C-43A1-9EE2-CAFDD1642157}"/>
    <cellStyle name="style1688800943302" xfId="539" xr:uid="{CD827E4C-7F01-4D96-8EB2-889971723CCC}"/>
    <cellStyle name="style1688800943389" xfId="540" xr:uid="{85EDAE3C-F415-4B29-B706-9E412CEBB2AA}"/>
    <cellStyle name="style1688800961092" xfId="541" xr:uid="{638E98A5-921E-491F-8346-E81A79C7B07A}"/>
    <cellStyle name="style1688800961161" xfId="542" xr:uid="{476007C5-6DFE-4FBA-B679-BAE0FB10DFCB}"/>
    <cellStyle name="style1688800961259" xfId="543" xr:uid="{2A53B1EF-3D62-4022-87A9-DF8940FDE96A}"/>
    <cellStyle name="style1688800961346" xfId="544" xr:uid="{12B2D576-B479-4542-8F84-9956A9CF6E63}"/>
    <cellStyle name="style1688800961434" xfId="545" xr:uid="{D4FCFF1E-3738-48BD-8AC1-0BCB896D8C62}"/>
    <cellStyle name="style1688800961508" xfId="546" xr:uid="{01D03304-F26A-4928-A846-3F027C66B687}"/>
    <cellStyle name="style1688800961600" xfId="547" xr:uid="{70DD2E66-B282-40A2-97E9-D599D104E41D}"/>
    <cellStyle name="style1688800961702" xfId="548" xr:uid="{7AE96CA5-EAB9-42D7-A42E-C31818802737}"/>
    <cellStyle name="style1688800961776" xfId="549" xr:uid="{7DB4C0E9-238B-4B66-A095-1A71EE1FD493}"/>
    <cellStyle name="style1688801019006" xfId="550" xr:uid="{96845BA9-3826-485B-92DC-7322B042BFD3}"/>
    <cellStyle name="style1688801019077" xfId="551" xr:uid="{DBC9F2DB-232E-4D13-BB86-81424607BDF9}"/>
    <cellStyle name="style1688801019150" xfId="552" xr:uid="{6C94DA09-B0A0-446C-AA4A-D7F6EBC182EA}"/>
    <cellStyle name="style1688801019214" xfId="553" xr:uid="{C9BD3BAE-5DF3-463D-9BB0-BF16F6F27D8E}"/>
    <cellStyle name="style1688801019303" xfId="554" xr:uid="{BDE6E25F-4817-45B1-9B38-DCC734FEB1AC}"/>
    <cellStyle name="style1688801019406" xfId="555" xr:uid="{A0423712-3100-4AAD-8146-1995ECA4FC90}"/>
    <cellStyle name="style1688801019511" xfId="556" xr:uid="{C16FBA94-B91D-4F12-B64E-26F33E88013D}"/>
    <cellStyle name="style1688801019572" xfId="557" xr:uid="{2087E147-DB75-47A7-85ED-C29CD17069F7}"/>
    <cellStyle name="style1688801019659" xfId="558" xr:uid="{EF217957-B2AC-4AA2-B158-24BFCDC8941C}"/>
    <cellStyle name="style1688801019807" xfId="559" xr:uid="{8B18435B-AA5E-4EA4-82E2-F53CE7EE4139}"/>
    <cellStyle name="style1688801019938" xfId="560" xr:uid="{7CE66CD8-DDC2-4C20-824A-4C4D4A654001}"/>
    <cellStyle name="style1688801020067" xfId="561" xr:uid="{196B02B4-1BAB-409C-8C90-1F636589AB01}"/>
    <cellStyle name="style1688801042660" xfId="562" xr:uid="{0F6D2777-3F61-481F-BAA9-72458372D192}"/>
    <cellStyle name="style1688801042755" xfId="563" xr:uid="{18301EA1-22AA-4129-B489-486124633D36}"/>
    <cellStyle name="style1688801042859" xfId="564" xr:uid="{5DE66024-E801-4C98-82B5-C832173297AC}"/>
    <cellStyle name="style1688801042942" xfId="565" xr:uid="{F5DCEAD0-A054-4F3E-8DC7-5EC55A54EB1F}"/>
    <cellStyle name="style1688801043014" xfId="566" xr:uid="{350C4389-622B-465D-BF71-42A2FD0F585C}"/>
    <cellStyle name="style1688801043093" xfId="567" xr:uid="{44D0417C-4625-4B50-B64D-C7D1E0CD5D1A}"/>
    <cellStyle name="style1688801043166" xfId="568" xr:uid="{FF028D28-8A75-4595-ADF2-999388F71423}"/>
    <cellStyle name="style1688801043237" xfId="569" xr:uid="{A08E67E8-C149-4591-95F0-0314C8E2613D}"/>
    <cellStyle name="style1688801043327" xfId="570" xr:uid="{ECDD2149-BA4E-490D-8CA6-62B4B6D3F116}"/>
    <cellStyle name="style1688801043449" xfId="571" xr:uid="{0050C04B-A458-492B-A759-0C6A41DD2DAB}"/>
    <cellStyle name="style1688801043548" xfId="572" xr:uid="{078850EA-6842-4425-B863-1599EE0B5635}"/>
    <cellStyle name="style1688801043618" xfId="573" xr:uid="{96B62F90-365D-4968-A12D-196A41A807A6}"/>
    <cellStyle name="style1688801063288" xfId="574" xr:uid="{AB02A0E5-F512-40D2-A259-5CDDFA742C35}"/>
    <cellStyle name="style1688801063356" xfId="575" xr:uid="{65249E5E-32E2-4091-807E-555314F3EEEA}"/>
    <cellStyle name="style1688801063429" xfId="576" xr:uid="{5EF30A3B-AAE7-4315-90BA-3D265A52151C}"/>
    <cellStyle name="style1688801063488" xfId="577" xr:uid="{1C8542C2-0E09-438F-B100-D351EAF37999}"/>
    <cellStyle name="style1688801063563" xfId="578" xr:uid="{76C17A39-5958-4EDF-ACD7-83A4EADA0E22}"/>
    <cellStyle name="style1688801063645" xfId="579" xr:uid="{D0B86869-58C2-4349-A80A-232B1FC9E436}"/>
    <cellStyle name="style1688801063727" xfId="580" xr:uid="{19A87745-1A44-49CA-9772-E261CB5252FB}"/>
    <cellStyle name="style1688801063794" xfId="581" xr:uid="{36DB4C08-EFF0-4DCC-8F77-B70B89338CFC}"/>
    <cellStyle name="style1688801063880" xfId="582" xr:uid="{41CD66AB-97AC-4D17-8156-C8E83EB716B0}"/>
    <cellStyle name="style1688801063949" xfId="583" xr:uid="{6371993C-FF44-4AE9-AFBD-F7DC083EEFA3}"/>
    <cellStyle name="style1688801064030" xfId="584" xr:uid="{2EE288F8-B70F-48F2-9B58-756AEC7FE2C2}"/>
    <cellStyle name="style1688801064114" xfId="585" xr:uid="{7F77FA1B-B535-4F46-87B8-49F7584EEF9B}"/>
    <cellStyle name="style1688804895089" xfId="586" xr:uid="{5293B81D-5C8A-420A-B6E3-801FC0CB586E}"/>
    <cellStyle name="style1688804895183" xfId="587" xr:uid="{84ECFB71-39F0-4152-8B13-43CC7A54F239}"/>
    <cellStyle name="style1688804895390" xfId="588" xr:uid="{33024348-0D96-4D87-A491-C7334DF1270D}"/>
    <cellStyle name="style1688804895515" xfId="589" xr:uid="{34E9FE0D-A0E1-4F9A-9202-636F2E7F0DAA}"/>
    <cellStyle name="style1688804895716" xfId="590" xr:uid="{6D532D59-C085-4986-8EFB-6C9D308621B5}"/>
    <cellStyle name="style1688804895826" xfId="591" xr:uid="{B0368863-D29F-4620-8117-AD88AAC90EE6}"/>
    <cellStyle name="style1688805277591" xfId="592" xr:uid="{978CDB1D-9E72-470F-8C3C-BC70FC8290DE}"/>
    <cellStyle name="style1688805277654" xfId="593" xr:uid="{56E3E465-E25F-47F2-831C-4166D60B294E}"/>
    <cellStyle name="style1688805277795" xfId="594" xr:uid="{D8873B63-AC87-4BF6-B514-5E93772B8B7D}"/>
    <cellStyle name="style1688805277857" xfId="595" xr:uid="{5DD3C0D9-F740-40F9-B8CA-08E870130CFE}"/>
    <cellStyle name="style1688805277998" xfId="596" xr:uid="{B2D7301F-2B14-45BC-928F-0CE77690B542}"/>
    <cellStyle name="style1688805278076" xfId="597" xr:uid="{5672E8C5-3439-497B-9F93-727072022990}"/>
    <cellStyle name="style1688807194794" xfId="598" xr:uid="{4E3DCC5F-4ECC-4E72-8BDB-7642F89AE8C3}"/>
    <cellStyle name="style1688807194966" xfId="599" xr:uid="{F96FB7E6-5F9F-4A5E-ABF4-F7585552BCB9}"/>
    <cellStyle name="style1688807195044" xfId="600" xr:uid="{E3AA4A23-2643-40B5-886C-26BA95C22BE3}"/>
    <cellStyle name="style1688807195107" xfId="601" xr:uid="{F0846CBA-066E-473A-8D53-422F2EFD64B8}"/>
    <cellStyle name="style1688807195185" xfId="602" xr:uid="{29833976-757E-4E4B-88B5-C21315AF9D41}"/>
    <cellStyle name="style1688807195263" xfId="603" xr:uid="{794962D0-E1B2-4C78-A25E-B25AC29E46E0}"/>
    <cellStyle name="style1688807195341" xfId="604" xr:uid="{F853C3B5-7A01-4A38-AEA8-9A608A1E2BA3}"/>
    <cellStyle name="style1688807195419" xfId="605" xr:uid="{567D1073-472C-4E8C-AF78-6333892EECFF}"/>
    <cellStyle name="style1688807195482" xfId="606" xr:uid="{D11B550B-C1EC-42E0-BF44-6A2ED1F10155}"/>
    <cellStyle name="style1688807210678" xfId="607" xr:uid="{FB976A52-55F3-444D-A84B-C2883E196BC3}"/>
    <cellStyle name="style1688807210756" xfId="608" xr:uid="{25DF5269-37D2-4D36-9C39-20113F4932B5}"/>
    <cellStyle name="style1688807210819" xfId="609" xr:uid="{1324F198-DB23-45F8-A661-8148855BA548}"/>
    <cellStyle name="style1688807210881" xfId="610" xr:uid="{8BFF1343-8B8E-4E70-9BF9-5F914D8646D3}"/>
    <cellStyle name="style1688807210944" xfId="611" xr:uid="{A65BDF96-07EF-4BA4-89FA-EA52A25DA701}"/>
    <cellStyle name="style1688807211026" xfId="612" xr:uid="{925868CB-47DC-4C70-87E0-E21F4F73AC4A}"/>
    <cellStyle name="style1688807211116" xfId="613" xr:uid="{C02D7B19-F3E7-4B7F-B282-7055530DBC69}"/>
    <cellStyle name="style1688807211179" xfId="614" xr:uid="{8A79379E-8A0E-4D21-85E1-3944E6EC9C9E}"/>
    <cellStyle name="style1688807211257" xfId="615" xr:uid="{B66F1303-67EB-4BC9-9640-EE098CB3A895}"/>
    <cellStyle name="style1688890235112" xfId="616" xr:uid="{9B54A7A1-2273-4C59-BB25-963C4FDC02B6}"/>
    <cellStyle name="style1688890235200" xfId="617" xr:uid="{2E0D895D-22DB-4643-BE93-65F7F5E7D264}"/>
    <cellStyle name="style1688890235336" xfId="618" xr:uid="{E82892A9-5CA0-4D39-A559-99F82F103D59}"/>
    <cellStyle name="style1688890235419" xfId="619" xr:uid="{2536886F-1AE3-4724-AA8F-A75CD3C188C5}"/>
    <cellStyle name="style1688890235526" xfId="620" xr:uid="{F576AB4B-38A9-4387-8B2F-24C5BCD38D1B}"/>
    <cellStyle name="style1688890235602" xfId="621" xr:uid="{335E0C40-4DBA-4385-8B9D-E8501032047C}"/>
    <cellStyle name="style1688890235692" xfId="622" xr:uid="{23254D11-1EE5-44EE-9AD8-1C5EF62C7C77}"/>
    <cellStyle name="style1688890235767" xfId="623" xr:uid="{8A4C51BA-B2CE-4860-8E3A-4112A49F7EB6}"/>
    <cellStyle name="style1688890235879" xfId="624" xr:uid="{1FDA6273-571E-49E2-A66D-D324ADD26833}"/>
    <cellStyle name="style1688890235961" xfId="625" xr:uid="{69113CF9-14BD-4CE3-9C06-F123BD8DA852}"/>
    <cellStyle name="style1688890236042" xfId="626" xr:uid="{F7431411-B580-4AC7-B82A-55E91B5D1E9E}"/>
    <cellStyle name="style1688890236098" xfId="627" xr:uid="{61578D85-14A3-4E80-B694-6E23D79A6CF3}"/>
    <cellStyle name="style1690016307578" xfId="628" xr:uid="{9E202473-F131-48D0-BDF0-285B9D3E6DCC}"/>
    <cellStyle name="style1690016307703" xfId="629" xr:uid="{E0CCC713-EDAC-47E9-B2BA-143CE85C2875}"/>
    <cellStyle name="style1690016307921" xfId="630" xr:uid="{3202AF6C-FE07-449E-B59D-49AC1F01E7E3}"/>
    <cellStyle name="style1690016308046" xfId="631" xr:uid="{E3E8390F-5EDC-439E-A881-C4CC0C5389CE}"/>
    <cellStyle name="style1690016308313" xfId="632" xr:uid="{AA6B37B4-24D2-41ED-9E3E-E28575AA06AD}"/>
    <cellStyle name="style1690016308454" xfId="633" xr:uid="{7E7B7131-8D4A-418D-8F83-CB9759114F54}"/>
    <cellStyle name="style1690016501066" xfId="634" xr:uid="{7B3FC5DD-3493-42A7-A5F7-D8585E7BCA1D}"/>
    <cellStyle name="style1690016501128" xfId="635" xr:uid="{C7E03CBD-BBAA-4BCD-849A-F145B857973E}"/>
    <cellStyle name="style1690016501191" xfId="636" xr:uid="{8D9234DA-91DD-4172-A2A7-32AA21CD599B}"/>
    <cellStyle name="style1690016501288" xfId="637" xr:uid="{8212E8D5-A9AB-412B-8BCB-1D04AE6CC140}"/>
    <cellStyle name="style1690016501381" xfId="638" xr:uid="{DC3D2964-8A08-4B50-A903-F579F98F2D1C}"/>
    <cellStyle name="style1690016501459" xfId="639" xr:uid="{C82129E9-B739-4CD0-A520-2A1B38DD3C4C}"/>
    <cellStyle name="style1690016501552" xfId="640" xr:uid="{06CC5679-1F54-421F-BC67-BCE8472EA7CF}"/>
    <cellStyle name="style1690016501646" xfId="641" xr:uid="{8EA9B59C-F0F3-417F-99CF-78C0388A64F0}"/>
    <cellStyle name="style1690016501755" xfId="642" xr:uid="{9EA49655-4435-452A-BD45-E73082E11173}"/>
    <cellStyle name="style1690031629125" xfId="643" xr:uid="{22724823-EE27-4400-917D-7E7B2F8C5E9D}"/>
    <cellStyle name="style1690031629212" xfId="644" xr:uid="{F7FC4467-55D9-461D-B8DB-75583D66E23E}"/>
    <cellStyle name="style1690031629295" xfId="645" xr:uid="{96B187B0-3090-489F-823D-2941F4FF5C86}"/>
    <cellStyle name="style1690031629385" xfId="646" xr:uid="{DE2FD81E-A4E2-4923-8853-DE99612DCA79}"/>
    <cellStyle name="style1690031629485" xfId="647" xr:uid="{737235F1-0799-47F5-A10D-56D9CF1A876D}"/>
    <cellStyle name="style1690031629577" xfId="648" xr:uid="{6DF01ADC-8320-41C9-96C2-A602CE0DFF3C}"/>
    <cellStyle name="style1690031629666" xfId="649" xr:uid="{551A7EDF-F77D-4D75-A089-860D5E577971}"/>
    <cellStyle name="style1690031629731" xfId="650" xr:uid="{C838B16D-168C-4D6A-976B-83C335582844}"/>
    <cellStyle name="style1690031629853" xfId="651" xr:uid="{55203783-9ADA-4FD4-B46A-16C541AC0D8C}"/>
    <cellStyle name="style1690031629944" xfId="652" xr:uid="{12C39A71-7719-4EC6-BA15-D0FD9DCF0836}"/>
    <cellStyle name="style1690031630037" xfId="653" xr:uid="{60BD88E3-8C04-4163-A8DD-FDA29385C301}"/>
    <cellStyle name="style1690031630103" xfId="654" xr:uid="{16B6C64A-A8D8-4721-84E6-9D72C679EB13}"/>
    <cellStyle name="style1690031650330" xfId="655" xr:uid="{D9BA0F93-C0C6-4974-B986-74BD8AC87B7C}"/>
    <cellStyle name="style1690031650438" xfId="656" xr:uid="{5B61FD2B-8D09-4A6D-B24A-162E7DC604B9}"/>
    <cellStyle name="style1690031650547" xfId="657" xr:uid="{AB542E72-27B6-43A6-BDAE-DC202F6D1A46}"/>
    <cellStyle name="style1690031650637" xfId="658" xr:uid="{BBDEC242-0447-48ED-BAC0-8AAA54D0880C}"/>
    <cellStyle name="style1690031650743" xfId="659" xr:uid="{9811C488-6B80-4094-9D11-0A438871D0FC}"/>
    <cellStyle name="style1690031650845" xfId="660" xr:uid="{C3A5C5A2-0FC0-4983-BEAD-725BE1B8D72A}"/>
    <cellStyle name="style1690031650933" xfId="661" xr:uid="{A047CF35-C095-424F-A0DB-445EB166F3EA}"/>
    <cellStyle name="style1690031651010" xfId="662" xr:uid="{AA5AC5DD-AE24-4AFF-8729-F6510576D033}"/>
    <cellStyle name="style1690031651166" xfId="663" xr:uid="{F759FBEF-9CDC-4730-8C87-67C209C11943}"/>
    <cellStyle name="style1690031651288" xfId="664" xr:uid="{2F26E706-DAC0-4A65-8C9E-23F24B8283B0}"/>
    <cellStyle name="style1690031651413" xfId="665" xr:uid="{8E11899C-3D86-476E-8962-DCA0040F0DED}"/>
    <cellStyle name="style1690031651548" xfId="666" xr:uid="{B2CAD18E-8CDB-44B3-980C-67F88B18E8EE}"/>
    <cellStyle name="style1690031651636" xfId="667" xr:uid="{6D74DA9A-9E8E-4893-9452-DCDCA1E752B6}"/>
    <cellStyle name="style1690031651704" xfId="668" xr:uid="{0E5603B5-36BF-457F-B238-94967181FB91}"/>
    <cellStyle name="style1690031667701" xfId="669" xr:uid="{F65F92F7-7E07-490A-95E2-7C7671160AB1}"/>
    <cellStyle name="style1690031667877" xfId="670" xr:uid="{C948FDFB-BE7B-4C35-983F-09DFD6B3E68D}"/>
    <cellStyle name="style1690031668081" xfId="671" xr:uid="{F5EF762C-700E-4709-A2A5-CDA2BF07464C}"/>
    <cellStyle name="style1690032497102" xfId="672" xr:uid="{60AB163F-4718-4E3E-A6EE-F9A218ED3A8B}"/>
    <cellStyle name="style1690032497170" xfId="673" xr:uid="{C597407C-96FF-47DB-8738-7C54A9545036}"/>
    <cellStyle name="style1690032497242" xfId="674" xr:uid="{42967B2D-904C-4A76-A58B-03EDBFAB41D3}"/>
    <cellStyle name="style1690032497305" xfId="675" xr:uid="{78083A10-BBA4-4F82-8A52-7A5FE4566B46}"/>
    <cellStyle name="style1690032497397" xfId="676" xr:uid="{E327F8FB-66DA-42BE-A8BE-656F9BD5702F}"/>
    <cellStyle name="style1690032497497" xfId="677" xr:uid="{3C66D0CC-115E-42D2-966E-2D64D1BC31ED}"/>
    <cellStyle name="style1690032497648" xfId="678" xr:uid="{061E8A32-84FD-4F20-B0AC-7F089170C3E1}"/>
    <cellStyle name="style1690032497767" xfId="679" xr:uid="{F756D846-8201-4237-A686-BEC320DF3E4A}"/>
    <cellStyle name="style1690032497948" xfId="680" xr:uid="{67239F0D-0C80-4A63-99BC-FF3B941464B7}"/>
    <cellStyle name="style1690032498008" xfId="681" xr:uid="{EB7AE32B-9E72-4A0A-8E60-8DCB34EA85D5}"/>
    <cellStyle name="style1690032498078" xfId="682" xr:uid="{5DB5E79E-D758-4F9C-B7FF-A5B491800FC9}"/>
    <cellStyle name="style1690032498134" xfId="683" xr:uid="{A5F3586B-B756-46BC-9F3F-83D512E51D10}"/>
    <cellStyle name="style1690033656326" xfId="684" xr:uid="{060777C7-E8AA-4B11-B23B-C3E3588A2B28}"/>
    <cellStyle name="style1690033656388" xfId="685" xr:uid="{DC4FF33D-D7AB-402C-A8C7-A313FB589A2A}"/>
    <cellStyle name="style1690033656513" xfId="686" xr:uid="{FB2691CD-67F6-4B65-B3F7-68EE8F712F6D}"/>
    <cellStyle name="style1690033656576" xfId="687" xr:uid="{93B56BB3-0DF7-4F4B-94B7-5FD8D11BF134}"/>
    <cellStyle name="style1690033656638" xfId="688" xr:uid="{355EBCAC-AE77-441F-8A2C-740148618DE6}"/>
    <cellStyle name="style1690033656701" xfId="689" xr:uid="{4CEBC895-BF8D-45EB-9DAA-1132E67CA731}"/>
    <cellStyle name="style1690033656763" xfId="690" xr:uid="{FDB7D158-36E2-47C1-AF0A-0BBC56AAE09E}"/>
    <cellStyle name="style1690033656810" xfId="691" xr:uid="{74F7E200-DC56-47F1-A4DD-2A0A446CDA22}"/>
    <cellStyle name="style1690033656904" xfId="692" xr:uid="{78D39887-64A8-4B77-A657-B2C9C2FEC2C2}"/>
    <cellStyle name="style1690033656983" xfId="693" xr:uid="{D29198C9-1748-48F2-A62B-1B87354F0E2D}"/>
    <cellStyle name="style1690033657045" xfId="694" xr:uid="{8EB66C0D-F3E9-447F-ADFB-199890A8031D}"/>
    <cellStyle name="style1690033657092" xfId="695" xr:uid="{9E23547D-67E2-431E-940F-D2E7EA60B7AB}"/>
    <cellStyle name="style1690036038129" xfId="696" xr:uid="{358EAABA-4B54-4E8A-99AF-E829DA5955EE}"/>
    <cellStyle name="style1690036038301" xfId="697" xr:uid="{59D518BF-034C-405B-8E3B-02EF62EFE9D9}"/>
    <cellStyle name="style1690036038426" xfId="698" xr:uid="{BD617434-0C93-43D8-9338-12662F6FAA49}"/>
    <cellStyle name="style1690036038520" xfId="699" xr:uid="{99EB91DE-35A8-4DB6-9B5A-EFC23417131B}"/>
    <cellStyle name="style1690036038629" xfId="700" xr:uid="{BA42D11E-FF35-4C32-94ED-7F100638D530}"/>
    <cellStyle name="style1690036038723" xfId="701" xr:uid="{649F8BED-9B99-4468-846D-00A48DC7494E}"/>
    <cellStyle name="style1690036038863" xfId="702" xr:uid="{F740996A-3B14-4444-9E21-5AC49850FA6D}"/>
    <cellStyle name="style1690036038957" xfId="703" xr:uid="{AB7BFE0A-C0F3-4E59-A9EB-0196ECD60BFB}"/>
    <cellStyle name="style1690036039129" xfId="704" xr:uid="{B2574C25-387D-45A1-B6B2-7F4C88341EE7}"/>
    <cellStyle name="style1690036039249" xfId="705" xr:uid="{D0B1502B-A0E6-43A0-9735-29601BFA3E64}"/>
    <cellStyle name="style1690036039396" xfId="706" xr:uid="{8856E8A2-0003-45C4-9CD5-57FA3BB23C6E}"/>
    <cellStyle name="style1690036039489" xfId="707" xr:uid="{0AA04ADD-DB40-402E-8BF6-B775BF446DDA}"/>
    <cellStyle name="style1690206760573" xfId="708" xr:uid="{A1A6FB27-3973-4A8E-8451-2796E701392F}"/>
    <cellStyle name="style1690206760660" xfId="709" xr:uid="{43A00D7E-7E69-4BE9-92BB-5D5E93330FD9}"/>
    <cellStyle name="style1690206760763" xfId="710" xr:uid="{260E6CC2-F35C-4728-8263-47BC546A493F}"/>
    <cellStyle name="style1690206760844" xfId="711" xr:uid="{B56E26BE-DD2C-49D1-BE2D-3EC9F7396E4A}"/>
    <cellStyle name="style1690206784072" xfId="712" xr:uid="{A5FFFCBE-2B01-46D5-9B8A-833EAE5895AD}"/>
    <cellStyle name="style1690206784144" xfId="713" xr:uid="{B3E6B6F6-1B2E-4A1E-8A37-B84C5E7594CC}"/>
    <cellStyle name="style1690206784224" xfId="714" xr:uid="{B4167E37-40F5-49DB-9079-5C4750ECE11A}"/>
    <cellStyle name="style1690207523841" xfId="715" xr:uid="{906F3D8B-750E-4455-9CC8-5F9EED99AAED}"/>
    <cellStyle name="style1690207523906" xfId="716" xr:uid="{364A39AD-8CAA-4ED3-A2CA-1AE1FED90589}"/>
    <cellStyle name="style1690207523970" xfId="717" xr:uid="{E63D2219-7C60-46D2-9E33-A5885CE5CD3D}"/>
    <cellStyle name="style1690207524022" xfId="718" xr:uid="{A47550B2-8E8D-4FB7-BFD3-AC31087D4CD9}"/>
    <cellStyle name="style1690207985014" xfId="719" xr:uid="{0265D130-28A0-4159-90B9-2DF279E1F7EE}"/>
    <cellStyle name="style1690207985129" xfId="720" xr:uid="{59E48542-601C-4044-9B84-097C188B539F}"/>
    <cellStyle name="style1690207985245" xfId="721" xr:uid="{A0571283-FCA6-4E70-8F39-99AFFD3580C3}"/>
    <cellStyle name="style1690207985328" xfId="722" xr:uid="{0BD7FD49-B3D6-4244-819B-61A841BC0717}"/>
    <cellStyle name="style1690207985434" xfId="723" xr:uid="{3CC68A88-46FF-4BE0-9549-8281AE685471}"/>
    <cellStyle name="style1690207985548" xfId="724" xr:uid="{5A62B47C-7E83-40D9-BD5E-9845BE9D6966}"/>
    <cellStyle name="style1690207985645" xfId="725" xr:uid="{C1E74DE8-1198-403C-842E-4CB7CC5D2B65}"/>
    <cellStyle name="style1690207985711" xfId="726" xr:uid="{1D108A69-4E7C-4DBD-82E2-CBFD457D4AD8}"/>
    <cellStyle name="style1690207985852" xfId="727" xr:uid="{8A636B12-5C47-4808-B357-DDAC3FE33018}"/>
    <cellStyle name="style1690207985958" xfId="728" xr:uid="{B7DC7634-AC05-4DE6-A832-68CA9E002D96}"/>
    <cellStyle name="style1690207986060" xfId="729" xr:uid="{F45605E9-2EC5-48E0-B781-A1EFF0481506}"/>
    <cellStyle name="style1690207986146" xfId="730" xr:uid="{596D4C7E-3A6E-488A-8365-5882128BD8D1}"/>
    <cellStyle name="style1690272444378" xfId="731" xr:uid="{9EE89ACA-547D-4CB7-8A6E-EE5655832AB5}"/>
    <cellStyle name="style1690272444468" xfId="732" xr:uid="{D939EE63-B6BD-4B04-9725-9A5BE2068054}"/>
    <cellStyle name="style1690272444551" xfId="733" xr:uid="{FD2B628F-607E-4F42-AE86-9239D1CF7435}"/>
    <cellStyle name="style1690272444614" xfId="734" xr:uid="{CB85A33B-194E-4136-9112-F001C0239DAD}"/>
    <cellStyle name="style1690272444706" xfId="735" xr:uid="{76DAC279-29F0-405A-A43D-5BA5A8913F27}"/>
    <cellStyle name="style1690272444800" xfId="736" xr:uid="{252343D4-91CC-4268-9178-610BAAF4A684}"/>
    <cellStyle name="style1690272444903" xfId="737" xr:uid="{462C012D-2984-4766-A2EA-A6C565B74616}"/>
    <cellStyle name="style1690272444973" xfId="738" xr:uid="{DEC5E58B-6241-42D2-A35E-266B6E623E4F}"/>
    <cellStyle name="style1690272445085" xfId="739" xr:uid="{C6A7523D-9104-44C3-A76B-0A256D41F63F}"/>
    <cellStyle name="style1690272445164" xfId="740" xr:uid="{C295611C-F8F9-4AC9-B2E3-922D16F640D7}"/>
    <cellStyle name="style1690272445276" xfId="741" xr:uid="{FEEF03F2-388A-4BDD-A386-4422D0758E56}"/>
    <cellStyle name="style1690272445353" xfId="742" xr:uid="{E6FB7B52-892F-49DA-8683-48C63D32F6EB}"/>
    <cellStyle name="style1690272445439" xfId="743" xr:uid="{10CE13E2-2FE6-4475-88BD-563CD93AFF6B}"/>
    <cellStyle name="style1690272466098" xfId="744" xr:uid="{D74CA85B-8FDA-49DF-A513-1DC9E9EA4975}"/>
    <cellStyle name="style1690272466198" xfId="745" xr:uid="{DBFE11CF-C37F-428E-8C3E-E10AB2AE3A73}"/>
    <cellStyle name="style1690272466303" xfId="746" xr:uid="{6EDCA04D-17DE-4DFD-A17C-72C33A9432EE}"/>
    <cellStyle name="style1690272466382" xfId="747" xr:uid="{E18DB885-9FA3-4FEB-B860-48C14A340391}"/>
    <cellStyle name="style1690272466459" xfId="748" xr:uid="{A8AE34B0-FBDD-474D-8A16-21C281510F38}"/>
    <cellStyle name="style1690272466570" xfId="749" xr:uid="{A5BF973E-8B22-4C98-9CC0-A14AC8C2D9F4}"/>
    <cellStyle name="style1690272466660" xfId="750" xr:uid="{B7170854-73D4-42EE-BC99-2F6CACEDD8A8}"/>
    <cellStyle name="style1690272466757" xfId="751" xr:uid="{70686F64-81C7-4FC5-8E63-E7A359133BB2}"/>
    <cellStyle name="style1690272466834" xfId="752" xr:uid="{9909AE60-64BD-44A6-AD68-62F39031016D}"/>
    <cellStyle name="style1690272466906" xfId="753" xr:uid="{B806BE8E-F42A-4161-965B-E39C2DA29FED}"/>
    <cellStyle name="style1690272467004" xfId="754" xr:uid="{FDF91A79-7EEA-47E0-83BE-7A14F0A46E7F}"/>
    <cellStyle name="style1690272467083" xfId="755" xr:uid="{CF7A035D-F759-4C61-838B-00DF148274D7}"/>
    <cellStyle name="style1690272467198" xfId="756" xr:uid="{047C073D-6C56-4554-9F94-ADF70A1D6945}"/>
    <cellStyle name="style1690272467296" xfId="757" xr:uid="{2D0563D5-4FA0-4019-A018-E9401F8AD907}"/>
    <cellStyle name="style1690272467353" xfId="758" xr:uid="{53CB9FDF-159E-49C3-B2FA-50FC2BBFCC4A}"/>
    <cellStyle name="style1690272467406" xfId="759" xr:uid="{36DD31A3-A653-49DA-9A30-F77E6EB6CCAF}"/>
    <cellStyle name="style1690272485320" xfId="760" xr:uid="{07ECD71D-F941-4E8A-9F80-31885DC7C190}"/>
    <cellStyle name="style1690272485395" xfId="761" xr:uid="{A5DCD63C-F089-4E4F-AB05-0B46AF98FA3B}"/>
    <cellStyle name="style1690272485462" xfId="762" xr:uid="{5426A044-5E07-4CFF-A018-63E8D6E8693E}"/>
    <cellStyle name="style1690272485519" xfId="763" xr:uid="{66CF261F-EAF4-4E79-B0D3-9A185CCF2FBE}"/>
    <cellStyle name="style1690272485600" xfId="764" xr:uid="{74BA844A-8750-4583-82B1-FD32183BA2E1}"/>
    <cellStyle name="style1690272485710" xfId="765" xr:uid="{A4CC7113-0B26-41C5-928F-0A58F8B01537}"/>
    <cellStyle name="style1690272485816" xfId="766" xr:uid="{4B8FCEB7-E3FB-4F49-8A8A-27C93AEBFD35}"/>
    <cellStyle name="style1690272485883" xfId="767" xr:uid="{89DE42C6-EF76-4381-90C9-1B3EC00BF374}"/>
    <cellStyle name="style1690272485969" xfId="768" xr:uid="{7B6C7F31-EF3C-431E-B719-5A0A2E281E99}"/>
    <cellStyle name="style1690272486038" xfId="769" xr:uid="{46924634-7477-41F7-A6B8-740DA787E337}"/>
    <cellStyle name="style1690272486125" xfId="770" xr:uid="{B0A1FF21-D8BB-44A3-9AAE-EFE6C1215FA1}"/>
    <cellStyle name="style1690272486246" xfId="771" xr:uid="{1CAFD7FE-6602-40D6-B31C-9471DB43C437}"/>
    <cellStyle name="style1690272502186" xfId="772" xr:uid="{BB8171C5-2767-4550-BAC9-E31FB81FB218}"/>
    <cellStyle name="style1690272502251" xfId="773" xr:uid="{B847FD0C-0D17-4525-9E90-F7477CA0DE44}"/>
    <cellStyle name="style1690272502314" xfId="774" xr:uid="{C8585EFF-FB40-4AC5-B202-803F32E9DBE2}"/>
    <cellStyle name="style1690272502367" xfId="775" xr:uid="{55B69DD2-0B88-4C0F-9FB0-DB5B5EAE401E}"/>
    <cellStyle name="style1690272502420" xfId="776" xr:uid="{A6C28F93-E9DD-4EA4-853F-BAE45E19A641}"/>
    <cellStyle name="style1690272502493" xfId="777" xr:uid="{C2C018AD-33FE-4240-9AFF-AAC3363F72D6}"/>
    <cellStyle name="style1690272502575" xfId="778" xr:uid="{F17C8A57-E0C8-4452-8453-92837FE4EA20}"/>
    <cellStyle name="style1690272502695" xfId="779" xr:uid="{EA8EAA08-BF7E-455A-A2C6-F2C117BB5E3C}"/>
    <cellStyle name="style1690272502781" xfId="780" xr:uid="{3D8A9A27-84C2-4DA7-8E39-61156467DF9A}"/>
    <cellStyle name="style1690272502842" xfId="781" xr:uid="{DA1494DD-1B0E-4A2B-BC1E-E12DA38F984A}"/>
    <cellStyle name="style1690272502930" xfId="782" xr:uid="{44504FFA-3E83-4477-BB60-18D2038BE8B0}"/>
    <cellStyle name="style1690272502986" xfId="783" xr:uid="{D62F88F8-D3C6-4C69-94C6-EFFBF1D1D82D}"/>
    <cellStyle name="style1690272503052" xfId="784" xr:uid="{61BBEE41-2EDE-44C5-BADA-E4C5B283AE2C}"/>
    <cellStyle name="style1690272503120" xfId="785" xr:uid="{CC44BF54-B69B-4E0E-9724-9E1533750386}"/>
    <cellStyle name="style1690272503177" xfId="786" xr:uid="{0C57801C-A5CB-4BFF-8CC1-FE3F15D222E8}"/>
    <cellStyle name="style1690272503239" xfId="787" xr:uid="{02DF18BA-13CA-4C10-AB46-63AF0231B3CD}"/>
    <cellStyle name="style1690272518122" xfId="788" xr:uid="{390964FA-8AD3-41DE-84EB-CA645E7E3D2B}"/>
    <cellStyle name="style1690272518263" xfId="789" xr:uid="{E528E88C-1E68-4153-86A7-832A143E2BCF}"/>
    <cellStyle name="style1690272518399" xfId="790" xr:uid="{B2F52B2B-42A2-43B1-AFF8-09B4825D0011}"/>
    <cellStyle name="style1690272518447" xfId="791" xr:uid="{EF7B5BA6-0BD2-4BBF-91D6-9DC3965EB9C8}"/>
    <cellStyle name="style1690272518509" xfId="792" xr:uid="{A9E2C424-DF71-42AA-B232-B0ADF984BDE2}"/>
    <cellStyle name="style1690272518566" xfId="793" xr:uid="{058F00BA-C772-44AE-B4B0-82C37EEB3936}"/>
    <cellStyle name="style1690272518642" xfId="794" xr:uid="{8D24E03F-894C-43E5-9D40-E4E2A020816D}"/>
    <cellStyle name="style1690272518700" xfId="795" xr:uid="{3F233952-2777-460A-81F3-D861AB808259}"/>
    <cellStyle name="style1690272518795" xfId="796" xr:uid="{A53089A8-F3A4-4AA3-B071-0FDA51ADEFB2}"/>
    <cellStyle name="style1690272518869" xfId="797" xr:uid="{7AE8F04E-FBDD-4977-96E3-A72F9E7AB2FA}"/>
    <cellStyle name="style1690272518957" xfId="798" xr:uid="{DC60CB14-BB03-45A9-BA2D-1FE0ECEA31A8}"/>
    <cellStyle name="style1690272519117" xfId="799" xr:uid="{039FD678-C3AC-44C0-B3B9-7F082349979F}"/>
    <cellStyle name="style1690272519239" xfId="800" xr:uid="{3E973E18-0F05-4C68-B8A7-B79104969AFA}"/>
    <cellStyle name="style1690272519420" xfId="801" xr:uid="{71ABFE41-F021-4112-9DBC-C892FA47AB00}"/>
    <cellStyle name="style1690272519559" xfId="802" xr:uid="{06499AFD-1CF3-41FA-911A-62769588CEDD}"/>
    <cellStyle name="style1690272519646" xfId="803" xr:uid="{7921873E-06AA-452F-B1E0-99C4FAE17531}"/>
    <cellStyle name="style1690272519718" xfId="804" xr:uid="{15860113-6F3B-4882-B564-09FA025AF109}"/>
    <cellStyle name="style1690272535287" xfId="805" xr:uid="{032758A0-0AB3-47C9-85FC-DAD0FAC474C2}"/>
    <cellStyle name="style1690272535439" xfId="806" xr:uid="{79589BA4-40C2-491E-B4F4-5551F4076455}"/>
    <cellStyle name="style1690272535593" xfId="807" xr:uid="{BBB73F96-37E1-444E-B568-8F5EF416D04C}"/>
    <cellStyle name="style1690272535697" xfId="808" xr:uid="{6FB975D8-0B79-42E0-B0EF-4C17B71A8DA9}"/>
    <cellStyle name="style1690272535753" xfId="809" xr:uid="{E1E55114-DCC2-4A30-8555-E4AE4292498D}"/>
    <cellStyle name="style1690272535823" xfId="810" xr:uid="{D6EB2313-9945-4240-9FB9-4D7E4917FC59}"/>
    <cellStyle name="style1690272535931" xfId="811" xr:uid="{8DD1F9F5-E802-4068-A444-A7C6F3BC6FB9}"/>
    <cellStyle name="style1690272536013" xfId="812" xr:uid="{9F8C1564-75A0-4ECC-A4B4-5FD2A457A974}"/>
    <cellStyle name="style1690272536074" xfId="813" xr:uid="{AC149785-0D45-4F81-9E23-0789E4223F24}"/>
    <cellStyle name="style1690272536147" xfId="814" xr:uid="{F8A955BC-7FF9-4C7A-8B15-9E65150CD7F2}"/>
    <cellStyle name="style1690272536273" xfId="815" xr:uid="{E9D9205B-77F0-4767-8DAC-9DB9401C034E}"/>
    <cellStyle name="style1690272536381" xfId="816" xr:uid="{7D53AC88-2D51-46CC-9518-D4D18E5BCF15}"/>
    <cellStyle name="style1690272536514" xfId="817" xr:uid="{FA2AD353-1038-465F-8B1C-53780F2372B1}"/>
    <cellStyle name="style1690272536657" xfId="818" xr:uid="{25935E9A-E735-4EA5-A6D5-BA20E95552D0}"/>
    <cellStyle name="style1690272536769" xfId="819" xr:uid="{2CE46486-ED7B-406A-964A-1EC0889C0E25}"/>
    <cellStyle name="style1690272536819" xfId="820" xr:uid="{7162FA38-69F3-4595-ABB1-6E88FD272F80}"/>
    <cellStyle name="style1690272552592" xfId="821" xr:uid="{BCAA8392-EC18-4198-9D73-32F1DB7DE24A}"/>
    <cellStyle name="style1690272552656" xfId="822" xr:uid="{3179AEEF-9594-4466-8E7F-8ABFB96115E4}"/>
    <cellStyle name="style1690272552727" xfId="823" xr:uid="{C9501662-886D-4FD1-8A45-6B2DCA4AD921}"/>
    <cellStyle name="style1690272552800" xfId="824" xr:uid="{7A47F1BD-37F7-4591-856E-1CE3F0E74129}"/>
    <cellStyle name="style1690272552865" xfId="825" xr:uid="{A5454A1D-1DA2-4E5A-9761-F67A19C7A0D4}"/>
    <cellStyle name="style1690272552943" xfId="826" xr:uid="{46F3824F-4985-4369-9B67-D4A3BB570793}"/>
    <cellStyle name="style1690272553060" xfId="827" xr:uid="{F7A8356D-1A3B-4549-82EE-1E2010A44B2F}"/>
    <cellStyle name="style1690272553126" xfId="828" xr:uid="{B5CB6F8C-94C9-4CB1-98C8-EBBAC32F062D}"/>
    <cellStyle name="style1690272553220" xfId="829" xr:uid="{B3821A22-979A-4B55-A5F2-E59AFF634B9F}"/>
    <cellStyle name="style1690272553324" xfId="830" xr:uid="{24692271-1FF6-4A43-BB33-9E5734274F06}"/>
    <cellStyle name="style1690272553485" xfId="831" xr:uid="{063D1EFE-0BB6-4A4B-A73E-DA92F9EF1F93}"/>
    <cellStyle name="style1690272553561" xfId="832" xr:uid="{82EF30F4-2B2C-449B-B8EE-AB3F609F4AA6}"/>
    <cellStyle name="style1690272568681" xfId="833" xr:uid="{4D02D6C2-DC00-4E75-A85B-03BE47917644}"/>
    <cellStyle name="style1690272568764" xfId="834" xr:uid="{5337E128-37EC-4868-AD23-EA1CFCD8D763}"/>
    <cellStyle name="style1690272568857" xfId="835" xr:uid="{8F65AE8A-8CC3-4D86-AC16-C309BB7BEC1C}"/>
    <cellStyle name="style1690272568919" xfId="836" xr:uid="{8444CD7C-5446-476A-800A-0B119507A727}"/>
    <cellStyle name="style1690272569001" xfId="837" xr:uid="{46BC3985-93D1-424E-AAEA-C5C3468F37A5}"/>
    <cellStyle name="style1690272569097" xfId="838" xr:uid="{A6257D72-5ECE-43F4-A1E8-75FD4E684F25}"/>
    <cellStyle name="style1690272569188" xfId="839" xr:uid="{2D0E2341-214D-46A9-A681-D54C80BEFF87}"/>
    <cellStyle name="style1690272569249" xfId="840" xr:uid="{91588D43-7804-4BED-A486-9CF8A0EFCB7F}"/>
    <cellStyle name="style1690272569333" xfId="841" xr:uid="{3D543DEE-D011-4F0F-B31F-A999A7B4C1E0}"/>
    <cellStyle name="style1690272569401" xfId="842" xr:uid="{616CC19E-F830-47E9-8977-269A5856C8CA}"/>
    <cellStyle name="style1690272569470" xfId="843" xr:uid="{612FE5D8-301D-44AC-B4BA-86ADFC9CD20B}"/>
    <cellStyle name="style1690272569522" xfId="844" xr:uid="{ABF19C50-628D-4BD6-BB1C-FE54CD433775}"/>
    <cellStyle name="style1690272591109" xfId="845" xr:uid="{3D01636C-8EDD-4D33-A3B3-9CBCCFB5DBC3}"/>
    <cellStyle name="style1690272591186" xfId="846" xr:uid="{CD248B2D-BA8A-4173-B0B7-605477BF5423}"/>
    <cellStyle name="style1690272591289" xfId="847" xr:uid="{F8D1C195-D638-4B51-B52D-1FFFC89A694C}"/>
    <cellStyle name="style1690272591390" xfId="848" xr:uid="{D2DD8B0D-1F20-43B9-8785-2499FA1CE5E4}"/>
    <cellStyle name="style1690272591518" xfId="849" xr:uid="{D379B97F-8604-4820-9218-5E5C37E730E5}"/>
    <cellStyle name="style1690272591621" xfId="850" xr:uid="{4AB8336A-53E0-4F91-985D-162D259FE12D}"/>
    <cellStyle name="style1690272591773" xfId="851" xr:uid="{8673295D-498E-49DA-AACF-7141A2C9D921}"/>
    <cellStyle name="style1690272591923" xfId="852" xr:uid="{9A28A053-DC70-4BB8-B844-78E41C43B75D}"/>
    <cellStyle name="style1690272592067" xfId="853" xr:uid="{5CD814CC-2D19-4243-87B2-14D5BFEE0BDA}"/>
    <cellStyle name="style1690272592122" xfId="854" xr:uid="{0D23E363-7437-4748-8416-5CE7D16281BB}"/>
    <cellStyle name="style1690272592179" xfId="855" xr:uid="{7E105489-6C10-4182-8A38-090F0F53A13D}"/>
    <cellStyle name="style1690272592259" xfId="856" xr:uid="{6A975935-C873-4DED-AB7C-7D2E6CE1ED03}"/>
    <cellStyle name="style1690272592313" xfId="857" xr:uid="{EAEB638C-DEFD-4922-9BD5-22A532DD77F9}"/>
    <cellStyle name="style1690272592377" xfId="858" xr:uid="{4EC1BFC7-2586-46ED-B237-1F5D6AF98551}"/>
    <cellStyle name="style1690272592443" xfId="859" xr:uid="{07848D89-AF56-45D1-80DD-1A5384584BAB}"/>
    <cellStyle name="style1690272592491" xfId="860" xr:uid="{1A05971C-0C86-4ABA-BB91-1166480B8280}"/>
    <cellStyle name="style1690272592562" xfId="861" xr:uid="{B517251C-903F-4AB5-8F44-D7FA86950253}"/>
    <cellStyle name="style1690272592646" xfId="862" xr:uid="{8420489A-D501-4F3C-967E-36618E0E3208}"/>
    <cellStyle name="style1690272620441" xfId="863" xr:uid="{9CF89DA5-89F9-46B1-AC2B-3D1D4D74CCEB}"/>
    <cellStyle name="style1690272620521" xfId="864" xr:uid="{809A116F-74FF-44B6-8424-E429EA592A28}"/>
    <cellStyle name="style1690272620608" xfId="865" xr:uid="{7D19143D-E91D-4956-A4CC-D695F4057B06}"/>
    <cellStyle name="style1690272620693" xfId="866" xr:uid="{14839594-DCB7-4CDB-BF17-BEAAE88F682F}"/>
    <cellStyle name="style1690272620754" xfId="867" xr:uid="{8D051540-A9C5-4E39-AA5F-2030DE09E205}"/>
    <cellStyle name="style1690272620829" xfId="868" xr:uid="{34BA2660-8332-4633-BA4D-29E447C6528A}"/>
    <cellStyle name="style1690272620923" xfId="869" xr:uid="{C9D3E980-67FB-407D-801E-44A2EA522869}"/>
    <cellStyle name="style1690272621028" xfId="870" xr:uid="{A75FB854-D408-4630-A91E-98D08A37A893}"/>
    <cellStyle name="style1690272621108" xfId="871" xr:uid="{C738B8BF-5D6E-4D7E-A601-1D603A55815E}"/>
    <cellStyle name="style1690272621194" xfId="872" xr:uid="{56CAE8D5-E2E6-46A2-8767-C1EDA70267A2}"/>
    <cellStyle name="style1690272621304" xfId="873" xr:uid="{3B5191C1-1058-4760-A88B-EEAE01A5185C}"/>
    <cellStyle name="style1690272621387" xfId="874" xr:uid="{92D2A4F5-7553-4BFC-9B02-1C814785B6C2}"/>
    <cellStyle name="style1690272621486" xfId="875" xr:uid="{94C5DD66-50AB-4AB1-88A1-4DF5DD7F2404}"/>
    <cellStyle name="style1690272621567" xfId="876" xr:uid="{DD8C85C1-5A71-453A-A604-437BA7EADF8F}"/>
    <cellStyle name="style1690272621632" xfId="877" xr:uid="{0896F3E2-A96F-4519-AC66-3148EFF93556}"/>
    <cellStyle name="style1690272621730" xfId="878" xr:uid="{ED7EA217-E54C-430D-9729-1E60EB8D64DD}"/>
    <cellStyle name="style1690272636500" xfId="879" xr:uid="{768DAB5C-40DB-4B89-8B63-C7C75645395E}"/>
    <cellStyle name="style1690272636654" xfId="880" xr:uid="{E432982A-3624-402B-A48F-0B031FC6247B}"/>
    <cellStyle name="style1690272636815" xfId="881" xr:uid="{08E14B71-E0CB-4579-9F87-3DA8FA606C7F}"/>
    <cellStyle name="style1690272636932" xfId="882" xr:uid="{8A0AC66F-DAD0-4D27-AF3B-3DB4D234C0AA}"/>
    <cellStyle name="style1690272637045" xfId="883" xr:uid="{154B9965-E1ED-4EE0-826C-1EFE987C747A}"/>
    <cellStyle name="style1690272637174" xfId="884" xr:uid="{C92CF149-D143-4316-95AD-56C6889251C9}"/>
    <cellStyle name="style1690272637235" xfId="885" xr:uid="{6BBD232F-270B-47AF-B415-58D7BB7B6229}"/>
    <cellStyle name="style1690272637298" xfId="886" xr:uid="{0121A1C3-B433-4EAF-90AA-84F3B2749BF9}"/>
    <cellStyle name="style1690272637359" xfId="887" xr:uid="{B586BBFD-36E4-42E5-B5CD-A75F46B59789}"/>
    <cellStyle name="style1690272637432" xfId="888" xr:uid="{E80214B8-7CDF-4AFF-BDCB-2C99BCB60BF1}"/>
    <cellStyle name="style1690272637568" xfId="889" xr:uid="{C3E2DACE-D4E0-4BB4-8505-9A8DFC247E39}"/>
    <cellStyle name="style1690272637683" xfId="890" xr:uid="{484D4E44-A362-4A14-985C-02AEBA773B7C}"/>
    <cellStyle name="style1690272637835" xfId="891" xr:uid="{D24C3D25-D96C-422A-95E8-7179B1530C9C}"/>
    <cellStyle name="style1690272637989" xfId="892" xr:uid="{E49AB157-53BD-441D-986F-14EBA4C6353E}"/>
    <cellStyle name="style1690272638102" xfId="893" xr:uid="{03C52DC5-FBC6-44F0-9938-F6FE6BBCF353}"/>
    <cellStyle name="style1690272638227" xfId="894" xr:uid="{5272F47C-507C-41E1-8DD3-97ACC566C73B}"/>
    <cellStyle name="style1690272654078" xfId="895" xr:uid="{63CA9025-13BB-4289-98D6-877DD0837ED2}"/>
    <cellStyle name="style1690272654205" xfId="896" xr:uid="{8D9AFA4D-F168-4F74-8B05-009AC477EC7E}"/>
    <cellStyle name="style1690272654369" xfId="897" xr:uid="{0608E450-C351-4A33-8302-9EDEB3029F18}"/>
    <cellStyle name="style1690272654485" xfId="898" xr:uid="{F89CEDB8-8232-4A42-A5EE-0511613177C5}"/>
    <cellStyle name="style1690272654572" xfId="899" xr:uid="{6701270E-4137-49E0-B789-4BF32E56FEC5}"/>
    <cellStyle name="style1690272654735" xfId="900" xr:uid="{D231DDB9-A1E2-4F5F-A722-B4EDC38830CF}"/>
    <cellStyle name="style1690272654801" xfId="901" xr:uid="{06C1CC3A-68BE-4550-AE0B-71D592BED7E8}"/>
    <cellStyle name="style1690272654875" xfId="902" xr:uid="{08753FC1-F085-499E-84F2-F0B29A120B24}"/>
    <cellStyle name="style1690272654962" xfId="903" xr:uid="{C6D1DD7A-6C3C-46DB-8808-6357DB49A517}"/>
    <cellStyle name="style1690272655018" xfId="904" xr:uid="{70EA7AA6-1CAF-4FA7-9438-D7EC5C271ACD}"/>
    <cellStyle name="style1690272655090" xfId="905" xr:uid="{04427A79-4663-418E-8813-FA92AAE9F017}"/>
    <cellStyle name="style1690272655150" xfId="906" xr:uid="{D3C54947-9EA7-4510-AB21-17ECB0903164}"/>
    <cellStyle name="style1690272655217" xfId="907" xr:uid="{76C244AD-FB06-477E-9B85-F407D3EF8EBF}"/>
    <cellStyle name="style1690272655268" xfId="908" xr:uid="{4A376993-7FBE-4A15-B582-411847A1C620}"/>
    <cellStyle name="style1690272655319" xfId="909" xr:uid="{27EBDB35-CE5A-4DAF-B464-A6386A461C41}"/>
    <cellStyle name="style1690272691893" xfId="910" xr:uid="{0B81E267-BBBD-4373-A411-E0C3480F22E9}"/>
    <cellStyle name="style1690272692023" xfId="911" xr:uid="{FDB021B1-0177-4226-8000-76D0D95D2D13}"/>
    <cellStyle name="style1690272692156" xfId="912" xr:uid="{7D207D89-8BF5-4059-85D5-5AD42A68C9EB}"/>
    <cellStyle name="style1690272692284" xfId="913" xr:uid="{7F8ED9AE-90AA-4157-8EFA-8D1689FC3D1B}"/>
    <cellStyle name="style1690272692382" xfId="914" xr:uid="{01B43B37-D639-4F70-9E98-9D6C10FD03B7}"/>
    <cellStyle name="style1690272692435" xfId="915" xr:uid="{AFADE811-F55C-4028-9243-BB2954A7F28A}"/>
    <cellStyle name="style1690272692512" xfId="916" xr:uid="{E2259A6E-FF02-4AE1-BC4D-91AF6A807DD2}"/>
    <cellStyle name="style1690272692621" xfId="917" xr:uid="{44EC76F7-7FFD-4CE5-96E3-EA1497377E14}"/>
    <cellStyle name="style1690272692696" xfId="918" xr:uid="{D8D5AAE6-34A5-420E-B19B-4D0DE7269CE5}"/>
    <cellStyle name="style1690272692757" xfId="919" xr:uid="{6700038A-83AA-43E1-887F-C25250A17288}"/>
    <cellStyle name="style1690272692813" xfId="920" xr:uid="{F37F4E1A-E60D-4E25-B323-3E5A924F024D}"/>
    <cellStyle name="style1690272692912" xfId="921" xr:uid="{8E432190-6EDC-4A4A-8D9B-96535B98B6AC}"/>
    <cellStyle name="style1690272692986" xfId="922" xr:uid="{2D8CD6B9-C4FB-489A-AF32-724A380C90FC}"/>
    <cellStyle name="style1690272693106" xfId="923" xr:uid="{296D3B22-D48F-42FE-A91A-FC9766B1BD2A}"/>
    <cellStyle name="style1690272693250" xfId="924" xr:uid="{E04E4FA5-0F3F-4E25-9F8F-F9E2F827BD07}"/>
    <cellStyle name="style1690272693353" xfId="925" xr:uid="{99A665F2-05B9-453E-B55C-ABCB3B8BED36}"/>
    <cellStyle name="style1690272693461" xfId="926" xr:uid="{9FEF57A3-CFAB-47E3-BAA6-1697F8014231}"/>
    <cellStyle name="style1690272708550" xfId="927" xr:uid="{C80FF554-8731-47E4-8C3E-80552D42D4D6}"/>
    <cellStyle name="style1690272708668" xfId="928" xr:uid="{12021452-4C75-49D1-A73C-B467484DB534}"/>
    <cellStyle name="style1690272708827" xfId="929" xr:uid="{C777C5AA-F507-4AA9-950B-9AA64CCA5991}"/>
    <cellStyle name="style1690272708898" xfId="930" xr:uid="{324125DF-48A7-45D9-8530-ADA3BF6B138C}"/>
    <cellStyle name="style1690272708975" xfId="931" xr:uid="{C18E283A-1FAB-45D6-B776-C9FF765BDCEF}"/>
    <cellStyle name="style1690272709035" xfId="932" xr:uid="{AFE55852-0CC6-4EC1-84D4-D8B8CAE289E4}"/>
    <cellStyle name="style1690272709099" xfId="933" xr:uid="{4B2F7BC1-9667-4F50-B1B7-4AAE87D9A28F}"/>
    <cellStyle name="style1690272709198" xfId="934" xr:uid="{5355CC5F-87BB-46EA-B1D1-33BAA757149D}"/>
    <cellStyle name="style1690272709303" xfId="935" xr:uid="{41254F5B-A098-4A5F-8E6C-5EA0F1F67FB4}"/>
    <cellStyle name="style1690272709419" xfId="936" xr:uid="{24396C91-F2EE-4933-9211-4CDA485D4394}"/>
    <cellStyle name="style1690272709582" xfId="937" xr:uid="{70748EB3-63E3-4246-9EEF-0A9AECA37A43}"/>
    <cellStyle name="style1690272709732" xfId="938" xr:uid="{B509E86D-992D-42CB-BB5E-EF47E698650D}"/>
    <cellStyle name="style1690272709867" xfId="939" xr:uid="{63E3EFD3-E297-464B-A3BF-E1C29F0BAFF5}"/>
    <cellStyle name="style1690272709989" xfId="940" xr:uid="{52D79A9B-9076-472A-8ADA-726392BCF3C3}"/>
    <cellStyle name="style1690272710064" xfId="941" xr:uid="{12B8F3AF-9304-497F-B7DB-55E2CF20B63A}"/>
    <cellStyle name="style1690272725329" xfId="942" xr:uid="{C76FD111-8289-4D48-BEF0-A9ACD0E4A1E0}"/>
    <cellStyle name="style1690272725468" xfId="943" xr:uid="{FFA7CE44-762B-49D5-9162-3AE16D4E3EC0}"/>
    <cellStyle name="style1690272725537" xfId="944" xr:uid="{C2DEB6BA-4491-4A55-98A8-4976E34CE68C}"/>
    <cellStyle name="style1690272725585" xfId="945" xr:uid="{E1CC855F-0200-4556-BEBB-7D272E14604B}"/>
    <cellStyle name="style1690272725635" xfId="946" xr:uid="{83A307C4-971A-4A32-9810-4CC9D8D397FF}"/>
    <cellStyle name="style1690272725690" xfId="947" xr:uid="{6642CBC9-9A14-41B8-A1A8-20A2D1F120CF}"/>
    <cellStyle name="style1690272725765" xfId="948" xr:uid="{84B0556A-8C6D-46B9-9AAD-5693BCBB45B3}"/>
    <cellStyle name="style1690272725869" xfId="949" xr:uid="{2EF42C96-34B9-440C-AF25-0CE4F0925307}"/>
    <cellStyle name="style1690272726001" xfId="950" xr:uid="{110B76B1-C016-4FE3-B3F6-407A754A1A0C}"/>
    <cellStyle name="style1690272726123" xfId="951" xr:uid="{9708A3FA-27E9-4358-8C45-B6A8A3A1F73A}"/>
    <cellStyle name="style1690272726241" xfId="952" xr:uid="{4ED19952-A217-4AB2-B5D1-D487DE44EAE3}"/>
    <cellStyle name="style1690272726412" xfId="953" xr:uid="{76F1D2E3-3273-4508-973A-B885248AC751}"/>
    <cellStyle name="style1690272726515" xfId="954" xr:uid="{C19497B7-A27F-4BA8-9CF9-D465D63DC1F1}"/>
    <cellStyle name="style1690272726579" xfId="955" xr:uid="{0469A2C1-92E9-4133-9CAB-7E54CD50D0A1}"/>
    <cellStyle name="style1690272726646" xfId="956" xr:uid="{F4D2B99C-3D94-467F-AD82-99815C8F9430}"/>
    <cellStyle name="style1690272726705" xfId="957" xr:uid="{741B45C2-7E32-4637-9A93-1A3F71A4A456}"/>
    <cellStyle name="style1690272726781" xfId="958" xr:uid="{F6AC490F-B48E-40D0-B8FD-A3E641603210}"/>
    <cellStyle name="style1690272741532" xfId="959" xr:uid="{BB5E2FA6-AA80-4E4A-B561-C8126C1BF59E}"/>
    <cellStyle name="style1690272741604" xfId="960" xr:uid="{B0C046D1-979B-4ED9-BB6F-325D94393F8B}"/>
    <cellStyle name="style1690272741723" xfId="961" xr:uid="{0CB8156F-5257-4A74-A8B2-A4D21ABECE4E}"/>
    <cellStyle name="style1690272741844" xfId="962" xr:uid="{F33ED5DB-5E9C-4A68-AFA0-E8AEC1C007F1}"/>
    <cellStyle name="style1690272741978" xfId="963" xr:uid="{7E72E878-AEB6-4D77-98D9-471A60A12CF2}"/>
    <cellStyle name="style1690272742047" xfId="964" xr:uid="{5746A61D-11FC-4049-8D30-307FE1C5505F}"/>
    <cellStyle name="style1690272742122" xfId="965" xr:uid="{AEC69C6B-2FE0-4F3F-9567-A6F3C5F1484D}"/>
    <cellStyle name="style1690272742253" xfId="966" xr:uid="{68AAC8F2-522A-4EB1-A473-1975A516E3D9}"/>
    <cellStyle name="style1690272742371" xfId="967" xr:uid="{0CA8A427-738C-44AD-BC29-C4AA858BAA1F}"/>
    <cellStyle name="style1690272742494" xfId="968" xr:uid="{D42F3FBE-1C08-4516-BBEC-D46121F502EE}"/>
    <cellStyle name="style1690272742662" xfId="969" xr:uid="{595D5044-6382-4891-9D3A-764050671533}"/>
    <cellStyle name="style1690272742765" xfId="970" xr:uid="{71B61594-77D2-443F-A5EA-38D776097C2A}"/>
    <cellStyle name="style1690272742837" xfId="971" xr:uid="{2DE9A882-E2E1-48EF-955A-E9F3ECA02D3C}"/>
    <cellStyle name="style1690272742937" xfId="972" xr:uid="{AA95EF88-329E-48AF-980C-807A9C2C91F1}"/>
    <cellStyle name="style1690272743046" xfId="973" xr:uid="{A3AD2419-3B68-45B3-B3B7-83B5BC0ABB47}"/>
    <cellStyle name="style1690272762496" xfId="974" xr:uid="{2DA5DE2B-B873-4B10-B59B-D96652D70CA9}"/>
    <cellStyle name="style1690272762633" xfId="975" xr:uid="{3B91D1E2-4644-4FE5-9165-A6ADC5188D3E}"/>
    <cellStyle name="style1690272762713" xfId="976" xr:uid="{BCB466B4-40E2-4C69-A4E8-A69895CAFF4B}"/>
    <cellStyle name="style1690272762806" xfId="977" xr:uid="{F1934F26-7D08-4398-866A-857CDC1E5972}"/>
    <cellStyle name="style1690272762880" xfId="978" xr:uid="{143216AE-4DCF-47F9-91EC-9EA54DA0F46F}"/>
    <cellStyle name="style1690272762951" xfId="979" xr:uid="{D1AE2E10-37B8-4EF5-84B6-61921C0E501D}"/>
    <cellStyle name="style1690272763038" xfId="980" xr:uid="{4906656C-FE5F-4589-837D-89CF924BBB23}"/>
    <cellStyle name="style1690272763127" xfId="981" xr:uid="{13CDCB23-F37C-4BBE-A075-B549BB1A7389}"/>
    <cellStyle name="style1690272763183" xfId="982" xr:uid="{C4E041D9-54E9-4C58-BD27-30BA830CD8B6}"/>
    <cellStyle name="style1690272763260" xfId="983" xr:uid="{100F1652-390A-48EE-8926-19123C7B840D}"/>
    <cellStyle name="style1690272763325" xfId="984" xr:uid="{C18BA3DC-73FC-490F-A9D7-78CC01E1D5CC}"/>
    <cellStyle name="style1690272763405" xfId="985" xr:uid="{FED03A17-3B1F-4081-876C-AF2EFA6FFF98}"/>
    <cellStyle name="style1690272763479" xfId="986" xr:uid="{504A627E-6572-4D1E-BE7D-97C6E3011AB8}"/>
    <cellStyle name="style1690272763615" xfId="987" xr:uid="{D5D8FB6A-8327-4D99-B9D2-629EFCC7A107}"/>
    <cellStyle name="style1690272763765" xfId="988" xr:uid="{6206DE42-F119-4D9E-B095-94BD716A7E88}"/>
    <cellStyle name="style1690272763885" xfId="989" xr:uid="{420A3A5C-B05F-4C26-896C-82F6645E7CC0}"/>
    <cellStyle name="style1690272763936" xfId="990" xr:uid="{A95B61C9-19E9-401C-A87A-6A65A821726C}"/>
    <cellStyle name="style1690272763988" xfId="991" xr:uid="{2C47456B-8BFA-4A8E-8840-DBA17E524056}"/>
    <cellStyle name="style1690272782505" xfId="992" xr:uid="{FE77CD0C-ABAF-4CE2-B677-8B711F7E0D6F}"/>
    <cellStyle name="style1690272782657" xfId="993" xr:uid="{57A3E91F-B8AA-4091-AE9A-E61EA267BDF5}"/>
    <cellStyle name="style1690272782768" xfId="994" xr:uid="{AEB7EAE7-7668-4841-8640-F65525D9A146}"/>
    <cellStyle name="style1690272782874" xfId="995" xr:uid="{25AF0F72-E44A-4A30-8277-6BDBE79A23AA}"/>
    <cellStyle name="style1690272782989" xfId="996" xr:uid="{27256263-0D33-44AB-B3C6-F88D2FC05B44}"/>
    <cellStyle name="style1690272783141" xfId="997" xr:uid="{437EA318-7409-488E-8AC6-44C759763570}"/>
    <cellStyle name="style1690272783290" xfId="998" xr:uid="{418D27A9-385A-46DE-86DE-A1EC919AC806}"/>
    <cellStyle name="style1690272783443" xfId="999" xr:uid="{CE081CE3-B4DD-440C-81E0-EC3FD1B14C5B}"/>
    <cellStyle name="style1690272783557" xfId="1000" xr:uid="{2B6AABCD-FE2B-4233-B46A-3E439B774399}"/>
    <cellStyle name="style1690272783740" xfId="1001" xr:uid="{2FA3D111-8E17-473C-8FEF-D58564819EED}"/>
    <cellStyle name="style1690272783801" xfId="1002" xr:uid="{8296BC7C-0850-41EF-BB00-58871233630A}"/>
    <cellStyle name="style1690272783856" xfId="1003" xr:uid="{EFCE8F08-0B05-4D84-BEF1-6FC147D83C35}"/>
    <cellStyle name="style1690272783932" xfId="1004" xr:uid="{3683D240-2590-42A1-A085-55033488EB9D}"/>
    <cellStyle name="style1690272783989" xfId="1005" xr:uid="{5C37C17D-F97F-491A-AEE4-848655938270}"/>
    <cellStyle name="style1690272801070" xfId="1006" xr:uid="{BED10BE4-7682-44F7-AE81-A3B0B5EFBD6F}"/>
    <cellStyle name="style1690272801135" xfId="1007" xr:uid="{E0D76D3E-B465-4B61-AFFF-FAFCB1CE3220}"/>
    <cellStyle name="style1690272801236" xfId="1008" xr:uid="{3B826355-619D-4A17-8948-FEE80CAC59B7}"/>
    <cellStyle name="style1690272801350" xfId="1009" xr:uid="{8C5CF16E-8BAA-479B-95F8-666167C9863E}"/>
    <cellStyle name="style1690272801465" xfId="1010" xr:uid="{7E435656-19F5-4171-842C-55255E44E9AA}"/>
    <cellStyle name="style1690272801569" xfId="1011" xr:uid="{3BBB87F6-613B-4A48-9BED-F24FF8AE1422}"/>
    <cellStyle name="style1690272801634" xfId="1012" xr:uid="{218177E6-D4DF-48A6-99D6-2F85ED1A0AFF}"/>
    <cellStyle name="style1690272801717" xfId="1013" xr:uid="{E38ED2F5-0620-4BB1-A3D7-B95C8FA10F3B}"/>
    <cellStyle name="style1690272801839" xfId="1014" xr:uid="{C3000C71-034B-4451-BACF-8A8451071739}"/>
    <cellStyle name="style1690272801952" xfId="1015" xr:uid="{BB183349-3F04-4600-9BF8-A1704F39F8F1}"/>
    <cellStyle name="style1690272802115" xfId="1016" xr:uid="{F1A94238-383C-45C9-9B0F-E5892F5C8AAF}"/>
    <cellStyle name="style1690272802269" xfId="1017" xr:uid="{45F90CE5-0DC0-4BC2-A059-3D4120B3A4B3}"/>
    <cellStyle name="style1690272802419" xfId="1018" xr:uid="{41D11BC3-D841-45C5-BEA5-0443882C2A46}"/>
    <cellStyle name="style1690272802558" xfId="1019" xr:uid="{7FB33AF5-1B66-4794-8C2C-9F3DF80FEE27}"/>
    <cellStyle name="style1690272802647" xfId="1020" xr:uid="{7C4F8F57-AC5B-49A1-8819-996200F6C9C4}"/>
    <cellStyle name="style1690272821152" xfId="1021" xr:uid="{9F1C7627-E786-444F-84E1-5E3CF5734929}"/>
    <cellStyle name="style1690272821295" xfId="1022" xr:uid="{6535280B-B457-4CA7-B5F4-7A867E424A79}"/>
    <cellStyle name="style1690272821444" xfId="1023" xr:uid="{2AF3B317-7D7F-4BB5-AB9A-07BDFDEC2A65}"/>
    <cellStyle name="style1690272821497" xfId="1024" xr:uid="{B62463EA-31AF-430D-9D3A-9481115D4658}"/>
    <cellStyle name="style1690272821564" xfId="1025" xr:uid="{BD6838C3-20F4-49C9-994C-D8D2A949CE2E}"/>
    <cellStyle name="style1690272821660" xfId="1026" xr:uid="{51C89A41-4286-4EB2-9AE0-7B9C39EF7B79}"/>
    <cellStyle name="style1690272821810" xfId="1027" xr:uid="{3FFB08B5-DDF6-4541-B424-C40C6AE4D2C2}"/>
    <cellStyle name="style1690272821962" xfId="1028" xr:uid="{E21DC8A3-4D5E-46AD-824C-DD823FF7B645}"/>
    <cellStyle name="style1690272822076" xfId="1029" xr:uid="{50636332-9950-49BC-B4BB-7E0B5AD95C06}"/>
    <cellStyle name="style1690272822240" xfId="1030" xr:uid="{8C4830AE-ABCA-458E-BEC2-0FA087F8317B}"/>
    <cellStyle name="style1690272822393" xfId="1031" xr:uid="{B18BD397-07DE-45BC-8A9B-9FAA464D8F0F}"/>
    <cellStyle name="style1690272822544" xfId="1032" xr:uid="{22D07829-8918-488D-B625-A289EFF05A82}"/>
    <cellStyle name="style1690272822610" xfId="1033" xr:uid="{0CB2613E-1D2E-4D12-982B-F997D62B70B1}"/>
    <cellStyle name="style1690272841923" xfId="1034" xr:uid="{16097FEC-33F4-45E6-ABFF-11EBEC13E4CD}"/>
    <cellStyle name="style1690272842070" xfId="1035" xr:uid="{87919ECF-4375-428F-AF5D-DA02CE0DA70F}"/>
    <cellStyle name="style1690272842220" xfId="1036" xr:uid="{823AB854-BC10-4423-B880-0098A79CFC03}"/>
    <cellStyle name="style1690272842319" xfId="1037" xr:uid="{029429C6-F782-4B23-B100-A361A5F63BE6}"/>
    <cellStyle name="style1690272842396" xfId="1038" xr:uid="{43AFAD08-E7C4-4977-8008-C4FF20BA6CDC}"/>
    <cellStyle name="style1690272842455" xfId="1039" xr:uid="{9DA11450-9CEE-4716-80BF-9F33ED37CBA3}"/>
    <cellStyle name="style1690272842538" xfId="1040" xr:uid="{371AD2C8-747C-4FA5-B814-54A4FE341DA6}"/>
    <cellStyle name="style1690272842657" xfId="1041" xr:uid="{EFB32209-AD1D-4063-933E-974039F4E2D0}"/>
    <cellStyle name="style1690272842781" xfId="1042" xr:uid="{AFE98A28-3FBF-4592-9D2E-B123518AD1FF}"/>
    <cellStyle name="style1690272842858" xfId="1043" xr:uid="{C827D7EC-8547-4D2F-BC50-763B0BCEB45F}"/>
    <cellStyle name="style1690272842932" xfId="1044" xr:uid="{C5702FC4-51FD-49B6-B9C0-EF352B8C859C}"/>
    <cellStyle name="style1690272842986" xfId="1045" xr:uid="{12445EA9-6D76-4A7B-8CDD-E2F81677168B}"/>
    <cellStyle name="style1690272843070" xfId="1046" xr:uid="{02A767AB-5FAC-41EB-BE8D-2BEFA870D98C}"/>
    <cellStyle name="style1690272843122" xfId="1047" xr:uid="{8887A9CB-3B3F-4FB9-B0CE-F1D59D736C28}"/>
    <cellStyle name="style1690272843168" xfId="1048" xr:uid="{64C3A484-9CFE-4977-8427-7E96297D5B40}"/>
    <cellStyle name="style1690272857917" xfId="1049" xr:uid="{B6A8AD50-798C-443B-9EF5-73F6D209009C}"/>
    <cellStyle name="style1690272858002" xfId="1050" xr:uid="{2725C8CA-C087-4851-9B40-5A50DE7D20B2}"/>
    <cellStyle name="style1690272858151" xfId="1051" xr:uid="{7BD13538-EA84-4548-A6F1-E300F23421C2}"/>
    <cellStyle name="style1690272858266" xfId="1052" xr:uid="{981A9A3D-9367-468B-8EA8-C32AA0651FCA}"/>
    <cellStyle name="style1690272858385" xfId="1053" xr:uid="{B202C051-DC22-4970-92A2-C676430AFBF1}"/>
    <cellStyle name="style1690272858499" xfId="1054" xr:uid="{ED1C1A49-55C9-4EBF-A67A-16EF92C600A6}"/>
    <cellStyle name="style1690272858651" xfId="1055" xr:uid="{E6275DDC-CBF2-4F65-A467-34ACFF8A36AB}"/>
    <cellStyle name="style1690272858800" xfId="1056" xr:uid="{2D99CA33-62B4-489C-8C6D-155595DE659C}"/>
    <cellStyle name="style1690272858899" xfId="1057" xr:uid="{09CC72B8-A6AE-45BC-B5E1-7EA22CD2DB23}"/>
    <cellStyle name="style1690272858950" xfId="1058" xr:uid="{F91F6D81-BD1B-46F6-AA43-3025C932E35D}"/>
    <cellStyle name="style1690272859032" xfId="1059" xr:uid="{D728B9E0-115C-4C1F-8329-0BE3C0CF457B}"/>
    <cellStyle name="style1690272859178" xfId="1060" xr:uid="{0F41FF37-5D1D-4EA5-B161-4D19AECC6C71}"/>
    <cellStyle name="style1690272859285" xfId="1061" xr:uid="{AFCC2BD5-E842-4672-AAC4-7E345793CFC8}"/>
    <cellStyle name="style1690272859432" xfId="1062" xr:uid="{7BEFDD33-E7D7-438F-B8B8-B13A6155FB1D}"/>
    <cellStyle name="style1690272859583" xfId="1063" xr:uid="{05951E7B-0535-4ECD-AECC-CA8DCA6C30FD}"/>
    <cellStyle name="style1690272859699" xfId="1064" xr:uid="{553A91F3-89BB-4550-BD24-D8F9881B02D0}"/>
    <cellStyle name="style1690272859813" xfId="1065" xr:uid="{27DBD3F2-4CD9-4081-AB75-A4A2A8BCA905}"/>
    <cellStyle name="style1690272859919" xfId="1066" xr:uid="{A7BCD9CD-9C78-493F-A6BF-D535025B9D55}"/>
    <cellStyle name="style1690272877536" xfId="1067" xr:uid="{60BF7333-7AEF-4F3E-B5FC-4CA0D7CCB28A}"/>
    <cellStyle name="style1690272877692" xfId="1068" xr:uid="{78F679A9-F05B-4416-8634-750AC208798E}"/>
    <cellStyle name="style1690272877758" xfId="1069" xr:uid="{3F2CA5A3-E078-4121-BC8A-D642447B30CF}"/>
    <cellStyle name="style1690272877818" xfId="1070" xr:uid="{6AAE42DC-CDAB-4A40-956B-CE2C95802D36}"/>
    <cellStyle name="style1690272877866" xfId="1071" xr:uid="{440B3068-BF08-48B5-B1B7-4472AC3B558C}"/>
    <cellStyle name="style1690272877925" xfId="1072" xr:uid="{FC8256F7-A8EF-4662-88B4-F9FD8B2A2CB9}"/>
    <cellStyle name="style1690272877994" xfId="1073" xr:uid="{054C7857-2F36-43E7-AA0F-56CE6D63C1D6}"/>
    <cellStyle name="style1690272878109" xfId="1074" xr:uid="{1A83EB15-DF75-413C-9FCD-FAAEF037CEF4}"/>
    <cellStyle name="style1690272878167" xfId="1075" xr:uid="{8A4D9007-744B-4B71-871B-DA1DC854D162}"/>
    <cellStyle name="style1690272878257" xfId="1076" xr:uid="{2D0AD3FB-54CC-4884-90F2-7AC699190315}"/>
    <cellStyle name="style1690272878329" xfId="1077" xr:uid="{EB953D85-392F-4DFD-AD97-ADAD9E67EAF2}"/>
    <cellStyle name="style1690272878407" xfId="1078" xr:uid="{0BBB0927-CCA4-4918-8483-E24D7D4F649E}"/>
    <cellStyle name="style1690272878475" xfId="1079" xr:uid="{E2DAB1AD-64F5-4957-83E4-69283BCC33DD}"/>
    <cellStyle name="style1690272895165" xfId="1080" xr:uid="{9FEA9B1B-CDE3-46E4-9BD0-165170E6E500}"/>
    <cellStyle name="style1690272895323" xfId="1081" xr:uid="{F527D935-F10F-4650-B24E-A54B96C2DB9C}"/>
    <cellStyle name="style1690272895386" xfId="1082" xr:uid="{0E13FBA1-392D-45FB-89F6-5DF09A95DFAB}"/>
    <cellStyle name="style1690272895436" xfId="1083" xr:uid="{5E1F15AF-2D34-4CBD-B621-8A296BB623FF}"/>
    <cellStyle name="style1690272895512" xfId="1084" xr:uid="{809FEF46-C0FF-4728-BE78-CF471F49AABA}"/>
    <cellStyle name="style1690272895585" xfId="1085" xr:uid="{1094FC7C-AD63-46F4-A7E4-7CDC401A9287}"/>
    <cellStyle name="style1690272895652" xfId="1086" xr:uid="{0EB64AD4-6F65-41D1-9D2A-61280F083AF8}"/>
    <cellStyle name="style1690272895786" xfId="1087" xr:uid="{34CD324D-B01C-4368-B775-0B479938B94B}"/>
    <cellStyle name="style1690272895881" xfId="1088" xr:uid="{22165E98-EBF7-4CAF-8A70-1D12511A485B}"/>
    <cellStyle name="style1690272895972" xfId="1089" xr:uid="{AA228FB4-3F0C-4097-AFBA-CB8BEFF77536}"/>
    <cellStyle name="style1690272896087" xfId="1090" xr:uid="{2F3D0786-CEE7-4878-B8F0-40193B64E2A3}"/>
    <cellStyle name="style1690272896169" xfId="1091" xr:uid="{618EEE01-D113-4EFD-8601-0E86A324378F}"/>
    <cellStyle name="style1690272896239" xfId="1092" xr:uid="{5A209AE9-4268-43DD-A298-E0975578AF4B}"/>
    <cellStyle name="style1690272896324" xfId="1093" xr:uid="{776A259E-0252-4C34-AC46-D281FE7B8B78}"/>
    <cellStyle name="style1690272915563" xfId="1094" xr:uid="{ED45AE21-1179-4566-9E1F-7D336F483613}"/>
    <cellStyle name="style1690272915680" xfId="1095" xr:uid="{3FCE66EA-7D76-49AA-9DA0-1A8146E5B9CA}"/>
    <cellStyle name="style1690272915813" xfId="1096" xr:uid="{D916B749-027D-4278-8FCB-917992B1A6AD}"/>
    <cellStyle name="style1690272915929" xfId="1097" xr:uid="{3ECC2E87-AC05-4B7A-B745-968195A649A0}"/>
    <cellStyle name="style1690272916028" xfId="1098" xr:uid="{56562346-D2D9-4505-BDA4-5183E2B578E8}"/>
    <cellStyle name="style1690272916096" xfId="1099" xr:uid="{31C3E073-32EE-49FE-90AE-716515B873B1}"/>
    <cellStyle name="style1690272916249" xfId="1100" xr:uid="{60E1DAA8-9035-48D5-9393-6DEE7286EFF5}"/>
    <cellStyle name="style1690272916315" xfId="1101" xr:uid="{300EFBF9-A2AE-419B-A26B-EF5F82BB3B12}"/>
    <cellStyle name="style1690272916386" xfId="1102" xr:uid="{C78FB345-DD93-44E5-BD97-B00F430E262F}"/>
    <cellStyle name="style1690272916539" xfId="1103" xr:uid="{9E5B0F15-994A-4AF1-8DD6-598E978C87AF}"/>
    <cellStyle name="style1690272916652" xfId="1104" xr:uid="{BD0FFD6F-4ED7-4611-9080-B7C3371003D1}"/>
    <cellStyle name="style1690272916761" xfId="1105" xr:uid="{6702A284-A910-4271-A6F6-67CB4E300635}"/>
    <cellStyle name="style1690272916863" xfId="1106" xr:uid="{3D61FF0D-B900-4D9E-99D5-0CD2CDF644AE}"/>
    <cellStyle name="style1690272916980" xfId="1107" xr:uid="{5CC4322A-B12C-474E-9F5F-0287FF5EE96B}"/>
    <cellStyle name="style1690272917087" xfId="1108" xr:uid="{7C160E32-E61D-4011-847E-FA14A77AEECD}"/>
    <cellStyle name="style1690272964589" xfId="1109" xr:uid="{61DE5EB9-1D9D-45B0-81BE-DFB807014492}"/>
    <cellStyle name="style1690272964661" xfId="1110" xr:uid="{828FD935-CB34-4499-A0DA-C2EEC036E808}"/>
    <cellStyle name="style1690272964767" xfId="1111" xr:uid="{26D721E5-C74D-48DD-92F2-1980F0234E5B}"/>
    <cellStyle name="style1690272964879" xfId="1112" xr:uid="{B2F85C90-87A9-44F1-A60F-E539D5AADFB9}"/>
    <cellStyle name="style1690272964948" xfId="1113" xr:uid="{D4026330-7976-498A-A207-68AE4E06B1D6}"/>
    <cellStyle name="style1690272965055" xfId="1114" xr:uid="{7A56A6A8-7CBC-47C7-9142-A7B1918581DF}"/>
    <cellStyle name="style1690272965210" xfId="1115" xr:uid="{591DD1DC-1B70-4A92-9F05-D056C4C81850}"/>
    <cellStyle name="style1690272965361" xfId="1116" xr:uid="{B480E7F2-03C6-4C61-B54D-64845AB1B516}"/>
    <cellStyle name="style1690272965513" xfId="1117" xr:uid="{350E7689-963C-4F9D-A811-893825B2F792}"/>
    <cellStyle name="style1690272965612" xfId="1118" xr:uid="{EE39FCA1-FF89-4D3F-829D-E43FD299A94E}"/>
    <cellStyle name="style1690272985790" xfId="1119" xr:uid="{8EB7A026-E3D7-4196-A375-0FF4F255F848}"/>
    <cellStyle name="style1690272985873" xfId="1120" xr:uid="{8E53A218-297E-45EB-B217-6190EA2DA3E0}"/>
    <cellStyle name="style1690272985991" xfId="1121" xr:uid="{AFF14B8C-68A0-434E-B683-DD3E5EB139B0}"/>
    <cellStyle name="style1690272986098" xfId="1122" xr:uid="{3292994D-A743-4568-92B4-1630F392B826}"/>
    <cellStyle name="style1690272986243" xfId="1123" xr:uid="{FBAD9071-F65F-4B6D-B626-4D99565581A4}"/>
    <cellStyle name="style1690272986394" xfId="1124" xr:uid="{6756D141-4D3E-473A-BE25-59F5C5566855}"/>
    <cellStyle name="style1690272986540" xfId="1125" xr:uid="{06506E12-CCC8-4237-AEEC-C50267FF553B}"/>
    <cellStyle name="style1690272986679" xfId="1126" xr:uid="{1AE41FF3-56EE-4720-8B09-C86B0FE001B9}"/>
    <cellStyle name="style1690272986773" xfId="1127" xr:uid="{D4636885-4579-4C48-A1AD-561BFD3D0FFE}"/>
    <cellStyle name="style1690272986838" xfId="1128" xr:uid="{B070517B-ABA6-4886-9293-C3325165D31A}"/>
    <cellStyle name="style1690272986904" xfId="1129" xr:uid="{C31A9DCB-FD53-41FE-B59F-70B85FC51176}"/>
    <cellStyle name="style1690272987022" xfId="1130" xr:uid="{26FD0179-9791-41E6-9C0B-9F3533F4E7D6}"/>
    <cellStyle name="style1690272987125" xfId="1131" xr:uid="{DAC97157-01F0-4D3B-B456-D5292E10165B}"/>
    <cellStyle name="style1690273665448" xfId="1132" xr:uid="{AD03F956-8FAC-4B5B-BD74-B73F1B93AD5B}"/>
    <cellStyle name="style1690273665509" xfId="1133" xr:uid="{17C891ED-4827-4281-85AB-E9CCBB21510C}"/>
    <cellStyle name="style1690273665609" xfId="1134" xr:uid="{E1E1970F-6453-4A27-8694-C1E872A1B815}"/>
    <cellStyle name="style1690273665710" xfId="1135" xr:uid="{7D1604B3-A245-4921-8D0F-15E9EBF6EB0C}"/>
    <cellStyle name="style1690273665825" xfId="1136" xr:uid="{D4AF626D-DC6C-4321-950E-04B6431D3AE6}"/>
    <cellStyle name="style1690273665977" xfId="1137" xr:uid="{6904240C-5BE9-4C57-A7B1-C738DEEBF750}"/>
    <cellStyle name="style1690273666130" xfId="1138" xr:uid="{0C183A1B-2509-4471-8D61-CEE49BEE4B2C}"/>
    <cellStyle name="style1690273666275" xfId="1139" xr:uid="{BEEDA123-9B48-4DC2-A242-DB77604B063E}"/>
    <cellStyle name="style1690273666408" xfId="1140" xr:uid="{1F436D8C-6BE9-4A9F-8592-BB3A4531BEED}"/>
    <cellStyle name="style1690273666521" xfId="1141" xr:uid="{F0AA8983-E4A5-4F2B-9E21-B9C632169AE3}"/>
    <cellStyle name="style1690273666591" xfId="1142" xr:uid="{6DFE0C95-AC7B-4C9B-B52B-EF789399E57A}"/>
    <cellStyle name="style1690273666662" xfId="1143" xr:uid="{27223E77-F90B-4D16-BEBF-DD4D07599A01}"/>
    <cellStyle name="style1690273666723" xfId="1144" xr:uid="{480DDE94-0861-47FB-BD34-29AB8738254F}"/>
    <cellStyle name="style1690278296702" xfId="1145" xr:uid="{F684F222-4B66-4914-B990-F7C2A6B9C70F}"/>
    <cellStyle name="style1690278296859" xfId="1146" xr:uid="{D1E83FBF-E255-4775-8E83-94740AD85806}"/>
    <cellStyle name="style1690278297011" xfId="1147" xr:uid="{CB69ECEC-10D9-42F5-BA46-59630FD855FD}"/>
    <cellStyle name="style1690278297144" xfId="1148" xr:uid="{9F65EA02-7927-4128-9B56-E53FE92FA7C1}"/>
    <cellStyle name="style1690278297293" xfId="1149" xr:uid="{9664E635-609F-488B-9EDA-8A342DF523E1}"/>
    <cellStyle name="style1690278297418" xfId="1150" xr:uid="{047731EB-A34C-4740-B094-55A144E00F35}"/>
    <cellStyle name="style1690278297487" xfId="1151" xr:uid="{17178E22-E0CE-443C-B61F-3215B3A683FF}"/>
    <cellStyle name="style1690278297542" xfId="1152" xr:uid="{4BDD7410-19E6-47B3-96EA-65D903CAED23}"/>
    <cellStyle name="style1690278297644" xfId="1153" xr:uid="{CA44B17E-7790-4689-AFF2-4776462781DF}"/>
    <cellStyle name="style1690278297755" xfId="1154" xr:uid="{403EA6FE-FFEF-44A9-9DE5-1F5974E8AB1A}"/>
    <cellStyle name="style1690278933141" xfId="1155" xr:uid="{AFBF579C-2590-4B6E-9EE6-CC4FAB0AC2E8}"/>
    <cellStyle name="style1690278933296" xfId="1156" xr:uid="{65D5BF0D-23BC-4108-ADD1-042EA0985033}"/>
    <cellStyle name="style1690278933445" xfId="1157" xr:uid="{76A225FA-30B7-4CF4-A829-34A61C2F4981}"/>
    <cellStyle name="style1690278933565" xfId="1158" xr:uid="{9C74EC29-E0D2-4AD5-A6B5-341EB1ECDA0A}"/>
    <cellStyle name="style1690278933696" xfId="1159" xr:uid="{BB3F30E1-4CA5-4A84-9155-AF5B83B0CA84}"/>
    <cellStyle name="style1690278933846" xfId="1160" xr:uid="{49AA88E5-652D-491D-8386-68458E474272}"/>
    <cellStyle name="style1690278933998" xfId="1161" xr:uid="{C94BBA29-6C7C-4A03-ABAA-60404D6B3018}"/>
    <cellStyle name="style1690278934095" xfId="1162" xr:uid="{6FEB048A-4C2A-489F-8F77-781C78029A24}"/>
    <cellStyle name="style1690278934208" xfId="1163" xr:uid="{73E39160-F93F-4836-82CD-1C6C53FAC21E}"/>
    <cellStyle name="style1690278934346" xfId="1164" xr:uid="{4529E2B3-627C-43C3-A3D0-E2155A63D7E9}"/>
    <cellStyle name="style1690278934495" xfId="1165" xr:uid="{440455ED-5874-4AC8-A083-086B70A53088}"/>
    <cellStyle name="style1690278934613" xfId="1166" xr:uid="{57D701E7-B828-45EC-80F4-6B9B16E81225}"/>
    <cellStyle name="style1690284084887" xfId="1167" xr:uid="{785FA069-9BCF-4122-92F7-E1C122540DF7}"/>
    <cellStyle name="style1690284084949" xfId="1168" xr:uid="{76FD43C2-FAB3-4538-87A2-DA8A327B928F}"/>
    <cellStyle name="style1690284085013" xfId="1169" xr:uid="{A21988AD-6B64-4BBF-BA31-70EAC0BBE202}"/>
    <cellStyle name="style1690284085075" xfId="1170" xr:uid="{57FD2D7F-680E-4CAE-A973-AB4D15DC23E3}"/>
    <cellStyle name="style1690284085153" xfId="1171" xr:uid="{09D14B3F-9E5D-4720-86F2-4E841AEA15C2}"/>
    <cellStyle name="style1690284085216" xfId="1172" xr:uid="{480D9CDC-6950-4072-9074-18E9B559B4E8}"/>
    <cellStyle name="style1690284085278" xfId="1173" xr:uid="{8072156E-7725-405A-BD12-7512CE2D460F}"/>
    <cellStyle name="style1690284085325" xfId="1174" xr:uid="{29097512-1474-40B6-A953-11FF72D15537}"/>
    <cellStyle name="style1690284085387" xfId="1175" xr:uid="{C9AE6EB6-4783-473C-9C35-888ADEBE2178}"/>
    <cellStyle name="style1690284085434" xfId="1176" xr:uid="{3C786A10-3975-434C-AA0F-6289940A1ADE}"/>
    <cellStyle name="style1690284085481" xfId="1177" xr:uid="{0C3C68C7-1A16-4273-A826-13219D385B72}"/>
    <cellStyle name="style1690284085544" xfId="1178" xr:uid="{BD3B51CC-C243-433F-B684-C7A879E21EDD}"/>
    <cellStyle name="style1690284085606" xfId="1179" xr:uid="{C1EBD0A1-B32A-466D-8C50-0932FF854B50}"/>
    <cellStyle name="style1690284085669" xfId="1180" xr:uid="{1C55848E-6BB4-4DDC-91B2-F5A0424DEA74}"/>
    <cellStyle name="style1690429443223" xfId="1181" xr:uid="{A5F0F3AA-91D2-4A04-A942-F17673ECE3A3}"/>
    <cellStyle name="style1690429443332" xfId="1182" xr:uid="{41CA94C0-2ED5-41CC-823F-29F8D15F83E9}"/>
    <cellStyle name="style1690429443442" xfId="1183" xr:uid="{C91766F6-AABF-4389-BC86-EE031F0B4E16}"/>
    <cellStyle name="style1690429443535" xfId="1184" xr:uid="{DDA2CC85-96FC-40F3-B39F-5F07FE16B80C}"/>
    <cellStyle name="style1690429443646" xfId="1185" xr:uid="{915B4007-9FD1-4F2F-97AC-20F7C0A03233}"/>
    <cellStyle name="style1690429443755" xfId="1186" xr:uid="{06CA303E-0D83-47CB-9CD5-B83E7BEFB8A5}"/>
    <cellStyle name="style1690429443865" xfId="1187" xr:uid="{A47409DF-678D-47CB-8B55-36D45B28B4E3}"/>
    <cellStyle name="style1690429443927" xfId="1188" xr:uid="{A8C65737-CB3D-4CE0-9D76-4F930760CE67}"/>
    <cellStyle name="style1690429444052" xfId="1189" xr:uid="{C7E5A9F4-2D03-4CE6-96D3-8B4CC18BA082}"/>
    <cellStyle name="style1690429444146" xfId="1190" xr:uid="{7BC4BB32-56E8-4DAC-B0BF-224B2F1440C6}"/>
    <cellStyle name="style1690429444239" xfId="1191" xr:uid="{D01B259B-2354-46E3-9AA3-5B807127B7D6}"/>
    <cellStyle name="style1690429444318" xfId="1192" xr:uid="{8FE89E72-3920-4904-9ECC-ADA734D1662F}"/>
    <cellStyle name="style1690429463732" xfId="1193" xr:uid="{C8435AD4-AAE9-4FE2-968E-A8049418C0CE}"/>
    <cellStyle name="style1690429463873" xfId="1194" xr:uid="{23DDFC44-64F1-494A-804C-F8588AAC9048}"/>
    <cellStyle name="style1690429464013" xfId="1195" xr:uid="{CD75C8B5-07DB-4959-B2BF-A7ABA2A51DC3}"/>
    <cellStyle name="style1690429464107" xfId="1196" xr:uid="{DB9670C9-9B6B-496B-8C61-134F65434F9C}"/>
    <cellStyle name="style1690429464185" xfId="1197" xr:uid="{137ADAFF-20CC-42F9-8988-DAB6857C55A8}"/>
    <cellStyle name="style1690429464279" xfId="1198" xr:uid="{45FF621D-0A14-4244-8403-608CBE54084E}"/>
    <cellStyle name="style1690429464357" xfId="1199" xr:uid="{19307B1B-70B7-41CD-8C41-FB812754DA9C}"/>
    <cellStyle name="style1690429464420" xfId="1200" xr:uid="{B67BE8BD-C50C-41F4-B206-CA2D1C2FCB79}"/>
    <cellStyle name="style1690429464576" xfId="1201" xr:uid="{6700122B-ECE0-4DA1-B7BE-EEC56F95C0D7}"/>
    <cellStyle name="style1690429464706" xfId="1202" xr:uid="{11F59D8E-B7F4-4640-92D1-2632B8FF8E4E}"/>
    <cellStyle name="style1690429464831" xfId="1203" xr:uid="{AA81C234-5026-47B5-80D2-5F3EAA649944}"/>
    <cellStyle name="style1690429464925" xfId="1204" xr:uid="{CD163154-8245-43F0-BD4B-4ADF8E4EB548}"/>
    <cellStyle name="style1690429486010" xfId="1205" xr:uid="{56A4F116-FF06-45C2-9819-94C7C4DAC896}"/>
    <cellStyle name="style1690429486088" xfId="1206" xr:uid="{96526802-8357-4D03-94FF-210C0399FF63}"/>
    <cellStyle name="style1690429486151" xfId="1207" xr:uid="{1188C3C5-E7DA-4638-A122-B8909C2E7B04}"/>
    <cellStyle name="style1690429486213" xfId="1208" xr:uid="{6803A995-271F-45F2-8875-F04E6C51A335}"/>
    <cellStyle name="style1690429486260" xfId="1209" xr:uid="{00E6B3EC-9A6A-4B04-B1F0-193853166883}"/>
    <cellStyle name="style1690429486338" xfId="1210" xr:uid="{D17AF62C-5906-4361-BC2D-AE09AF94C190}"/>
    <cellStyle name="style1690429486401" xfId="1211" xr:uid="{D47D2073-76BF-44E4-B9A7-CA764C783BCD}"/>
    <cellStyle name="style1690429486448" xfId="1212" xr:uid="{9F34DB71-CA12-4995-8BB9-C934FF73D093}"/>
    <cellStyle name="style1690429486526" xfId="1213" xr:uid="{9D6EED96-B34D-45F3-B96D-9327DF5B46CD}"/>
    <cellStyle name="style1690429486604" xfId="1214" xr:uid="{25C4D87A-779D-41CA-8D83-506BC045DDB2}"/>
    <cellStyle name="style1690429486667" xfId="1215" xr:uid="{2E081657-52CC-4BED-93F7-18FB988572C9}"/>
    <cellStyle name="style1690429486714" xfId="1216" xr:uid="{9065471F-2479-4B44-B326-8A2812E6F22B}"/>
    <cellStyle name="style1690430890819" xfId="1217" xr:uid="{F9330023-BE42-46CD-82B0-0C0F0F2E3FD3}"/>
    <cellStyle name="style1690430890944" xfId="1218" xr:uid="{0531AAD5-BA3E-48AD-9FB3-5738DB0968A2}"/>
    <cellStyle name="style1690430891058" xfId="1219" xr:uid="{D4E57E6A-AB62-48B3-8957-3FE27E8BAD8E}"/>
    <cellStyle name="style1690430891152" xfId="1220" xr:uid="{37B324D0-ACD0-4270-A9AB-42E9F4A53755}"/>
    <cellStyle name="style1690430891261" xfId="1221" xr:uid="{BAF95D82-A085-4326-B9CC-A4FAB9CB3ACE}"/>
    <cellStyle name="style1690430891386" xfId="1222" xr:uid="{D6717850-0905-4094-8EF4-80A5EF5EF0BA}"/>
    <cellStyle name="style1690430891511" xfId="1223" xr:uid="{BC863CC4-6BEE-4ECB-81B2-463B4DA46454}"/>
    <cellStyle name="style1690430891574" xfId="1224" xr:uid="{97DE271E-65FC-41E4-8869-52BEF56319E2}"/>
    <cellStyle name="style1690430891714" xfId="1225" xr:uid="{13975072-A09D-4B7C-8A1C-4948DBC8334C}"/>
    <cellStyle name="style1690430891824" xfId="1226" xr:uid="{78F4E546-FE2D-46D7-B3B9-33421FA61C6C}"/>
    <cellStyle name="style1690430891917" xfId="1227" xr:uid="{5B1BCE53-3E65-457B-8D79-FC5E0CA09108}"/>
    <cellStyle name="style1690430891996" xfId="1228" xr:uid="{3AA6ECD6-EE23-4FA4-81E7-17724C6A6C5A}"/>
    <cellStyle name="style1690430909882" xfId="1229" xr:uid="{46932EA0-E506-4B0B-9A88-EF02C63E6C4D}"/>
    <cellStyle name="style1690430909960" xfId="1230" xr:uid="{A4E1F5B4-8BE8-448B-BC50-4AAEAB7EBF5F}"/>
    <cellStyle name="style1690430910038" xfId="1231" xr:uid="{BC3F0252-B181-43B7-A6AE-A6CB8F69A3F1}"/>
    <cellStyle name="style1690430910101" xfId="1232" xr:uid="{9705C6E1-D395-45AB-B6F3-042B6EBFBCA5}"/>
    <cellStyle name="style1690430910210" xfId="1233" xr:uid="{EB4C9876-6968-41BF-B08F-5DEA49388894}"/>
    <cellStyle name="style1690430910335" xfId="1234" xr:uid="{D4EADF81-F616-47AD-94AF-B64D3149BFB6}"/>
    <cellStyle name="style1690430910429" xfId="1235" xr:uid="{F6D7A3A9-7C44-4967-8F79-8A6828B0EFBD}"/>
    <cellStyle name="style1690430910507" xfId="1236" xr:uid="{9AA5627B-8517-4F43-B34E-E4BA797B2BD0}"/>
    <cellStyle name="style1690430910601" xfId="1237" xr:uid="{A4305796-0D67-4412-846D-C2DA1E9353A9}"/>
    <cellStyle name="style1690430910695" xfId="1238" xr:uid="{FB14A64A-7BF5-46A9-AC61-F073C37BE745}"/>
    <cellStyle name="style1690430910804" xfId="1239" xr:uid="{9B9EB35E-762F-4B9B-AE10-1E8299951C18}"/>
    <cellStyle name="style1690430910866" xfId="1240" xr:uid="{5000D612-F1EE-4277-9A76-969C4190B343}"/>
    <cellStyle name="style1690430927180" xfId="1241" xr:uid="{47E4D3CB-6912-41CF-BC56-B87BF26A9DBD}"/>
    <cellStyle name="style1690430927242" xfId="1242" xr:uid="{8773D742-3A26-4754-8532-53919208858C}"/>
    <cellStyle name="style1690430927305" xfId="1243" xr:uid="{EB74B40A-AF75-47D2-992E-0CDF2C99F575}"/>
    <cellStyle name="style1690430927351" xfId="1244" xr:uid="{B896ED42-EA84-41CB-BAAA-9CFACDA27480}"/>
    <cellStyle name="style1690430927414" xfId="1245" xr:uid="{E0B03562-1359-4644-8C4A-F5B890EAC225}"/>
    <cellStyle name="style1690430927476" xfId="1246" xr:uid="{96106E16-EF67-4219-A6A6-ACAD989C14CA}"/>
    <cellStyle name="style1690430927539" xfId="1247" xr:uid="{2D6D149E-9AD9-4F7A-A4FD-1DA11BBA31A0}"/>
    <cellStyle name="style1690430927601" xfId="1248" xr:uid="{AEF1F388-D88C-4746-8BCC-5C9B0B3C169A}"/>
    <cellStyle name="style1690430927695" xfId="1249" xr:uid="{E801BC0D-5739-41F2-93D5-E306242FCA70}"/>
    <cellStyle name="style1690430927773" xfId="1250" xr:uid="{7AA639CF-1B74-4BE8-856B-91C2B88BA343}"/>
    <cellStyle name="style1690430927836" xfId="1251" xr:uid="{0E005CC2-81C2-4FF2-96B4-12E5A1D4D2F5}"/>
    <cellStyle name="style1690430927883" xfId="1252" xr:uid="{1FF14199-6B3E-4B5B-89AE-501483F87BCD}"/>
    <cellStyle name="style1690434935418" xfId="1253" xr:uid="{EF73DBD0-96C8-4DE7-AB57-911B1BBA6D7A}"/>
    <cellStyle name="style1690434935559" xfId="1254" xr:uid="{9A6DB906-6258-4E52-AAD3-8B385F1ACFAD}"/>
    <cellStyle name="style1690434935668" xfId="1255" xr:uid="{B898A2AF-ED23-4558-86C9-C83408C34F78}"/>
    <cellStyle name="style1690434935715" xfId="1256" xr:uid="{05874C96-087D-42F9-ABA3-28BF4D5CEF71}"/>
    <cellStyle name="style1690434935824" xfId="1257" xr:uid="{31F673B9-5763-43F2-9DAD-376D6E3A0957}"/>
    <cellStyle name="style1690434935902" xfId="1258" xr:uid="{B7DA350A-253F-4774-826B-616218AC19A1}"/>
    <cellStyle name="style1690434936012" xfId="1259" xr:uid="{EE15AF2D-2A5E-427C-A350-7555F9382F2D}"/>
    <cellStyle name="style1690434936074" xfId="1260" xr:uid="{7D5F285C-62DB-4909-A295-B031B67BC65F}"/>
    <cellStyle name="style1690434936184" xfId="1261" xr:uid="{61628C3B-BFF1-44E2-AAC2-061D337B6DEC}"/>
    <cellStyle name="style1690434936246" xfId="1262" xr:uid="{9950FF01-AFE8-4BB0-8D2C-69B3DFDDBF4C}"/>
    <cellStyle name="style1690434936309" xfId="1263" xr:uid="{9100D32F-0372-418B-9C06-8F23E0A7D923}"/>
    <cellStyle name="style1690434936355" xfId="1264" xr:uid="{48E3CFF6-94BE-4B4D-8AA3-37F9F56AB6ED}"/>
    <cellStyle name="style1690434953579" xfId="1265" xr:uid="{BF08045F-8F9D-4471-BACC-56AE85A6EF43}"/>
    <cellStyle name="style1690434953688" xfId="1266" xr:uid="{512F5220-9A53-4ED5-8046-E92C2F01C45F}"/>
    <cellStyle name="style1690434953766" xfId="1267" xr:uid="{632B7570-BAF6-414F-8E9E-A9685F05418A}"/>
    <cellStyle name="style1690434953813" xfId="1268" xr:uid="{21D7FF6C-E899-4479-A627-3683CDD2201D}"/>
    <cellStyle name="style1690434953876" xfId="1269" xr:uid="{83C49423-599C-43BB-8795-A45D4E3332F0}"/>
    <cellStyle name="style1690434953938" xfId="1270" xr:uid="{AAF3229D-3182-42F3-AF60-69754C1F471E}"/>
    <cellStyle name="style1690434954000" xfId="1271" xr:uid="{A1E3DB4B-88BA-4519-9521-D6D7B9369C0D}"/>
    <cellStyle name="style1690434954047" xfId="1272" xr:uid="{65C91593-F0E8-48BB-B795-9D4059088C2B}"/>
    <cellStyle name="style1690434954125" xfId="1273" xr:uid="{8AC2AFB7-3B90-4CAD-BFE0-7CBBC5F81150}"/>
    <cellStyle name="style1690434954188" xfId="1274" xr:uid="{5E335858-821E-476B-BBA5-544825F4C054}"/>
    <cellStyle name="style1690434954250" xfId="1275" xr:uid="{624592BE-9C75-4F3E-9187-D92AC1CF8019}"/>
    <cellStyle name="style1690434954313" xfId="1276" xr:uid="{97E3A05E-D2AA-4043-94AF-14ADD31D8A83}"/>
    <cellStyle name="style1690444632332" xfId="1277" xr:uid="{5260EB4A-307A-40AC-A33A-5285B80812ED}"/>
    <cellStyle name="style1690444632403" xfId="1278" xr:uid="{2C0CED39-3DC3-4C48-8429-4247A97DF02D}"/>
    <cellStyle name="style1690444632509" xfId="1279" xr:uid="{D2307C8E-9D01-41F8-A161-BC6DD3CEB464}"/>
    <cellStyle name="style1690444632636" xfId="1280" xr:uid="{94A8F214-997A-43A3-87D5-BF94D6D1AB77}"/>
    <cellStyle name="style1690444632789" xfId="1281" xr:uid="{76739A93-9026-44CF-84DF-B1BF111D5D2E}"/>
    <cellStyle name="style1690444632941" xfId="1282" xr:uid="{0ED32929-5202-4E00-986D-83FF16CFF00E}"/>
    <cellStyle name="style1690444633083" xfId="1283" xr:uid="{3F0A44F9-2DAA-46AF-A594-D63B5CA0CDA2}"/>
    <cellStyle name="style1690444633132" xfId="1284" xr:uid="{EB63F4B6-A10D-4EBD-B552-CFA5FAC29865}"/>
    <cellStyle name="style1690444633210" xfId="1285" xr:uid="{7D42FB0C-B18A-459A-8F26-CC21A3ED2426}"/>
    <cellStyle name="style1690444633290" xfId="1286" xr:uid="{3F0E3DCE-1EF2-451E-A469-1DFE2470A055}"/>
    <cellStyle name="style1690444633357" xfId="1287" xr:uid="{B5A4D444-01FF-4A0A-854B-EC84F42B415E}"/>
    <cellStyle name="style1690444633406" xfId="1288" xr:uid="{D93B1718-B740-4767-8C76-1F0035B0665F}"/>
    <cellStyle name="style1690444650655" xfId="1289" xr:uid="{96722D92-AF5A-41FD-90E0-C7123F63B986}"/>
    <cellStyle name="style1690444650738" xfId="1290" xr:uid="{7519101B-A2E2-4733-8A63-FF13C95FBA8D}"/>
    <cellStyle name="style1690444650837" xfId="1291" xr:uid="{240C9A02-C0B7-40A4-8333-3B720D0ED8B7}"/>
    <cellStyle name="style1690444650892" xfId="1292" xr:uid="{C8D81362-E3CB-4518-ADAE-2C854FB94954}"/>
    <cellStyle name="style1690444650996" xfId="1293" xr:uid="{AC7175BE-B36C-47AB-823C-18B409F61AE9}"/>
    <cellStyle name="style1690444651139" xfId="1294" xr:uid="{84F5C809-A7F7-45FE-9463-3C0FC59C34C9}"/>
    <cellStyle name="style1690444651212" xfId="1295" xr:uid="{8156B3A4-0BE7-4F0F-950B-108CFE76439D}"/>
    <cellStyle name="style1690444651263" xfId="1296" xr:uid="{D201D53E-3D34-403E-BEFB-C131B430C347}"/>
    <cellStyle name="style1690444651333" xfId="1297" xr:uid="{CD37CE24-D480-47ED-B053-9A90317E11B1}"/>
    <cellStyle name="style1690444651408" xfId="1298" xr:uid="{D2E740F0-AEFE-4B95-9B0A-8F04B6415A82}"/>
    <cellStyle name="style1690444651497" xfId="1299" xr:uid="{CD9D4180-4597-4B99-BD39-CF578149DAAC}"/>
    <cellStyle name="style1690444651587" xfId="1300" xr:uid="{45451FDB-12B1-4835-82AB-1A23724AE632}"/>
    <cellStyle name="style1690445292457" xfId="1301" xr:uid="{771ED8BE-B917-4A82-A959-500777F371FE}"/>
    <cellStyle name="style1690445292522" xfId="1302" xr:uid="{F79ED06E-4DB2-49B7-ADC5-FB15AB3AE0EC}"/>
    <cellStyle name="style1690445292596" xfId="1303" xr:uid="{2BECB202-8D8F-4C79-BA4A-C7044561DAF0}"/>
    <cellStyle name="style1690445292687" xfId="1304" xr:uid="{4B91D9D6-CA95-4F85-911F-9F4572361B38}"/>
    <cellStyle name="style1690445292796" xfId="1305" xr:uid="{0B905BB1-33EA-45A5-BDD9-388459E3DB58}"/>
    <cellStyle name="style1690445292879" xfId="1306" xr:uid="{2888DBB2-5B4D-43E8-A1E6-19405BB3FC73}"/>
    <cellStyle name="style1690445292949" xfId="1307" xr:uid="{BA3ADB48-3731-4F24-9EA6-A1D4FB39A383}"/>
    <cellStyle name="style1690445292999" xfId="1308" xr:uid="{0C2BDD80-1D77-4A53-A1BD-3C64BF53338F}"/>
    <cellStyle name="style1690445293068" xfId="1309" xr:uid="{881BB285-BAEE-4B43-9703-95B23CB2B732}"/>
    <cellStyle name="style1690445293156" xfId="1310" xr:uid="{DE61B382-3BA6-41A6-B82B-24C64DA1EEF8}"/>
    <cellStyle name="style1690445293234" xfId="1311" xr:uid="{4F78855E-EDA0-437C-A029-A20B75E625DD}"/>
    <cellStyle name="style1690445372947" xfId="1312" xr:uid="{DD842EDB-4BF2-48C1-80E0-20CA33522E40}"/>
    <cellStyle name="style1690445373096" xfId="1313" xr:uid="{DFBA313B-7DB6-4628-8162-E7C18BB016C5}"/>
    <cellStyle name="style1690445373181" xfId="1314" xr:uid="{11675A2C-25DA-4A7D-B68E-F8407CD52D47}"/>
    <cellStyle name="style1690445373286" xfId="1315" xr:uid="{CA89788C-A2B3-407C-842A-841B3DBB8AA5}"/>
    <cellStyle name="style1690445373446" xfId="1316" xr:uid="{5EEE11E8-C4F7-4999-8B5F-6BE624067328}"/>
    <cellStyle name="style1690445373552" xfId="1317" xr:uid="{B428BDD6-7D7B-4E0C-AC97-4C8559BACCAF}"/>
    <cellStyle name="style1690445373617" xfId="1318" xr:uid="{A041538D-07BE-4D0D-B675-EAE7D9ACD09A}"/>
    <cellStyle name="style1690445373685" xfId="1319" xr:uid="{D1E106CE-E043-43BC-923B-A1432896896C}"/>
    <cellStyle name="style1690445373739" xfId="1320" xr:uid="{D193BF69-D2F4-4EB2-9462-DC1700EEDBDA}"/>
    <cellStyle name="style1690445373802" xfId="1321" xr:uid="{71C4C676-0E8C-4B39-BCBB-2BF870F73B0C}"/>
    <cellStyle name="style1690445373895" xfId="1322" xr:uid="{71CFA5B8-CBE7-4194-826C-EECA9E8CAFA6}"/>
    <cellStyle name="style1690445373994" xfId="1323" xr:uid="{9A04F169-BA9B-4BCA-A519-600D2310BF51}"/>
    <cellStyle name="style1690547369489" xfId="1324" xr:uid="{CD524A00-2079-4D0C-B923-68BFDF8F362A}"/>
    <cellStyle name="style1690547369582" xfId="1325" xr:uid="{7E395766-BFD0-4B48-B7F6-5A6E02457F29}"/>
    <cellStyle name="style1690547369661" xfId="1326" xr:uid="{CF83AE20-D18D-4465-AFC9-C70A091373AD}"/>
    <cellStyle name="style1690547369707" xfId="1327" xr:uid="{EC7638EE-082C-4B9E-8812-3599B337327F}"/>
    <cellStyle name="style1690547369785" xfId="1328" xr:uid="{10271304-5BA4-4002-ACE5-84A44DDEBB2B}"/>
    <cellStyle name="style1690547369848" xfId="1329" xr:uid="{2A94A858-3901-49A7-923A-4FF475951547}"/>
    <cellStyle name="style1690547369942" xfId="1330" xr:uid="{5867EDE5-7F3D-4873-A9EE-2250AFB20691}"/>
    <cellStyle name="style1690547370004" xfId="1331" xr:uid="{13C880CC-5BAE-4642-AD30-CE1A03FE1083}"/>
    <cellStyle name="style1690547370117" xfId="1332" xr:uid="{CCD764CA-7145-46B5-A3F9-9695EC358E5D}"/>
    <cellStyle name="style1690547370188" xfId="1333" xr:uid="{1D26953C-2964-4A2C-875F-BF34536A34DD}"/>
    <cellStyle name="style1690547370266" xfId="1334" xr:uid="{08ACC63E-76C2-4453-9C6E-D96B3A9D5ED4}"/>
    <cellStyle name="style1690547370328" xfId="1335" xr:uid="{4207AD94-4A4D-4699-9704-5832BC32DF90}"/>
    <cellStyle name="style1690547370391" xfId="1336" xr:uid="{DC50077B-0A5C-4BAB-A2DA-D2E53924F3A1}"/>
    <cellStyle name="style1690547388105" xfId="1337" xr:uid="{613EBBE4-5ECA-4962-AD97-1F1ED6A21EE7}"/>
    <cellStyle name="style1690547388199" xfId="1338" xr:uid="{39A5367B-2DD1-4194-99A9-8BFB073581A2}"/>
    <cellStyle name="style1690547388277" xfId="1339" xr:uid="{6DBA4214-5827-434E-89D1-07CEE68DA7C4}"/>
    <cellStyle name="style1690547388371" xfId="1340" xr:uid="{65D6B470-CDD5-4305-B86C-15C6A317BC62}"/>
    <cellStyle name="style1690547388451" xfId="1341" xr:uid="{B7E6C581-B064-4D78-8EAB-59088ECC1F26}"/>
    <cellStyle name="style1690547388545" xfId="1342" xr:uid="{4EDAC8D6-104D-430E-BB9D-8BD8BD8BF148}"/>
    <cellStyle name="style1690547388670" xfId="1343" xr:uid="{7D424F3B-D701-4255-8D1C-820D8E0012CC}"/>
    <cellStyle name="style1690547388779" xfId="1344" xr:uid="{51863DA7-849A-440A-9E3E-7FDAF50CB9A1}"/>
    <cellStyle name="style1690547388904" xfId="1345" xr:uid="{BF93B073-19E0-4066-8BFD-C40085C3EA51}"/>
    <cellStyle name="style1690547388998" xfId="1346" xr:uid="{B5DD8A49-1D3A-4C5F-A1B3-D84DF9368031}"/>
    <cellStyle name="style1690547389092" xfId="1347" xr:uid="{C7E81158-CEA9-4A8F-A4B6-B83DF5ABE518}"/>
    <cellStyle name="style1690547389170" xfId="1348" xr:uid="{5BE5F26F-64F6-4650-ACFE-ECCF0832A927}"/>
    <cellStyle name="style1690547389232" xfId="1349" xr:uid="{A0214661-D0D0-4E6E-8E6C-B0F68689F2F2}"/>
    <cellStyle name="style1690548185786" xfId="1350" xr:uid="{32988624-9456-49ED-826C-80A24368E17E}"/>
    <cellStyle name="style1690548185871" xfId="1351" xr:uid="{27715DAE-3190-423C-A6D2-A03C9F45EC2E}"/>
    <cellStyle name="style1690548185956" xfId="1352" xr:uid="{D51F4031-0BDF-4294-B510-F14BEE49CAC8}"/>
    <cellStyle name="style1690548186027" xfId="1353" xr:uid="{B095E0B3-4D8C-4FC2-8FD4-9D912BFAF900}"/>
    <cellStyle name="style1690548186112" xfId="1354" xr:uid="{C2E240C8-0B65-471B-87DA-C22DF0BBB874}"/>
    <cellStyle name="style1690548186218" xfId="1355" xr:uid="{7326FF36-537B-44CE-AC76-E473AF12747D}"/>
    <cellStyle name="style1690548186324" xfId="1356" xr:uid="{3281CA59-F2B5-4B5D-90F8-3D54A9419ED4}"/>
    <cellStyle name="style1690548186412" xfId="1357" xr:uid="{649838B4-98E7-4BDC-9DF0-B3843886B9FB}"/>
    <cellStyle name="style1690548186495" xfId="1358" xr:uid="{D9A2FA17-7B9D-452F-BC2C-6BC31C01C057}"/>
    <cellStyle name="style1690548638160" xfId="1359" xr:uid="{61B8AA69-E3F6-41EF-9328-3F7B2FF1DB0B}"/>
    <cellStyle name="style1690548638227" xfId="1360" xr:uid="{2365930F-12DA-4A49-82BB-566B993C59CF}"/>
    <cellStyle name="style1690548638293" xfId="1361" xr:uid="{99675C63-3B93-4CFF-8276-789649C63C15}"/>
    <cellStyle name="style1690548638359" xfId="1362" xr:uid="{C9C4F1D0-1B07-46AD-90B8-89A1ADB2534C}"/>
    <cellStyle name="style1690548638426" xfId="1363" xr:uid="{5C256138-41ED-41A8-B912-E7082AA86352}"/>
    <cellStyle name="style1690548638493" xfId="1364" xr:uid="{E6B9CF4B-8976-4D9C-B833-F47B2604C9F3}"/>
    <cellStyle name="style1690548638580" xfId="1365" xr:uid="{F6DD247A-74DA-4EAD-8900-33CBF5B58D71}"/>
    <cellStyle name="style1690548638669" xfId="1366" xr:uid="{CAFEB2F5-603D-4BB3-8E16-EF62C82640B3}"/>
    <cellStyle name="style1690548638735" xfId="1367" xr:uid="{00647E6D-60BA-4201-8736-1E1AE90DB47C}"/>
    <cellStyle name="style1690549344056" xfId="1368" xr:uid="{F4847C4A-02B7-45CD-A340-10C6A82F5C8C}"/>
    <cellStyle name="style1690549344152" xfId="1369" xr:uid="{03F21E16-5BC3-46BB-85DD-BC7074AD5B01}"/>
    <cellStyle name="style1690549344236" xfId="1370" xr:uid="{F6657B65-E871-4B72-B6E0-0DD2E55EA6A4}"/>
    <cellStyle name="style1690549344311" xfId="1371" xr:uid="{A3A14557-50C7-4757-9D2D-DF18ECB7986B}"/>
    <cellStyle name="style1690549344385" xfId="1372" xr:uid="{8442A049-A7A6-4303-AD88-EC44EE2039C9}"/>
    <cellStyle name="style1690549344452" xfId="1373" xr:uid="{74A35923-3B1D-4D3E-A520-CCA2A9432EA9}"/>
    <cellStyle name="style1690549344526" xfId="1374" xr:uid="{C07FC338-DBDD-4366-AC64-55BA24F2D256}"/>
    <cellStyle name="style1690549344591" xfId="1375" xr:uid="{0088D0D4-BA46-475B-8BE2-B8E93E99BF31}"/>
    <cellStyle name="style1690549344679" xfId="1376" xr:uid="{2D9B3EFD-950C-4D6C-BD16-FDE714AEBF62}"/>
    <cellStyle name="style1690549363355" xfId="1377" xr:uid="{8231C01D-D6D3-4D00-9C4E-28D5258523C9}"/>
    <cellStyle name="style1690549363421" xfId="1378" xr:uid="{7635FD24-72BD-486A-A09F-6C945A81D158}"/>
    <cellStyle name="style1690549363486" xfId="1379" xr:uid="{B799F904-E1ED-4FE7-93AF-6751159BBD33}"/>
    <cellStyle name="style1690549363575" xfId="1380" xr:uid="{B1DF9773-5FCD-444D-BC50-41CFB8E79C67}"/>
    <cellStyle name="style1690549363641" xfId="1381" xr:uid="{3B205AD9-205F-4381-97EA-D74507E0CFBA}"/>
    <cellStyle name="style1690549363706" xfId="1382" xr:uid="{973785DF-F6A4-493D-AC8E-95F9918AD137}"/>
    <cellStyle name="style1690549363783" xfId="1383" xr:uid="{9ED5171B-BE16-44F4-B966-3DBE55EC9704}"/>
    <cellStyle name="style1690549363848" xfId="1384" xr:uid="{93CC55AE-2FF8-4768-B357-00046768DD02}"/>
    <cellStyle name="style1690549363919" xfId="1385" xr:uid="{49DA2DDD-0236-4933-8BC9-9BACA828C28F}"/>
    <cellStyle name="style1690550693377" xfId="1386" xr:uid="{1E53E5B0-CA76-43CD-8F9A-74209FEC1323}"/>
    <cellStyle name="style1690550693441" xfId="1387" xr:uid="{EC3E5665-070E-4C26-A12F-244A7E5AC9A0}"/>
    <cellStyle name="style1690550693511" xfId="1388" xr:uid="{F687CFE5-6590-41EB-A268-6C8AA3343B4B}"/>
    <cellStyle name="style1690550693576" xfId="1389" xr:uid="{9416FA1A-CA62-4999-8257-6199A2660A0C}"/>
    <cellStyle name="style1690550693639" xfId="1390" xr:uid="{06AA64AD-96CE-4079-BD25-AE97A35A5C47}"/>
    <cellStyle name="style1690550693704" xfId="1391" xr:uid="{40519F20-73DA-42C2-AB08-FF7FBFDEFDC2}"/>
    <cellStyle name="style1690550693790" xfId="1392" xr:uid="{346D7326-6E99-461E-82DB-DFE95022B39C}"/>
    <cellStyle name="style1690550693874" xfId="1393" xr:uid="{19A154E7-2E9E-48B2-BA63-C5DE4AD0F976}"/>
    <cellStyle name="style1690550693944" xfId="1394" xr:uid="{234ABA4E-F126-42B5-87EC-011B62B5F74D}"/>
    <cellStyle name="style1690551141873" xfId="1395" xr:uid="{0022C908-E417-41BB-97A7-A15106159694}"/>
    <cellStyle name="style1690551141935" xfId="1396" xr:uid="{A66E0EB4-65FD-4D9A-9D33-F89F96B6C69A}"/>
    <cellStyle name="style1690551141999" xfId="1397" xr:uid="{0B029B4D-80B7-4C47-B616-6E8CF4282133}"/>
    <cellStyle name="style1690551142061" xfId="1398" xr:uid="{2B2A2C22-4106-4B94-92DE-A249B57088AD}"/>
    <cellStyle name="style1690551142155" xfId="1399" xr:uid="{814F5C67-2E9E-45C3-9224-43CEC0CBA080}"/>
    <cellStyle name="style1690551142249" xfId="1400" xr:uid="{776D6773-5B9A-40A5-A04B-062428B3CB7D}"/>
    <cellStyle name="style1690551142327" xfId="1401" xr:uid="{9529DDB6-5520-4F01-8FCE-79D0A9F41A55}"/>
    <cellStyle name="style1690551142389" xfId="1402" xr:uid="{2FC64B35-D1EA-4281-919C-38C89DC67192}"/>
    <cellStyle name="style1690551142452" xfId="1403" xr:uid="{2EF2E210-FFE7-4802-9DC5-89307734DC6E}"/>
    <cellStyle name="style1690552314005" xfId="1404" xr:uid="{0CBFD073-5208-4961-A628-9EC2CA9F99E6}"/>
    <cellStyle name="style1690552314067" xfId="1405" xr:uid="{8B878C3C-E449-4328-B051-6BFCFF458186}"/>
    <cellStyle name="style1690552314130" xfId="1406" xr:uid="{E9AF6AD1-8182-48DC-89E7-83778E017968}"/>
    <cellStyle name="style1690552314239" xfId="1407" xr:uid="{9DD3886D-FD5E-4493-ABE6-B8BE0EE2C624}"/>
    <cellStyle name="style1690552314302" xfId="1408" xr:uid="{7598F68A-A596-4DEB-86B8-166BD0B53CD7}"/>
    <cellStyle name="style1690552314365" xfId="1409" xr:uid="{5FC9CB4B-3924-4D96-B333-DD3FF8AD8505}"/>
    <cellStyle name="style1690552314505" xfId="1410" xr:uid="{5904021C-0C27-4283-87DE-9F76B0608779}"/>
    <cellStyle name="style1690552314568" xfId="1411" xr:uid="{25C26CDA-B550-4AC2-854F-7E9782DC36C6}"/>
    <cellStyle name="style1690552314630" xfId="1412" xr:uid="{D3F84E15-788B-4335-831B-9CAE04F32A95}"/>
    <cellStyle name="style1690552753643" xfId="1413" xr:uid="{15AFF912-E70C-4A1E-81DF-0D5ABA56631D}"/>
    <cellStyle name="style1690552753722" xfId="1414" xr:uid="{CBD4F82A-591C-4CE5-B336-667D0FEFBFB8}"/>
    <cellStyle name="style1690552753831" xfId="1415" xr:uid="{8F851F67-A3A6-47C9-99EF-01AB20EC80FC}"/>
    <cellStyle name="style1690552753909" xfId="1416" xr:uid="{6CA38E28-7EE2-4B68-9DA4-EF38780CCF11}"/>
    <cellStyle name="style1690552753972" xfId="1417" xr:uid="{8231490E-FB00-4879-B9CA-4E1E6B1B85AB}"/>
    <cellStyle name="style1690552754034" xfId="1418" xr:uid="{A8AE0852-AD3F-49EC-BB0D-6969CB93DB37}"/>
    <cellStyle name="style1690552754097" xfId="1419" xr:uid="{B904DB51-3B2B-4A5A-89F6-E4F80D957D68}"/>
    <cellStyle name="style1690552754143" xfId="1420" xr:uid="{2467A761-9292-4442-8089-2C7996B2956B}"/>
    <cellStyle name="style1690552754213" xfId="1421" xr:uid="{96B9009B-A5BE-42F0-A64C-7A10098AD6CC}"/>
    <cellStyle name="style1690552754285" xfId="1422" xr:uid="{E1C1316D-BE94-495F-B57D-0E53943CBA21}"/>
    <cellStyle name="style1690552754363" xfId="1423" xr:uid="{91AC61B3-03A3-4B52-B80A-C8E4A637B124}"/>
    <cellStyle name="style1690552754410" xfId="1424" xr:uid="{9C508B1E-232A-496A-9E18-89988F36B4FA}"/>
    <cellStyle name="style1690553453837" xfId="1425" xr:uid="{AB6368A9-B42C-43F4-AA25-51F8DA343253}"/>
    <cellStyle name="style1690553453915" xfId="1426" xr:uid="{B7C69499-7985-43D9-9770-010A4003808D}"/>
    <cellStyle name="style1690553453993" xfId="1427" xr:uid="{D9702851-6DAE-46C1-A417-CE0B012857A4}"/>
    <cellStyle name="style1690553454058" xfId="1428" xr:uid="{C1DE1123-9C9E-4D4D-A0E1-D869AF691353}"/>
    <cellStyle name="style1690553454119" xfId="1429" xr:uid="{C6A20A17-1A20-4D94-B6F1-A7D81BFD0AD7}"/>
    <cellStyle name="style1690553454182" xfId="1430" xr:uid="{8FCC4002-D206-4CF9-9D14-FDCA164525DB}"/>
    <cellStyle name="style1690553454275" xfId="1431" xr:uid="{490B85C2-1D4C-42F6-9ED0-FD0CE7D7C0EF}"/>
    <cellStyle name="style1690553454338" xfId="1432" xr:uid="{D514511D-CFB5-411E-B5AB-8CB18726B4DC}"/>
    <cellStyle name="style1690553454400" xfId="1433" xr:uid="{DD5D6793-E84F-4A84-A5F0-6F36CBEEC544}"/>
    <cellStyle name="style1690553890725" xfId="1434" xr:uid="{1E06999D-91D0-423F-B8A6-A31E8C097559}"/>
    <cellStyle name="style1690553890788" xfId="1435" xr:uid="{DD24AB82-9A98-44A6-B8E5-4A514A7B5089}"/>
    <cellStyle name="style1690553890850" xfId="1436" xr:uid="{966C066B-411E-4D72-96C9-20DC8A4DD40B}"/>
    <cellStyle name="style1690553890944" xfId="1437" xr:uid="{5A6AE9C1-A40F-434C-9E72-01F445DCDD46}"/>
    <cellStyle name="style1690553891007" xfId="1438" xr:uid="{21AD42BD-6F6B-495F-87FC-A9CBDA2010B3}"/>
    <cellStyle name="style1690553891116" xfId="1439" xr:uid="{078C31F5-C248-4645-BD25-896BF04341A6}"/>
    <cellStyle name="style1690553891194" xfId="1440" xr:uid="{3AF51166-E500-4F7C-B254-2C9B29702A3F}"/>
    <cellStyle name="style1690553891272" xfId="1441" xr:uid="{024E36C8-DEB4-4A4C-923B-7CFB45BD2687}"/>
    <cellStyle name="style1690553891335" xfId="1442" xr:uid="{320AECC3-8B26-4C77-8EE1-A3CF1D86D4FF}"/>
    <cellStyle name="style1690599681896" xfId="1443" xr:uid="{183402BA-D558-43F4-8975-DDEDE4BBB03E}"/>
    <cellStyle name="style1690599681982" xfId="1444" xr:uid="{EAC8C35E-EF5A-4BC0-A5CD-83728E1F08A1}"/>
    <cellStyle name="style1690599682141" xfId="1445" xr:uid="{DEEA4938-BB6B-48B4-A2A1-25C0E041F254}"/>
    <cellStyle name="style1690599682214" xfId="1446" xr:uid="{24016125-1113-49AA-A457-2582F78A5EE5}"/>
    <cellStyle name="style1690599682316" xfId="1447" xr:uid="{A4ECA966-90AF-48E8-BF5F-93930BDBC49B}"/>
    <cellStyle name="style1690599682493" xfId="1448" xr:uid="{F1D5CDB5-891B-4B59-8286-02601C99374C}"/>
    <cellStyle name="style1690599682567" xfId="1449" xr:uid="{4CF4AD20-6C61-44AE-BF90-4E22E66A1325}"/>
    <cellStyle name="style1690599682629" xfId="1450" xr:uid="{8034FAEA-69F9-4A45-866D-CC7C74A21A43}"/>
    <cellStyle name="style1690600252055" xfId="1451" xr:uid="{B1CDE10B-ABEB-4AE5-A790-99D2FDF48F8D}"/>
    <cellStyle name="style1690600252138" xfId="1452" xr:uid="{8E8C9FA4-981E-4E62-9255-F3A3692268F5}"/>
    <cellStyle name="style1690600252208" xfId="1453" xr:uid="{3F32B31E-5100-4BDD-9475-3652B4BFFD4B}"/>
    <cellStyle name="style1690600252282" xfId="1454" xr:uid="{D7F68476-E8CB-48C9-9475-FF71EF6F9855}"/>
    <cellStyle name="style1690600252354" xfId="1455" xr:uid="{E873FE9F-A6CB-4544-A969-72C30C8F13ED}"/>
    <cellStyle name="style1690600252430" xfId="1456" xr:uid="{5515F005-2294-457D-BB1C-D78321B5097F}"/>
    <cellStyle name="style1690600252550" xfId="1457" xr:uid="{E622A3B1-6B73-43C1-8FCF-D593F12DA559}"/>
    <cellStyle name="style1690600252639" xfId="1458" xr:uid="{F5336397-0226-41A8-9C4B-12FDC9D4CCE7}"/>
    <cellStyle name="style1690600252720" xfId="1459" xr:uid="{9713666D-7477-45E7-A62C-C67518C12473}"/>
    <cellStyle name="style1690602071594" xfId="1460" xr:uid="{15DBD2F3-EE79-4ED4-827B-CB3B7D5E9B06}"/>
    <cellStyle name="style1690602071660" xfId="1461" xr:uid="{0F7658EA-E0AA-49D5-A5A2-650D70F1DFA8}"/>
    <cellStyle name="style1690602071726" xfId="1462" xr:uid="{4E377046-AEFC-494D-B60D-699665066A5A}"/>
    <cellStyle name="style1690602071799" xfId="1463" xr:uid="{44AE5CA0-0EBF-4734-9139-B451D7011234}"/>
    <cellStyle name="style1690602071868" xfId="1464" xr:uid="{570AA12F-25F4-4BA7-A3C0-175F393C7DCD}"/>
    <cellStyle name="style1690602071955" xfId="1465" xr:uid="{B9200473-1084-4A2A-857C-ACF549EEDFB5}"/>
    <cellStyle name="style1690602072061" xfId="1466" xr:uid="{C402C3E7-C212-4300-B76A-933AE05B2583}"/>
    <cellStyle name="style1690602072139" xfId="1467" xr:uid="{2BFE8EC3-297C-4415-92EA-909EAD7CBAEF}"/>
    <cellStyle name="style1690602072206" xfId="1468" xr:uid="{866258A9-26AD-42DC-9EE1-099D154A4CA3}"/>
    <cellStyle name="style1690602090231" xfId="1469" xr:uid="{0C97FBFD-AFCD-45B8-A83F-A4799100A345}"/>
    <cellStyle name="style1690602090380" xfId="1470" xr:uid="{24008DAD-B39F-492A-BB5A-30035B661026}"/>
    <cellStyle name="style1690602090527" xfId="1471" xr:uid="{A1902084-F6F0-4705-A774-E17F6F2AB45E}"/>
    <cellStyle name="style1690602090694" xfId="1472" xr:uid="{3D43859A-27B6-49CE-9582-98670F90EFB4}"/>
    <cellStyle name="style1690602090846" xfId="1473" xr:uid="{AC191013-FEF7-45CD-9D86-A0E61CA49D41}"/>
    <cellStyle name="style1690602090923" xfId="1474" xr:uid="{1E2C4BC0-EFC0-4F86-8030-771D5BAD276A}"/>
    <cellStyle name="style1690602091029" xfId="1475" xr:uid="{6B78319D-A61E-4E44-9CA8-174D23564A2B}"/>
    <cellStyle name="style1690602091116" xfId="1476" xr:uid="{01D8FB3A-8151-464E-B394-5027E3840CBA}"/>
    <cellStyle name="style1690602091187" xfId="1477" xr:uid="{695D526E-5215-49F2-A6BF-704D7B8E5CCD}"/>
    <cellStyle name="style1690602091261" xfId="1478" xr:uid="{0A271E22-DA4C-4EEA-9BD0-75AF2F798AA4}"/>
    <cellStyle name="style1690602091318" xfId="1479" xr:uid="{0E6CC630-0E1E-4541-BAC9-CC5F51CE204D}"/>
    <cellStyle name="style1690602910060" xfId="1480" xr:uid="{1342D27C-2E87-4691-9476-EF00FDD54A8B}"/>
    <cellStyle name="style1690602910167" xfId="1481" xr:uid="{4386CAE9-B205-4B41-97E0-97A9377A4F27}"/>
    <cellStyle name="style1690602910294" xfId="1482" xr:uid="{1855EA96-3947-4454-96A8-E0137D47FC57}"/>
    <cellStyle name="style1690602910453" xfId="1483" xr:uid="{65B2B927-8BA5-4C6F-9705-22577A512230}"/>
    <cellStyle name="style1690602910621" xfId="1484" xr:uid="{40772FB2-146C-4836-ACBC-7659DADB0D37}"/>
    <cellStyle name="style1690602910694" xfId="1485" xr:uid="{6A6DD6E0-C42E-43D3-9FA0-6160069FF184}"/>
    <cellStyle name="style1690602910783" xfId="1486" xr:uid="{2D319953-5D00-4C84-98E9-B0D3333A66D8}"/>
    <cellStyle name="style1690602910872" xfId="1487" xr:uid="{29F7E17B-024A-4A44-816D-951C8E36E671}"/>
    <cellStyle name="style1690602910941" xfId="1488" xr:uid="{962DAF09-D06C-4CA8-AE94-CD460258E412}"/>
    <cellStyle name="style1690605547916" xfId="1489" xr:uid="{0FF85DA2-0228-422F-A9F6-F497EE8D4864}"/>
    <cellStyle name="style1690605547986" xfId="1490" xr:uid="{479A3872-CBB9-4680-858B-E307DAEE5DE1}"/>
    <cellStyle name="style1690605548069" xfId="1491" xr:uid="{4683D87A-4599-4C9F-8C81-ACBB63F195B2}"/>
    <cellStyle name="style1690605548165" xfId="1492" xr:uid="{3ED59859-6F7E-44D3-9A0E-C5212641785C}"/>
    <cellStyle name="style1690605548249" xfId="1493" xr:uid="{1FFBA871-8E99-4586-80A1-74E6C48676E7}"/>
    <cellStyle name="style1690605548336" xfId="1494" xr:uid="{ED98D872-493D-4D62-A2CB-D96EF061C631}"/>
    <cellStyle name="style1690605548469" xfId="1495" xr:uid="{960CA7FD-B688-48AF-B6A9-2337D5203DA1}"/>
    <cellStyle name="style1690605548554" xfId="1496" xr:uid="{1091EEF3-085D-4BDA-9F32-5F708E19C860}"/>
    <cellStyle name="style1690605548638" xfId="1497" xr:uid="{0A87CFDB-7F37-4476-B311-6C25F460C50B}"/>
    <cellStyle name="style1690606099476" xfId="1498" xr:uid="{7C7E52D1-B9BF-491D-B535-8224273EBEAD}"/>
    <cellStyle name="style1690606099553" xfId="1499" xr:uid="{C3D83AB3-1192-4065-91AE-344FA1FBA03A}"/>
    <cellStyle name="style1690606099660" xfId="1500" xr:uid="{AF563CE3-355A-44B8-83B3-67A69900C306}"/>
    <cellStyle name="style1690606099819" xfId="1501" xr:uid="{1BA0A0DA-8AB8-4974-A8AE-7862419EA21F}"/>
    <cellStyle name="style1690606099976" xfId="1502" xr:uid="{6EF0697A-230B-432B-944B-8D47BC4416AC}"/>
    <cellStyle name="style1690606100062" xfId="1503" xr:uid="{2A7BA5B5-110D-446A-BCB0-AF7298485807}"/>
    <cellStyle name="style1690606100157" xfId="1504" xr:uid="{8DCFFCFC-A00F-4A79-95E5-BDC362AE996F}"/>
    <cellStyle name="style1690606100237" xfId="1505" xr:uid="{BC0A0F2D-AE44-4798-AC61-22119F3514E0}"/>
    <cellStyle name="style1690606100321" xfId="1506" xr:uid="{303F5FC1-5491-4CD9-BA2C-0493C369A6D7}"/>
    <cellStyle name="style1690606956745" xfId="1507" xr:uid="{52F27338-D775-464E-A38E-D08E6DEEC86D}"/>
    <cellStyle name="style1690606956849" xfId="1508" xr:uid="{59BB6FEC-7F41-4B0D-8424-A8E2AB09A4E1}"/>
    <cellStyle name="style1690606956921" xfId="1509" xr:uid="{697506AA-56A4-4D32-805F-7F12C33790C5}"/>
    <cellStyle name="style1690606956997" xfId="1510" xr:uid="{D0B07FCA-5A37-44C7-AB40-C4F48F380580}"/>
    <cellStyle name="style1690606957063" xfId="1511" xr:uid="{6A7DAB0D-3373-4387-9156-7C1A3321AFAE}"/>
    <cellStyle name="style1690606957133" xfId="1512" xr:uid="{26C0A6F6-E1F0-44F9-9090-E24359B28FC0}"/>
    <cellStyle name="style1690606957228" xfId="1513" xr:uid="{EC6F5FC4-83AC-49B9-A669-A6B1CAB74C30}"/>
    <cellStyle name="style1690606957302" xfId="1514" xr:uid="{79CBDA6D-8693-426D-97E0-6C8D60010623}"/>
    <cellStyle name="style1690606957383" xfId="1515" xr:uid="{0948592A-D04E-400B-9492-C56C35B20951}"/>
    <cellStyle name="style1690624489783" xfId="1516" xr:uid="{5E356E67-BBA6-4E19-9955-FCEE2D3B918A}"/>
    <cellStyle name="style1690624489877" xfId="1517" xr:uid="{9F9CE68E-DDA3-46EF-93E1-8DC7CD248E74}"/>
    <cellStyle name="style1690624489978" xfId="1518" xr:uid="{234C0386-DD45-44E2-AB46-9D2C1E7A3451}"/>
    <cellStyle name="style1690624490069" xfId="1519" xr:uid="{19B8666B-9ACB-4892-BF66-D407A16320DA}"/>
    <cellStyle name="style1690624490162" xfId="1520" xr:uid="{39FA0328-CDEC-4911-B205-13C05735F5E4}"/>
    <cellStyle name="style1690624490258" xfId="1521" xr:uid="{02A0D16F-D512-49F6-B7B2-F14D5ACCC9B5}"/>
    <cellStyle name="style1690624490380" xfId="1522" xr:uid="{F5759A5F-F6BE-4712-8E69-AAB6C33F4ADC}"/>
    <cellStyle name="style1690624490480" xfId="1523" xr:uid="{2FE25B99-62D8-46C4-8FD3-D9A194A0D134}"/>
    <cellStyle name="style1690624490567" xfId="1524" xr:uid="{1D9E1994-5B61-4819-87A4-8AC614344A39}"/>
    <cellStyle name="style1690624490664" xfId="1525" xr:uid="{8851431D-4218-49FF-A46D-3383074801EA}"/>
    <cellStyle name="style1690624505867" xfId="1526" xr:uid="{5F503CCE-D548-4842-955D-1564E25077EB}"/>
    <cellStyle name="style1690624506014" xfId="1527" xr:uid="{9AF9FBE4-F856-4DB9-B062-28BCF046CC8B}"/>
    <cellStyle name="style1690624506149" xfId="1528" xr:uid="{E6E11003-27E5-4C6E-ADAE-8BAE5731E9E6}"/>
    <cellStyle name="style1690624506252" xfId="1529" xr:uid="{6D791408-32A8-460A-BDE0-2C8D6AFCCC0B}"/>
    <cellStyle name="style1690624506362" xfId="1530" xr:uid="{03A319B4-6EAD-4595-A225-14AB416341F9}"/>
    <cellStyle name="style1690624506449" xfId="1531" xr:uid="{A3A7B694-87ED-4F98-A248-337850FD5EB7}"/>
    <cellStyle name="style1690624506589" xfId="1532" xr:uid="{7D25B3F6-C09E-43AE-A9A2-0BB7706E55F3}"/>
    <cellStyle name="style1690624506761" xfId="1533" xr:uid="{F78EDB6F-8068-4E83-9582-99B086F927BC}"/>
    <cellStyle name="style1690624506877" xfId="1534" xr:uid="{70091D58-E0EA-42B5-8E8C-9E585C4F7774}"/>
    <cellStyle name="style1690624506993" xfId="1535" xr:uid="{2F66D541-E783-48E0-AE56-3181D324C57C}"/>
    <cellStyle name="style1690624507145" xfId="1536" xr:uid="{593409A9-134F-43C0-A66A-1A28E09C28D5}"/>
    <cellStyle name="style1690624507221" xfId="1537" xr:uid="{B104158F-6637-4F1E-AEFA-EED09B61FC5D}"/>
    <cellStyle name="style1690775285356" xfId="1538" xr:uid="{02FD77D8-5C85-4F55-BEFD-31F72BAF1CDE}"/>
    <cellStyle name="style1690775285464" xfId="1539" xr:uid="{B364BC0D-608B-4CBE-8F65-B4673F06EB2E}"/>
    <cellStyle name="style1690775285551" xfId="1540" xr:uid="{6023CCCC-72A2-40C2-9F53-16DF4FC6F0B9}"/>
    <cellStyle name="style1690775285629" xfId="1541" xr:uid="{80D22E3E-55A0-49A3-8F72-C0A080F6E4EC}"/>
    <cellStyle name="style1690775285708" xfId="1542" xr:uid="{D81463EF-321C-4D02-A252-F6485EAA3516}"/>
    <cellStyle name="style1690775285788" xfId="1543" xr:uid="{181EBADE-E074-4FF9-A502-2850378DF7BA}"/>
    <cellStyle name="style1690775285879" xfId="1544" xr:uid="{015416E0-133C-4D5F-9627-94FDDE0D1F47}"/>
    <cellStyle name="style1690775285996" xfId="1545" xr:uid="{D7F7AE7E-E0B8-4A85-BA82-7606CA61F0D2}"/>
    <cellStyle name="style1690775286136" xfId="1546" xr:uid="{BB7F60BF-C2EB-432C-9417-DA6083163149}"/>
    <cellStyle name="style1690775927822" xfId="1547" xr:uid="{858F62EC-D9D9-42E9-810C-884E3D19882A}"/>
    <cellStyle name="style1690775927894" xfId="1548" xr:uid="{8050FBD1-69F0-48A9-970E-AB4FFFF245A1}"/>
    <cellStyle name="style1690775927961" xfId="1549" xr:uid="{FE23599F-54B1-4083-8436-F906473DA847}"/>
    <cellStyle name="style1690775928040" xfId="1550" xr:uid="{3CEF2EEE-B65E-4F9E-9510-FE9D3DC89969}"/>
    <cellStyle name="style1690775928104" xfId="1551" xr:uid="{FEF42B3F-FDBF-4C01-B705-27DF82E6285C}"/>
    <cellStyle name="style1690775928173" xfId="1552" xr:uid="{B44FFC9F-6981-42D3-BD5E-4C29051A2629}"/>
    <cellStyle name="style1690775928253" xfId="1553" xr:uid="{3AF052ED-D05A-47E9-B23B-36778102D317}"/>
    <cellStyle name="style1690775928323" xfId="1554" xr:uid="{41D9EAF7-15C8-49FC-A4DB-BA97F8C2512B}"/>
    <cellStyle name="style1690775928391" xfId="1555" xr:uid="{39E81CD8-B3D9-46A1-890C-0BB46D434C54}"/>
    <cellStyle name="style1690775945689" xfId="1556" xr:uid="{669F9623-4FFF-4A40-AAE0-6A7A9E708A30}"/>
    <cellStyle name="style1690775945793" xfId="1557" xr:uid="{E4E4E88D-B1E1-45EE-962D-420743D8DAAF}"/>
    <cellStyle name="style1690775945898" xfId="1558" xr:uid="{F928B2C9-9CEC-486A-B9FD-F448B4A5B1D4}"/>
    <cellStyle name="style1690775946024" xfId="1559" xr:uid="{AED338E9-51D8-4765-9476-F84666009DC8}"/>
    <cellStyle name="style1690775946138" xfId="1560" xr:uid="{934B4D30-2CEA-44E6-959D-F4A8A1EB5867}"/>
    <cellStyle name="style1690775946239" xfId="1561" xr:uid="{3E4CB10A-3175-4CAD-BD04-11CE88E635CB}"/>
    <cellStyle name="style1690775946353" xfId="1562" xr:uid="{B3A4995A-DBD4-4BDA-A974-9F092E9B1BA7}"/>
    <cellStyle name="style1690775946484" xfId="1563" xr:uid="{DF498F3C-B956-4B44-9547-13BEB3C0623C}"/>
    <cellStyle name="style1690775946598" xfId="1564" xr:uid="{A4287C56-DBE0-447A-B241-E4E0BF6C0647}"/>
    <cellStyle name="style1690775962610" xfId="1565" xr:uid="{F32A5052-06A2-4B4A-BF28-4F593CA7BB86}"/>
    <cellStyle name="style1690775962675" xfId="1566" xr:uid="{B327B3D6-2928-41D4-B674-F3BD1EF10991}"/>
    <cellStyle name="style1690775962742" xfId="1567" xr:uid="{7FE38106-C64C-46FA-A424-3974329A00C7}"/>
    <cellStyle name="style1690775962821" xfId="1568" xr:uid="{EDC3974D-2267-4462-A4E9-4E115566072A}"/>
    <cellStyle name="style1690775962889" xfId="1569" xr:uid="{45724A6D-F435-4E58-B5F2-F97826014DC1}"/>
    <cellStyle name="style1690775962961" xfId="1570" xr:uid="{6F496622-D962-4BD1-8B17-19F1C20B7367}"/>
    <cellStyle name="style1690775963041" xfId="1571" xr:uid="{FCCB9586-91FD-4B81-B865-1D8FF6A80DE2}"/>
    <cellStyle name="style1690775963114" xfId="1572" xr:uid="{CB1C4AE9-DCF0-4B6A-9508-C1BAAB799394}"/>
    <cellStyle name="style1690775963191" xfId="1573" xr:uid="{0079E5BE-3D2F-48E6-9E40-3CF87142F313}"/>
    <cellStyle name="style1690992046618" xfId="1574" xr:uid="{209B4792-A3EC-42DD-A183-CA328D5207F0}"/>
    <cellStyle name="style1690992046701" xfId="1575" xr:uid="{54B765B6-89E6-45F6-9D73-0CE937C7B962}"/>
    <cellStyle name="style1690992046806" xfId="1576" xr:uid="{E19AD9B1-82F2-4D4F-BA60-71CA9BD7F8AD}"/>
    <cellStyle name="style1690992046889" xfId="1577" xr:uid="{EEAB456A-878D-4578-A1F1-FEBA47BEC9A5}"/>
    <cellStyle name="style1690992046987" xfId="1578" xr:uid="{E26A9015-FE31-4420-8E35-99A8301CF89D}"/>
    <cellStyle name="style1690992047088" xfId="1579" xr:uid="{0B7D05B6-AB06-42A4-9593-468F34287D7C}"/>
    <cellStyle name="style1690992047201" xfId="1580" xr:uid="{C5BBAAFE-9596-411E-92CF-D55742A70425}"/>
    <cellStyle name="style1690992047295" xfId="1581" xr:uid="{264E42A5-1223-4564-934E-EB88DE4AC5A4}"/>
    <cellStyle name="style1690992047383" xfId="1582" xr:uid="{D8CDE1D5-DEA3-4F9F-84FC-E11351A365E9}"/>
    <cellStyle name="style1690992223913" xfId="1583" xr:uid="{7D523D3F-F46D-4B49-8E7F-AE8CF4895141}"/>
    <cellStyle name="style1690992223980" xfId="1584" xr:uid="{6E0AABFD-DB94-460A-8F3C-3ECD00A8DEFB}"/>
    <cellStyle name="style1690992224047" xfId="1585" xr:uid="{C8CCECA7-9178-44C9-AA22-D4ECABFF026A}"/>
    <cellStyle name="style1690992224118" xfId="1586" xr:uid="{7248D78B-27F2-4909-890B-B9FF9189B412}"/>
    <cellStyle name="style1690992224186" xfId="1587" xr:uid="{9CD384C2-2B48-4669-9CE0-9F6DB2F3931D}"/>
    <cellStyle name="style1690992224258" xfId="1588" xr:uid="{FCFD8E87-CA85-4331-BFD2-D2935386BCEF}"/>
    <cellStyle name="style1690992224341" xfId="1589" xr:uid="{8A9DF6B6-A62F-4992-AF63-E4EB625D7211}"/>
    <cellStyle name="style1690992224414" xfId="1590" xr:uid="{030A0C04-3E35-4645-9765-374D10C22BAE}"/>
    <cellStyle name="style1690992224492" xfId="1591" xr:uid="{B29935CC-A20A-493F-8079-F1D5310B9291}"/>
    <cellStyle name="style1690993031444" xfId="1592" xr:uid="{8B32094D-7F93-47DD-88A7-CC30FA7F5861}"/>
    <cellStyle name="style1690993031526" xfId="1593" xr:uid="{7706961B-3E7C-46DC-B50B-C728DC7A37B6}"/>
    <cellStyle name="style1690993031667" xfId="1594" xr:uid="{53A21D66-32FB-49DF-B3D1-E57F95200D24}"/>
    <cellStyle name="style1690993031731" xfId="1595" xr:uid="{CB210C71-D42B-4009-A73A-AE65D8B1C407}"/>
    <cellStyle name="style1690993031877" xfId="1596" xr:uid="{68F1E534-CAB5-4D50-AC0F-A588885118F8}"/>
    <cellStyle name="style1690993032019" xfId="1597" xr:uid="{F20F4C6D-1A3C-4496-BC05-AEAE42C09CAA}"/>
    <cellStyle name="style1690993367144" xfId="1598" xr:uid="{BE19453F-3198-46F5-A1EF-2F163A52C2EE}"/>
    <cellStyle name="style1690993367214" xfId="1599" xr:uid="{6598C4D7-19FD-4F8B-BD65-A709A51BD3C9}"/>
    <cellStyle name="style1690993367284" xfId="1600" xr:uid="{30C582A5-8300-40DC-ACEF-D4ECE9308DFA}"/>
    <cellStyle name="style1690993367369" xfId="1601" xr:uid="{A6394E46-93BE-46CA-A089-625E9D337842}"/>
    <cellStyle name="style1690993367436" xfId="1602" xr:uid="{DB3A9E2B-EB44-43DB-930C-0921804635F4}"/>
    <cellStyle name="style1690993367502" xfId="1603" xr:uid="{C3E15335-E500-4E2B-AFF7-465D2188B7F5}"/>
    <cellStyle name="style1690993367587" xfId="1604" xr:uid="{A7788645-5F90-4C50-A79E-1FBB4F1BC3C2}"/>
    <cellStyle name="style1690993367658" xfId="1605" xr:uid="{95EAF7D9-D4CE-44B1-A83C-AAC90E2ECC98}"/>
    <cellStyle name="style1690993367737" xfId="1606" xr:uid="{6C293005-A4B3-4388-9C69-9CA88AF00689}"/>
    <cellStyle name="style1691208166207" xfId="1607" xr:uid="{7B8DF750-D1C2-43E2-856E-A93A70F20DE9}"/>
    <cellStyle name="style1691208166270" xfId="1608" xr:uid="{AA412598-8B1B-49CD-9362-4547C8EE8F07}"/>
    <cellStyle name="style1691208166332" xfId="1609" xr:uid="{B2EF2091-3BDC-4A52-BD04-6756C01C6FF0}"/>
    <cellStyle name="style1691208166410" xfId="1610" xr:uid="{94131EB9-1C23-4B67-B256-BE8D60AC0433}"/>
    <cellStyle name="style1691208166488" xfId="1611" xr:uid="{E9FABFDE-CDEC-40B8-A2C3-FC5D3F8CDB6A}"/>
    <cellStyle name="style1691208166567" xfId="1612" xr:uid="{267E6882-1456-4BB8-97C7-D3DE2C24B218}"/>
    <cellStyle name="style1691208166645" xfId="1613" xr:uid="{915F0C04-9552-4F0C-8A9C-6314EB2BB305}"/>
    <cellStyle name="style1691208166692" xfId="1614" xr:uid="{E5E43759-2FC8-4DBC-94E2-A7808D5A49F8}"/>
    <cellStyle name="style1691208166770" xfId="1615" xr:uid="{24EBB6A2-2D5F-42B3-A4AC-60BC83F5CE14}"/>
    <cellStyle name="style1691208166845" xfId="1616" xr:uid="{DB22917D-C6D2-4067-8591-EDC2D32F7EEA}"/>
    <cellStyle name="style1691208166908" xfId="1617" xr:uid="{20669978-64CC-4885-B3AC-92FDA7C876C7}"/>
    <cellStyle name="style1691208166954" xfId="1618" xr:uid="{57F372CC-7183-4227-B6F8-AAE1E8243138}"/>
    <cellStyle name="style1691213492894" xfId="1619" xr:uid="{8515FDCF-FB8B-4349-8FEE-33B03D407999}"/>
    <cellStyle name="style1691213492981" xfId="1620" xr:uid="{8F78EC79-AB32-4C4E-BBDA-F5FC41B26826}"/>
    <cellStyle name="style1691213493076" xfId="1621" xr:uid="{CC3206FB-3793-4FC1-B206-0B770B36E8DD}"/>
    <cellStyle name="style1691213493170" xfId="1622" xr:uid="{AF859639-3CD4-40D4-8E55-CE9C8C16DE5E}"/>
    <cellStyle name="style1691213493275" xfId="1623" xr:uid="{7F2CF50C-1A96-4AB8-B74F-98178C4DF9AE}"/>
    <cellStyle name="style1691213493368" xfId="1624" xr:uid="{C07F1DEB-F113-44B8-9E3F-DEBAD6E52920}"/>
    <cellStyle name="style1691213493485" xfId="1625" xr:uid="{3438A5B1-ECF4-40D4-932C-D352E95AA4A4}"/>
    <cellStyle name="style1691213493576" xfId="1626" xr:uid="{C2AF1852-F1A7-4661-A6D4-84379EC81F00}"/>
    <cellStyle name="style1691213493682" xfId="1627" xr:uid="{EED06FA4-8059-4B29-A047-A647D406927B}"/>
    <cellStyle name="style1691213493768" xfId="1628" xr:uid="{F5E50EB4-5B08-427A-BAE2-ED3934EF1EB1}"/>
    <cellStyle name="style1691213518026" xfId="1629" xr:uid="{1B84F317-22D5-4F23-8DC2-04F089E9E8E8}"/>
    <cellStyle name="style1691213518123" xfId="1630" xr:uid="{E2FE79C7-97C5-4384-9488-9CF0FC140268}"/>
    <cellStyle name="style1691213518233" xfId="1631" xr:uid="{3A49DBD9-8F5B-4671-93F6-7B47CEDD00BB}"/>
    <cellStyle name="style1691213518304" xfId="1632" xr:uid="{2F0AF2D5-CA97-4C2D-8FDF-34D45109091D}"/>
    <cellStyle name="style1691213518374" xfId="1633" xr:uid="{2EDFDD53-491F-4099-A3AB-73D00BB10F23}"/>
    <cellStyle name="style1691213518443" xfId="1634" xr:uid="{E15D9396-6E8A-4116-B87F-FCB3A801EA23}"/>
    <cellStyle name="style1691213518522" xfId="1635" xr:uid="{4E29D822-32AA-4631-8547-BE82DE015BDE}"/>
    <cellStyle name="style1691213518644" xfId="1636" xr:uid="{38B43EED-A3CC-4831-8FC7-C5BDCF975F75}"/>
    <cellStyle name="style1691213518707" xfId="1637" xr:uid="{11FD4AAA-FFAA-49D2-829E-CF97A38F90C2}"/>
    <cellStyle name="style1691213518777" xfId="1638" xr:uid="{AB4D9223-D9EF-4D38-A288-C71FBB43230E}"/>
    <cellStyle name="style1691213518867" xfId="1639" xr:uid="{A704AC43-7D42-4992-935D-A3FC6BD47413}"/>
    <cellStyle name="style1691213518918" xfId="1640" xr:uid="{4DB2102D-05A5-4B17-B064-B83BF0819BD1}"/>
    <cellStyle name="style1691214559516" xfId="1641" xr:uid="{E2806B97-36ED-4802-AEF9-128FD99388A5}"/>
    <cellStyle name="style1691214559590" xfId="1642" xr:uid="{F208EB13-A19C-42B9-974B-5AF42B18D2A5}"/>
    <cellStyle name="style1691214559681" xfId="1643" xr:uid="{904F672D-4E2A-4854-8BE3-58B50A4169C1}"/>
    <cellStyle name="style1691214559763" xfId="1644" xr:uid="{D4D1066A-B7D9-4F9F-894C-985CD162A67A}"/>
    <cellStyle name="style1691214559875" xfId="1645" xr:uid="{A97998A6-3540-4B92-9035-196F83300956}"/>
    <cellStyle name="style1691214560001" xfId="1646" xr:uid="{D9658483-9030-405F-9E53-F4F0BE011972}"/>
    <cellStyle name="style1691214560164" xfId="1647" xr:uid="{051C16FE-E672-4EFD-844B-A65611D450F7}"/>
    <cellStyle name="style1691214560285" xfId="1648" xr:uid="{26CEBD94-8DC1-4D8E-9B9B-A7370E7CA6B4}"/>
    <cellStyle name="style1691214560436" xfId="1649" xr:uid="{67394ABA-B5C2-4884-A7D7-E4CD7E97595B}"/>
    <cellStyle name="style1691214560566" xfId="1650" xr:uid="{ED227259-0334-4879-9201-39112FF620DD}"/>
    <cellStyle name="style1691214560699" xfId="1651" xr:uid="{DAD7A88F-A256-4D15-B8BE-D12DDEFCF610}"/>
    <cellStyle name="style1691214560809" xfId="1652" xr:uid="{C38C8CF3-02B5-4AE3-9B19-0C25E1938BFC}"/>
    <cellStyle name="style1691214589274" xfId="1653" xr:uid="{DEDA999C-07CA-43B1-BCAD-6698E2D6486F}"/>
    <cellStyle name="style1691214589369" xfId="1654" xr:uid="{25A70488-62D3-40C7-95D5-C3E266464F1E}"/>
    <cellStyle name="style1691214589434" xfId="1655" xr:uid="{EF3BDDD4-DD78-4E58-A397-51C59B53FB1A}"/>
    <cellStyle name="style1691214589487" xfId="1656" xr:uid="{00D410E6-9E9B-4FC5-8059-D6470F72E592}"/>
    <cellStyle name="style1691214589552" xfId="1657" xr:uid="{E8C16E9D-465E-47C9-8713-54A3B0F72176}"/>
    <cellStyle name="style1691214589620" xfId="1658" xr:uid="{503672FF-7867-4E30-907F-87D913B1FD3C}"/>
    <cellStyle name="style1691214589688" xfId="1659" xr:uid="{2B2151A8-EAEC-47E7-B1B6-9DAA91D7CBC9}"/>
    <cellStyle name="style1691214589743" xfId="1660" xr:uid="{B80B0AC3-4299-4255-8B37-E55A497F5E43}"/>
    <cellStyle name="style1691214589840" xfId="1661" xr:uid="{F3D04EAD-4776-466D-B9D8-E91252E8269D}"/>
    <cellStyle name="style1691214589906" xfId="1662" xr:uid="{9AA3DAC7-F9D6-4D9C-B0B6-A32FEEE93410}"/>
    <cellStyle name="style1691214589972" xfId="1663" xr:uid="{CE5A43CA-4979-4885-B8B7-F9E9AEBCF3E2}"/>
    <cellStyle name="style1691214590021" xfId="1664" xr:uid="{01E5CA67-8F04-4E8E-9FAC-A71A60BCFE2B}"/>
    <cellStyle name="style1691214607202" xfId="1665" xr:uid="{39B3E778-67ED-4FDD-A689-BB999630B24D}"/>
    <cellStyle name="style1691214607292" xfId="1666" xr:uid="{7AAEC742-6B74-49B7-849D-CDA3A3A97DD1}"/>
    <cellStyle name="style1691214607372" xfId="1667" xr:uid="{5B3A944A-F7DE-428A-960A-C4D653BF02CC}"/>
    <cellStyle name="style1691214607446" xfId="1668" xr:uid="{3DB4E99D-22C2-46CF-8951-6F19D86A43AB}"/>
    <cellStyle name="style1691214607525" xfId="1669" xr:uid="{5AEB4031-46E3-449D-8F47-C8E1BF31FB66}"/>
    <cellStyle name="style1691214607606" xfId="1670" xr:uid="{6F9D3976-42FA-4BA6-A6BF-82350CCD3DEC}"/>
    <cellStyle name="style1691214607696" xfId="1671" xr:uid="{0F866812-DD03-415D-A1E4-B03F3198C520}"/>
    <cellStyle name="style1691214607789" xfId="1672" xr:uid="{B21D0FEE-9B47-4EF5-ACC6-96BFCE63361C}"/>
    <cellStyle name="style1691214607935" xfId="1673" xr:uid="{0CFFC8C7-8A57-4EF2-B75F-C09E6058BC50}"/>
    <cellStyle name="style1691214608041" xfId="1674" xr:uid="{11AE42C0-04CB-48E4-B5A8-C5C97F54E2F5}"/>
    <cellStyle name="style1691214608158" xfId="1675" xr:uid="{057484B5-847A-4C90-BABC-32F74940215D}"/>
    <cellStyle name="style1691214608245" xfId="1676" xr:uid="{7AB26522-4E67-4142-B7AD-D1613150D809}"/>
    <cellStyle name="style1691230307902" xfId="1677" xr:uid="{15F30583-E05F-445B-B212-63982362373C}"/>
    <cellStyle name="style1691230307980" xfId="1678" xr:uid="{BC605D6A-DC06-4CAC-8E61-7470D9F3ABB5}"/>
    <cellStyle name="style1691230308058" xfId="1679" xr:uid="{9335055A-A687-42ED-9F4A-3992BBCA0E23}"/>
    <cellStyle name="style1691230308121" xfId="1680" xr:uid="{22903DC4-2BEE-43E6-9E1B-28BC712825C8}"/>
    <cellStyle name="style1691230308199" xfId="1681" xr:uid="{38603197-73DF-462E-BBFD-822DDB143E43}"/>
    <cellStyle name="style1691230308277" xfId="1682" xr:uid="{BBE17A16-A56F-40D8-AFAC-D13E994B06B2}"/>
    <cellStyle name="style1691230308356" xfId="1683" xr:uid="{B9450234-E0DD-4789-A7AC-8D635CCEC5A5}"/>
    <cellStyle name="style1691230308434" xfId="1684" xr:uid="{11E81706-ACD6-4666-AE6F-BEB79F85861B}"/>
    <cellStyle name="style1691230308512" xfId="1685" xr:uid="{E57E6E31-DD24-46FD-8305-54B5EF41D5F0}"/>
    <cellStyle name="style1691230308637" xfId="1686" xr:uid="{9090DD99-0684-4CE0-8F3A-76185FEA4452}"/>
    <cellStyle name="style1691230328467" xfId="1687" xr:uid="{197D9033-456B-4DCF-A279-9CB863A15C84}"/>
    <cellStyle name="style1691230328561" xfId="1688" xr:uid="{BCBE0222-55B3-435F-8991-5B961C84D96D}"/>
    <cellStyle name="style1691230328633" xfId="1689" xr:uid="{8F479D9D-3D02-4387-8A0F-8AB644281AF5}"/>
    <cellStyle name="style1691230328696" xfId="1690" xr:uid="{7DA9D3F0-0EB0-426F-B551-C310AD176667}"/>
    <cellStyle name="style1691230328758" xfId="1691" xr:uid="{F541A71C-B93A-47D0-89C8-B748C8DDCD9C}"/>
    <cellStyle name="style1691230328821" xfId="1692" xr:uid="{5690A644-4630-4C15-9D38-596C6C12C551}"/>
    <cellStyle name="style1691230328899" xfId="1693" xr:uid="{6397C9E0-5521-47DA-9946-C3BF3C7A7F85}"/>
    <cellStyle name="style1691230328977" xfId="1694" xr:uid="{DE4D3FE7-E513-45C6-8BFC-3E9E056DDCFF}"/>
    <cellStyle name="style1691230329039" xfId="1695" xr:uid="{94B162A4-A8A5-457D-BEC3-4AA42499A256}"/>
    <cellStyle name="style1691230348740" xfId="1696" xr:uid="{ED09F82E-4B9C-489C-99AA-C81FDA3E7387}"/>
    <cellStyle name="style1691230348834" xfId="1697" xr:uid="{7BC1EC1A-CD2D-40D3-98E0-13A209415532}"/>
    <cellStyle name="style1691230348896" xfId="1698" xr:uid="{2B992F48-4196-4247-A93B-906264E7B7DA}"/>
    <cellStyle name="style1691230348966" xfId="1699" xr:uid="{AF597990-6700-4143-844C-B7161F43E346}"/>
    <cellStyle name="style1691230349025" xfId="1700" xr:uid="{30081F5B-510E-4B83-B46B-28B9D7F42851}"/>
    <cellStyle name="style1691230349103" xfId="1701" xr:uid="{A27AEE19-F922-48E3-8CBC-39CC8B20A139}"/>
    <cellStyle name="style1691230349181" xfId="1702" xr:uid="{35057511-BD3D-4953-A16C-C2C6B5038B07}"/>
    <cellStyle name="style1691230349259" xfId="1703" xr:uid="{E56140E6-4188-448E-B350-95834CA05A14}"/>
    <cellStyle name="style1691230349353" xfId="1704" xr:uid="{EA4E1458-9D2C-49BE-BBF6-36FC2CA45510}"/>
    <cellStyle name="style1691230369268" xfId="1705" xr:uid="{595755E5-4110-475A-A330-50791118B217}"/>
    <cellStyle name="style1691230369363" xfId="1706" xr:uid="{1A68D1CC-6E53-4F4E-9EE8-E31B368C0B2A}"/>
    <cellStyle name="style1691230369473" xfId="1707" xr:uid="{2B0393AC-BDAC-4E68-B9B7-CD39A13DE1E2}"/>
    <cellStyle name="style1691230369551" xfId="1708" xr:uid="{5D4108A8-6A2B-4011-9A53-C38232A6135F}"/>
    <cellStyle name="style1691230369645" xfId="1709" xr:uid="{DDABB3A7-2D43-42D2-83AF-2B7C867EBC85}"/>
    <cellStyle name="style1691230369707" xfId="1710" xr:uid="{930E9CD4-9BD8-4C42-8A9F-715546F15BE9}"/>
    <cellStyle name="style1691230369785" xfId="1711" xr:uid="{E7E2C03A-1D00-4924-9A6C-F10F1660F996}"/>
    <cellStyle name="style1691230369863" xfId="1712" xr:uid="{E2EEBCF9-1604-4ADC-8BCC-53ACCBA30206}"/>
    <cellStyle name="style1691230369926" xfId="1713" xr:uid="{18483385-7603-45E2-876E-18AEFD1FFE20}"/>
    <cellStyle name="style1691230387891" xfId="1714" xr:uid="{4CC04ECB-746B-4063-904B-06DF0D792753}"/>
    <cellStyle name="style1691230388047" xfId="1715" xr:uid="{9668D435-691B-4C58-A359-99018328D5DD}"/>
    <cellStyle name="style1691230388157" xfId="1716" xr:uid="{2F0B2F15-80C9-4262-A907-9076C91584AB}"/>
    <cellStyle name="style1691230388235" xfId="1717" xr:uid="{BED7BD9A-2FEA-457E-8345-4A7AA906D974}"/>
    <cellStyle name="style1691230388313" xfId="1718" xr:uid="{769E7B6C-60E6-43BD-AB69-FD4D2198C62A}"/>
    <cellStyle name="style1691230388407" xfId="1719" xr:uid="{0C718D5A-B8A7-44BC-882A-D8D2FCE75998}"/>
    <cellStyle name="style1691230388579" xfId="1720" xr:uid="{44942BAB-CBD1-4C19-A383-A650571D9293}"/>
    <cellStyle name="style1691230388674" xfId="1721" xr:uid="{D4603F9A-6459-4779-AEAC-9CFF99AA8330}"/>
    <cellStyle name="style1691230388783" xfId="1722" xr:uid="{55CFBEB3-24B4-45CA-AA57-667946037BCC}"/>
    <cellStyle name="style1691230388877" xfId="1723" xr:uid="{C15FA1ED-8152-421D-AAC0-C9651CFA6DC3}"/>
    <cellStyle name="style1691230781981" xfId="1724" xr:uid="{B360B279-8B58-4AC5-99A1-EBE20561C840}"/>
    <cellStyle name="style1691230782106" xfId="1725" xr:uid="{376645A2-3724-4196-BDA7-A4F8B84A6DCA}"/>
    <cellStyle name="style1691230782215" xfId="1726" xr:uid="{434FF6DD-CD1B-4033-85A5-DFC7C82A2392}"/>
    <cellStyle name="style1691230782278" xfId="1727" xr:uid="{DFCDB4A2-335F-4CE3-8BC9-6BA8E5125FEE}"/>
    <cellStyle name="style1691230782340" xfId="1728" xr:uid="{ADE3A977-1995-46F0-BEE9-47143D572C22}"/>
    <cellStyle name="style1691230782403" xfId="1729" xr:uid="{55BD33D8-A95A-4455-AD75-D8955FAE62B8}"/>
    <cellStyle name="style1691230782465" xfId="1730" xr:uid="{BCE819D6-D82C-488B-A9AF-285499380374}"/>
    <cellStyle name="style1691230782512" xfId="1731" xr:uid="{C576E76A-5815-473D-86A8-38656DFB8C1D}"/>
    <cellStyle name="style1691230782590" xfId="1732" xr:uid="{06849682-1692-461A-A2B2-7E96009B59F1}"/>
    <cellStyle name="style1691230782668" xfId="1733" xr:uid="{C7B74BE6-BA48-4E4C-8C44-7B2841A4B4CD}"/>
    <cellStyle name="style1691230782731" xfId="1734" xr:uid="{6FAE43F6-771D-471D-8E75-4FC468361E8C}"/>
    <cellStyle name="style1691230782779" xfId="1735" xr:uid="{3952F2EE-385A-43D1-9BF6-0C39BBEE9176}"/>
    <cellStyle name="style1691232650862" xfId="1736" xr:uid="{339F995B-A8AD-45B9-92CE-9DBB6FEC5149}"/>
    <cellStyle name="style1691232650924" xfId="1737" xr:uid="{7061F925-BB09-4F20-BC3E-1BAD13E73194}"/>
    <cellStyle name="style1691232650987" xfId="1738" xr:uid="{A5F428C8-68C9-4E3C-9D0C-FCB675E95712}"/>
    <cellStyle name="style1691232651034" xfId="1739" xr:uid="{27CA3D19-C8DD-4B12-B494-8140F855DAF6}"/>
    <cellStyle name="style1691232651096" xfId="1740" xr:uid="{06D19507-8980-4FF6-AFEB-49EABE7B3E69}"/>
    <cellStyle name="style1691232651144" xfId="1741" xr:uid="{57566AAC-E19D-4313-BF1D-35FE75D6BE14}"/>
    <cellStyle name="style1691232651207" xfId="1742" xr:uid="{880618C3-0F69-40EB-8FF9-4574D026D368}"/>
    <cellStyle name="style1691232651269" xfId="1743" xr:uid="{6611617F-CC95-49E4-9139-31F59DDF600F}"/>
    <cellStyle name="style1691232651332" xfId="1744" xr:uid="{8863736A-972F-4522-BDC7-214C23EDD3A2}"/>
    <cellStyle name="style1691232651394" xfId="1745" xr:uid="{7664B4B4-7A9B-48B9-9A56-C54CC8114481}"/>
    <cellStyle name="style1691232651457" xfId="1746" xr:uid="{A11B4D61-6040-4C3A-BDC1-3557FC93285A}"/>
    <cellStyle name="style1691232651504" xfId="1747" xr:uid="{A31A84C3-947F-4A55-9CC0-500A2FD8ADB6}"/>
    <cellStyle name="style1691233314022" xfId="1748" xr:uid="{7186893B-AC2F-45B9-9F88-8457151F094A}"/>
    <cellStyle name="style1691233314147" xfId="1749" xr:uid="{836AC069-630E-4DDF-BFF3-3D7D5E863891}"/>
    <cellStyle name="style1691233314241" xfId="1750" xr:uid="{963D130F-5DCF-4014-B857-AFD7316AFC2B}"/>
    <cellStyle name="style1691233314303" xfId="1751" xr:uid="{E492555A-EF8C-4729-A731-7F017D3B8427}"/>
    <cellStyle name="style1691233314381" xfId="1752" xr:uid="{45443779-89F7-4F92-BDDD-FE6895ABC114}"/>
    <cellStyle name="style1691233314444" xfId="1753" xr:uid="{D5F47C41-BE58-4517-87A5-A2E8298DE70C}"/>
    <cellStyle name="style1691233314521" xfId="1754" xr:uid="{A6FC7688-07F4-4488-8D13-37CA19909B94}"/>
    <cellStyle name="style1691233314586" xfId="1755" xr:uid="{583E6693-57ED-4C93-8765-4C0039821C26}"/>
    <cellStyle name="style1691233314633" xfId="1756" xr:uid="{D5E0C125-D6ED-4B27-B8CE-76CEB4757704}"/>
    <cellStyle name="style1691233314727" xfId="1757" xr:uid="{434EE176-A83E-4CBF-AF00-306C31351543}"/>
    <cellStyle name="style1691233314789" xfId="1758" xr:uid="{8DF16618-2A2A-4D29-856F-380BF3C76945}"/>
    <cellStyle name="style1691233314852" xfId="1759" xr:uid="{029F0723-AB80-47FC-B930-00C12CB7CE88}"/>
    <cellStyle name="style1691233314914" xfId="1760" xr:uid="{F4862BC1-7DAE-4CCF-824E-E0DB1449C2E1}"/>
    <cellStyle name="style1691233314961" xfId="1761" xr:uid="{837BAD87-5E98-49D1-9EE3-74759F864851}"/>
    <cellStyle name="style1691233337241" xfId="1762" xr:uid="{64162971-AFA0-4C62-97EA-EE5CC2E4AA42}"/>
    <cellStyle name="style1691233337350" xfId="1763" xr:uid="{4A23C16B-155D-4699-B768-A4399FDE82B1}"/>
    <cellStyle name="style1691233337444" xfId="1764" xr:uid="{737A9BDC-1614-4929-8DD4-537FFEE2A95E}"/>
    <cellStyle name="style1691233337506" xfId="1765" xr:uid="{95E9A5DC-CB39-4A5B-B33D-64B26B9BEEDA}"/>
    <cellStyle name="style1691233337553" xfId="1766" xr:uid="{112AA57C-C017-4279-9563-CBE92C52BFF5}"/>
    <cellStyle name="style1691233337616" xfId="1767" xr:uid="{AF187177-C5EC-4820-A2AB-A055FB9271DB}"/>
    <cellStyle name="style1691233337678" xfId="1768" xr:uid="{4E6F8960-1060-46DD-9DEB-8283242AFE58}"/>
    <cellStyle name="style1691233337741" xfId="1769" xr:uid="{B62F951E-A336-4877-A14A-E78D72F884CA}"/>
    <cellStyle name="style1691233337803" xfId="1770" xr:uid="{F38EDDF3-24F8-4B7E-B07A-4F9A44032A75}"/>
    <cellStyle name="style1691233337882" xfId="1771" xr:uid="{A37A5156-65FE-4876-9176-B661F7819B06}"/>
    <cellStyle name="style1691233337929" xfId="1772" xr:uid="{4BA9345F-10EB-4190-92CD-D31D9FBC84BE}"/>
    <cellStyle name="style1691233337991" xfId="1773" xr:uid="{BA0A5668-C445-46A4-9AA7-E08AAA8AA78D}"/>
    <cellStyle name="style1691233338054" xfId="1774" xr:uid="{74FC1793-A809-4E52-AF0B-BF235D824DD3}"/>
    <cellStyle name="style1691233338100" xfId="1775" xr:uid="{53DECFD1-115B-4E8C-A3AD-51AA59FFE278}"/>
    <cellStyle name="style1691233338147" xfId="1776" xr:uid="{C0C32B6B-6EE8-48FA-ACCF-9EDAE9DDDF52}"/>
    <cellStyle name="style1691292063083" xfId="1777" xr:uid="{1A889ADD-6FB8-49D7-909C-95B9F80F2D0C}"/>
    <cellStyle name="style1691292063171" xfId="1778" xr:uid="{F0801BA2-7BE3-434E-8AD1-944A82458858}"/>
    <cellStyle name="style1691292063269" xfId="1779" xr:uid="{32DC3C82-81D4-4CDD-AE1B-E561B97B24E0}"/>
    <cellStyle name="style1691292063352" xfId="1780" xr:uid="{1A2F440C-DF19-47B9-B4AE-49C090656CA4}"/>
    <cellStyle name="style1691292063445" xfId="1781" xr:uid="{27B861BC-F56C-446E-BB30-FB364B6E9E49}"/>
    <cellStyle name="style1691292063528" xfId="1782" xr:uid="{C9893626-9A8B-419C-9A6A-A6A98864899B}"/>
    <cellStyle name="style1691292063615" xfId="1783" xr:uid="{7435AA55-5DD0-44E4-BC76-EBA552C23B9A}"/>
    <cellStyle name="style1691292063682" xfId="1784" xr:uid="{78601A91-E4A4-4241-94A6-69BE13E957BD}"/>
    <cellStyle name="style1691292063838" xfId="1785" xr:uid="{CAC400BF-4C3B-4C44-9C60-BB67CDE8ABA0}"/>
    <cellStyle name="style1691292063938" xfId="1786" xr:uid="{FC392C1C-1DBD-4E5E-8B18-71A6530C4F20}"/>
    <cellStyle name="style1691292064049" xfId="1787" xr:uid="{47E08037-0ABE-4B5C-B21E-C6AABE9CA247}"/>
    <cellStyle name="style1691292064139" xfId="1788" xr:uid="{15837A3E-D259-40C2-A37D-BE54F1C4ABBB}"/>
    <cellStyle name="style1691292064212" xfId="1789" xr:uid="{B86EF49C-D268-4CA5-95F4-30D9BAF729D4}"/>
    <cellStyle name="style1691292064296" xfId="1790" xr:uid="{9884493B-790F-4DB7-9A63-22A08EE4935F}"/>
    <cellStyle name="style1691293853481" xfId="1791" xr:uid="{D6BB1E62-02EE-44B2-9FF9-5D3556DCFBA0}"/>
    <cellStyle name="style1691293853637" xfId="1792" xr:uid="{C858AFDE-8B08-4D8A-9406-263B35513132}"/>
    <cellStyle name="style1691293853731" xfId="1793" xr:uid="{D036F44D-AA8B-427B-B886-F22660C57D68}"/>
    <cellStyle name="style1691293853809" xfId="1794" xr:uid="{B1B2BB68-A309-4B87-A562-AA6202D56597}"/>
    <cellStyle name="style1691293853918" xfId="1795" xr:uid="{917B3C68-6C76-4AE9-B210-AC1480C77226}"/>
    <cellStyle name="style1691293854012" xfId="1796" xr:uid="{2FE3BD72-7DB1-41A7-BFE1-F30308CCA982}"/>
    <cellStyle name="style1691293854137" xfId="1797" xr:uid="{4E266C09-31D9-4778-BE21-09B8CDD2D56A}"/>
    <cellStyle name="style1691293854231" xfId="1798" xr:uid="{E7D47F3C-B94D-4122-989D-291BD7A5A253}"/>
    <cellStyle name="style1691293854368" xfId="1799" xr:uid="{08225005-7E7F-48B3-9FA8-3BC03B7316D1}"/>
    <cellStyle name="style1691293854477" xfId="1800" xr:uid="{5CB4278F-892A-4C08-A4FB-F69FAEA64868}"/>
    <cellStyle name="style1691293854602" xfId="1801" xr:uid="{F3C9B714-92C8-4C5E-A8EB-3D8964369722}"/>
    <cellStyle name="style1691293854758" xfId="1802" xr:uid="{D7650AE7-57EE-4443-814D-FC75669B9FA7}"/>
    <cellStyle name="style1691293854852" xfId="1803" xr:uid="{2D813BF4-282A-4A08-A284-DC32FFB68776}"/>
    <cellStyle name="style1691293854946" xfId="1804" xr:uid="{4520207D-CFF7-41DC-9F30-70F07F2E7172}"/>
    <cellStyle name="style1691296607451" xfId="1805" xr:uid="{70D7233F-74F1-46AA-9F10-4A0BA8E1B5ED}"/>
    <cellStyle name="style1691296607578" xfId="1806" xr:uid="{840D62D5-2435-4AAF-9BE4-5B49CFCF98D1}"/>
    <cellStyle name="style1691296607720" xfId="1807" xr:uid="{5A146677-C6FB-4871-9C13-8261FE151E90}"/>
    <cellStyle name="style1691296607827" xfId="1808" xr:uid="{127B00A7-2A6B-4B93-B3A3-FB5128E36398}"/>
    <cellStyle name="style1691296607924" xfId="1809" xr:uid="{C8B93570-C20C-4BD7-8D76-8F50AE5FDC08}"/>
    <cellStyle name="style1691296608024" xfId="1810" xr:uid="{206394B2-A951-49FB-A8FC-9BAFE9A449FB}"/>
    <cellStyle name="style1691296608162" xfId="1811" xr:uid="{2DD4CA8B-DCF7-4548-8788-F0DA5B12FA60}"/>
    <cellStyle name="style1691296608246" xfId="1812" xr:uid="{974553AF-1B40-4932-91EE-D3727B2E25FA}"/>
    <cellStyle name="style1691296608357" xfId="1813" xr:uid="{D4481C54-5161-4F88-A920-F3A834264E4A}"/>
    <cellStyle name="style1691296608449" xfId="1814" xr:uid="{9FB33726-413B-49ED-95BF-D7AEA28E1878}"/>
    <cellStyle name="style1691296608551" xfId="1815" xr:uid="{EF065A14-8CC8-4730-929D-16ED88D82BB0}"/>
    <cellStyle name="style1691296608627" xfId="1816" xr:uid="{7CEA3C1B-A762-48D5-BA4D-5E54C35E87C6}"/>
    <cellStyle name="style1691298389468" xfId="1817" xr:uid="{77774F20-1A1E-4ECB-A225-85B55E0C3FC9}"/>
    <cellStyle name="style1691298389588" xfId="1818" xr:uid="{B4B1E589-C11A-40E8-87C6-5618A998E12C}"/>
    <cellStyle name="style1691298389660" xfId="1819" xr:uid="{0AD253E1-9A37-4C2B-AF0D-ECB48ADDCB28}"/>
    <cellStyle name="style1691298389746" xfId="1820" xr:uid="{BF8736BE-A18A-4A1A-88A2-D441CEFE7F5D}"/>
    <cellStyle name="style1691298389831" xfId="1821" xr:uid="{CCD33528-70E1-44ED-AA4E-070DD781C25F}"/>
    <cellStyle name="style1691298389928" xfId="1822" xr:uid="{3EAFE4CB-4E55-4135-AEB5-5BA7F56B3506}"/>
    <cellStyle name="style1691298390090" xfId="1823" xr:uid="{6A68B944-8703-42F8-8F7C-8F2426597389}"/>
    <cellStyle name="style1691298390195" xfId="1824" xr:uid="{8624F5DE-57C1-4998-8552-0AECE67640B9}"/>
    <cellStyle name="style1691298390275" xfId="1825" xr:uid="{E80E9079-1236-47F1-AC53-8DA86F2BAB66}"/>
    <cellStyle name="style1691299909602" xfId="1826" xr:uid="{61477045-F3AC-459F-A917-157FB5C08732}"/>
    <cellStyle name="style1691299909665" xfId="1827" xr:uid="{DAFE54C8-77CD-4E52-862F-50BA4F666323}"/>
    <cellStyle name="style1691299909821" xfId="1828" xr:uid="{2604BBBA-D4AD-46C0-9874-5F03D7D47B6B}"/>
    <cellStyle name="style1691299909883" xfId="1829" xr:uid="{28D97BB5-89FA-44F8-A66B-FEB322FB33B7}"/>
    <cellStyle name="style1691299910056" xfId="1830" xr:uid="{65FD2428-DFF1-4275-81AE-4DBEBA10147E}"/>
    <cellStyle name="style1691299910134" xfId="1831" xr:uid="{CEB38628-8668-4904-BAC6-9AC9B2B99450}"/>
    <cellStyle name="style1691300103049" xfId="1832" xr:uid="{8FA2FFF0-ADCD-4BBA-9169-D9ECAEB4587C}"/>
    <cellStyle name="style1691300103120" xfId="1833" xr:uid="{A3C9ED60-1545-4CB9-BBBD-18C35033C086}"/>
    <cellStyle name="style1691300103292" xfId="1834" xr:uid="{AC5E46F4-BA1B-4CAC-95A7-1614B37C491A}"/>
    <cellStyle name="style1691300103386" xfId="1835" xr:uid="{8CF250C8-67D7-448F-BCE8-A1EA3D49A567}"/>
    <cellStyle name="style1691300103589" xfId="1836" xr:uid="{2C6A99AE-F283-455B-82AB-784779BCB345}"/>
    <cellStyle name="style1691300103651" xfId="1837" xr:uid="{E09F6D9A-3976-44B7-8E24-DE571D5095DE}"/>
    <cellStyle name="style1691303855607" xfId="1838" xr:uid="{74331DA6-0673-4503-A735-9D7ADAF7476C}"/>
    <cellStyle name="style1691303855732" xfId="1839" xr:uid="{29EFD47B-4A82-45EB-967E-6AFAE35D830F}"/>
    <cellStyle name="style1691303855826" xfId="1840" xr:uid="{0E47D129-B636-40ED-B87E-72D69FA04C8D}"/>
    <cellStyle name="style1691303855894" xfId="1841" xr:uid="{08E93DCB-4C5C-45B4-859F-1815C97DC7F1}"/>
    <cellStyle name="style1691303855952" xfId="1842" xr:uid="{1467668C-2024-478A-A025-395D8B379036}"/>
    <cellStyle name="style1691303856030" xfId="1843" xr:uid="{AF6E8282-1196-4D8B-96C1-A3D6B67E7D57}"/>
    <cellStyle name="style1691303856124" xfId="1844" xr:uid="{C5642542-3F74-4E35-8C74-1B43BEEB2AB6}"/>
    <cellStyle name="style1691303856187" xfId="1845" xr:uid="{CA0E5FF1-92F9-44D5-BD27-A24C6E7EDF8A}"/>
    <cellStyle name="style1691303856249" xfId="1846" xr:uid="{DF80713C-7198-4F92-9699-BC01D0847F3B}"/>
    <cellStyle name="style1691303872368" xfId="1847" xr:uid="{7D2C807D-7E7F-41C7-A502-C07EF6DBD231}"/>
    <cellStyle name="style1691303872431" xfId="1848" xr:uid="{B417768C-2501-4798-ABBE-4B4F34EA6F5D}"/>
    <cellStyle name="style1691303872572" xfId="1849" xr:uid="{A6BF466E-56EA-4994-971A-D1AE643EBE4B}"/>
    <cellStyle name="style1691303872665" xfId="1850" xr:uid="{6477659B-F0AD-44B4-BBBA-F93C82E1C197}"/>
    <cellStyle name="style1691303872728" xfId="1851" xr:uid="{4C0EEBCE-0BBD-4D42-AACD-487B3D6ACC1D}"/>
    <cellStyle name="style1691303872790" xfId="1852" xr:uid="{CA5814DE-CCA0-459C-9F3F-04AD73708A4A}"/>
    <cellStyle name="style1691303872884" xfId="1853" xr:uid="{26CB773B-208C-4D10-B53C-E13896BD2C50}"/>
    <cellStyle name="style1691303872962" xfId="1854" xr:uid="{7BFBCDCB-A48D-4F96-B0B1-1AC4F1FE57A2}"/>
    <cellStyle name="style1691303873040" xfId="1855" xr:uid="{C5BCB0A6-588A-44E7-A88E-FD8545944134}"/>
    <cellStyle name="style1691665997298" xfId="1856" xr:uid="{14B043F0-A070-4541-A2C0-D19C8D66BE5F}"/>
    <cellStyle name="style1691665997516" xfId="1857" xr:uid="{609794FB-127A-4E63-B4CE-41D286B4FFD5}"/>
    <cellStyle name="style1691665997734" xfId="1858" xr:uid="{2BA5BF94-88E6-4D71-AFC8-AB38F9D5B56D}"/>
    <cellStyle name="style1691739664666" xfId="1859" xr:uid="{570C8BD7-D4C9-427C-BC41-EAC68A5A9262}"/>
    <cellStyle name="style1691739664882" xfId="1860" xr:uid="{A8AD895F-6D9E-4B2D-9E5B-EA9279D9C7B9}"/>
    <cellStyle name="style1691739665084" xfId="1861" xr:uid="{986D17B9-8267-45FA-AEC5-4BB39738D6E8}"/>
    <cellStyle name="style1692107201835" xfId="1862" xr:uid="{207808E9-BC21-4E69-AB00-8982EDC81EF4}"/>
    <cellStyle name="style1692107202070" xfId="1863" xr:uid="{7FE8B421-54E1-410E-A9FB-6813C05880E8}"/>
    <cellStyle name="style1692107202288" xfId="1864" xr:uid="{2926D8E8-2982-47DD-9AC0-037A4BB314EA}"/>
    <cellStyle name="style1692107202460" xfId="1865" xr:uid="{D92B0758-AE35-40CC-B02E-C70BA1D04AEB}"/>
    <cellStyle name="style1692107202679" xfId="1866" xr:uid="{B2B82E50-C226-4E46-8E60-0059DEA66C62}"/>
    <cellStyle name="style1692107202898" xfId="1867" xr:uid="{AEDCBF3B-2197-4C40-A100-9E2CD7B41853}"/>
    <cellStyle name="style1692107203133" xfId="1868" xr:uid="{86CA8979-43D6-4369-8768-92C478DCAD9D}"/>
    <cellStyle name="style1692107203305" xfId="1869" xr:uid="{02FF3333-70BE-4B62-9C07-1E30AC55738C}"/>
    <cellStyle name="style1692107203586" xfId="1870" xr:uid="{270EAEF4-4D54-4D03-B1BF-C42AD6C8FA2E}"/>
    <cellStyle name="style1692107203838" xfId="1871" xr:uid="{BDE13CED-8892-4DFC-A63A-F2348D042D44}"/>
    <cellStyle name="style1692107204088" xfId="1872" xr:uid="{199C6883-4B26-44DD-A67D-D1C66866F92B}"/>
    <cellStyle name="style1692107204259" xfId="1873" xr:uid="{5A60F402-1B5D-4BCF-981D-B6A2CE63F8A5}"/>
    <cellStyle name="style1692107229010" xfId="1874" xr:uid="{B21077DF-3252-49A6-94A4-8181071F8E5D}"/>
    <cellStyle name="style1692107229228" xfId="1875" xr:uid="{4864062B-DD57-4473-BDB3-762919826DBC}"/>
    <cellStyle name="style1692107229446" xfId="1876" xr:uid="{931787A7-BD95-4639-8FAD-6AE8A2B66B95}"/>
    <cellStyle name="style1692107229603" xfId="1877" xr:uid="{EFAAF2E1-2841-47D2-B3CB-F4253734F3DF}"/>
    <cellStyle name="style1692107229821" xfId="1878" xr:uid="{E56FF5FF-3447-461D-B2BA-DDD9805546C9}"/>
    <cellStyle name="style1692107230056" xfId="1879" xr:uid="{3C0A241C-2E4C-4602-823F-41C55CFA1736}"/>
    <cellStyle name="style1692107230291" xfId="1880" xr:uid="{87C83E46-4887-48B6-8F72-837B9EDB25CC}"/>
    <cellStyle name="style1692107230463" xfId="1881" xr:uid="{4828F9E4-6FC1-491B-83F5-6D817AAC7AAE}"/>
    <cellStyle name="style1692107230713" xfId="1882" xr:uid="{BA4F130A-C399-455F-895F-481B92193C7B}"/>
    <cellStyle name="style1692107230947" xfId="1883" xr:uid="{719ACA22-62A1-4262-878C-C05AE3DE0A87}"/>
    <cellStyle name="style1692107231167" xfId="1884" xr:uid="{66BB1BCC-7955-4E18-AC0F-49773DE948B1}"/>
    <cellStyle name="style1692107231323" xfId="1885" xr:uid="{695F3FDC-1D6C-4F94-969C-4D47D80E7151}"/>
    <cellStyle name="style1692107251509" xfId="1886" xr:uid="{1C1998FD-9E16-418D-8FDA-ED5917924D79}"/>
    <cellStyle name="style1692107251665" xfId="1887" xr:uid="{C27944CE-6993-4BB9-A55C-430C5B63BEA6}"/>
    <cellStyle name="style1692107251821" xfId="1888" xr:uid="{78DB1CE1-9C9A-477B-A027-137553DE50EA}"/>
    <cellStyle name="style1692107251946" xfId="1889" xr:uid="{9589A7D3-6795-4E1B-8C1D-13E7071B54A4}"/>
    <cellStyle name="style1692107252149" xfId="1890" xr:uid="{62483FFA-5E1D-41FA-9DD2-EF4CC6BE19B9}"/>
    <cellStyle name="style1692107252337" xfId="1891" xr:uid="{5CBD584C-A2E7-4072-8EB6-BB60781438A8}"/>
    <cellStyle name="style1692107252462" xfId="1892" xr:uid="{132F6642-A00A-4FC5-898F-1B767CD488C4}"/>
    <cellStyle name="style1692107252559" xfId="1893" xr:uid="{82F9BBEF-A2E9-42BE-B3F1-40DBBB70F00F}"/>
    <cellStyle name="style1692107252715" xfId="1894" xr:uid="{5B200990-6F44-4808-ADC8-0BB6B4D0D43E}"/>
    <cellStyle name="style1692107252871" xfId="1895" xr:uid="{F653DD08-28A3-4F7E-AB2A-44B611332238}"/>
    <cellStyle name="style1692107252996" xfId="1896" xr:uid="{4820FAA9-9D7C-4F92-A1D7-910278B4D8C9}"/>
    <cellStyle name="style1692107253106" xfId="1897" xr:uid="{582A352D-6F5F-4258-AF4C-41F00725DD8D}"/>
    <cellStyle name="style1692107270052" xfId="1898" xr:uid="{BDB6CF6E-BE56-4686-92C1-8ADDE1C6E07B}"/>
    <cellStyle name="style1692107270193" xfId="1899" xr:uid="{83F5A55F-7F93-4255-9869-D2194C7BA7BE}"/>
    <cellStyle name="style1692107270365" xfId="1900" xr:uid="{DE3AA4E9-1391-429C-9215-2CC8484A11D1}"/>
    <cellStyle name="style1692107270474" xfId="1901" xr:uid="{AA787065-972A-4D2E-9C7C-0E4AD389673C}"/>
    <cellStyle name="style1692107270615" xfId="1902" xr:uid="{D22280C3-AEEC-4693-95BD-90A8DFEEAF50}"/>
    <cellStyle name="style1692107270755" xfId="1903" xr:uid="{5E34405B-516F-4E3A-9332-5CE864AD698D}"/>
    <cellStyle name="style1692107270888" xfId="1904" xr:uid="{06740CC9-2417-48BC-96E8-413614D3101B}"/>
    <cellStyle name="style1692107271013" xfId="1905" xr:uid="{0DF8140E-72C6-4C02-96D3-5279060C0927}"/>
    <cellStyle name="style1692107271169" xfId="1906" xr:uid="{3F15EE00-3D09-4D04-A6F9-9C6BEB39F804}"/>
    <cellStyle name="style1692107271309" xfId="1907" xr:uid="{40EBA480-1314-4AF6-8F7B-BB624F12D0D2}"/>
    <cellStyle name="style1692107271466" xfId="1908" xr:uid="{9226C7A0-25E4-427B-AB2A-3F745088B313}"/>
    <cellStyle name="style1692107271575" xfId="1909" xr:uid="{563BB25A-A597-4A29-A570-39039467EED8}"/>
    <cellStyle name="style1692107288846" xfId="1910" xr:uid="{1C192E61-2C39-4E0A-8C6F-D792B6F58F32}"/>
    <cellStyle name="style1692107288987" xfId="1911" xr:uid="{06614F99-9730-4213-8031-8FBB28FB94F0}"/>
    <cellStyle name="style1692107289113" xfId="1912" xr:uid="{9D54F6A9-831B-47D6-BD00-B3A57734A336}"/>
    <cellStyle name="style1692107289175" xfId="1913" xr:uid="{9CD8FE2A-0C30-4A5B-AA34-D0884520EA84}"/>
    <cellStyle name="style1692107289284" xfId="1914" xr:uid="{ACFEA812-6205-4E90-8042-973E419039F3}"/>
    <cellStyle name="style1692107289378" xfId="1915" xr:uid="{9EB1A64B-8A94-46BA-9FAE-88E9C45A05B3}"/>
    <cellStyle name="style1692107289472" xfId="1916" xr:uid="{9B4C808F-1468-438E-B852-21A5DC2972D4}"/>
    <cellStyle name="style1692107289534" xfId="1917" xr:uid="{83B8E8E9-8944-48D4-9690-C83267FA9525}"/>
    <cellStyle name="style1692107289644" xfId="1918" xr:uid="{F3C2CECE-BF8B-4115-9612-CECC7ACB4205}"/>
    <cellStyle name="style1692107289737" xfId="1919" xr:uid="{08C709FD-9713-4706-B7AD-24C75360A992}"/>
    <cellStyle name="style1692107289847" xfId="1920" xr:uid="{92914D4C-CE84-4468-891B-B5B1CB43360A}"/>
    <cellStyle name="style1692107289909" xfId="1921" xr:uid="{429EC74D-B7C2-44AF-8A40-9312F4B03DE2}"/>
    <cellStyle name="style1692107302965" xfId="1922" xr:uid="{40778080-F47E-402A-A793-BEA1BED0340F}"/>
    <cellStyle name="style1692107303028" xfId="1923" xr:uid="{D166D33B-B827-48AE-A0E0-CB322BEA8470}"/>
    <cellStyle name="style1692107303106" xfId="1924" xr:uid="{82E5101C-37FE-4A82-BC14-7D0F42593E4A}"/>
    <cellStyle name="style1692107303153" xfId="1925" xr:uid="{6F374FE3-A594-4BE8-9619-698B4859B1D7}"/>
    <cellStyle name="style1692107303231" xfId="1926" xr:uid="{FEFFCAFF-1AE3-4833-ADA5-4E429665055F}"/>
    <cellStyle name="style1692107303310" xfId="1927" xr:uid="{5CFABE90-EB84-4CFD-8F81-F06FA98DB9D5}"/>
    <cellStyle name="style1692107303372" xfId="1928" xr:uid="{0078EC12-D091-4EEE-8767-B30B0554AF3B}"/>
    <cellStyle name="style1692107303450" xfId="1929" xr:uid="{9A041682-F952-4B5C-887B-D8AC6120FBB2}"/>
    <cellStyle name="style1692107303528" xfId="1930" xr:uid="{03D41A5D-AA84-4598-9980-85A922211136}"/>
    <cellStyle name="style1692107303607" xfId="1931" xr:uid="{0DFC8343-1365-452A-B587-5BB830A58EB3}"/>
    <cellStyle name="style1692107303685" xfId="1932" xr:uid="{2F748897-59DE-4797-90C4-6579AA389D3A}"/>
    <cellStyle name="style1692107303732" xfId="1933" xr:uid="{7DA9C9C9-0967-48FE-BC0A-DD8D5442AED6}"/>
    <cellStyle name="style1692801498134" xfId="1934" xr:uid="{2AD665F0-A6C0-4C42-8AD4-556B09B4D9D7}"/>
    <cellStyle name="style1692801498243" xfId="1935" xr:uid="{4C208B1F-116A-4748-97B7-D8363AFCD958}"/>
    <cellStyle name="style1692801498352" xfId="1936" xr:uid="{9F948407-247C-4D70-9E94-49630ADB07A8}"/>
    <cellStyle name="style1692801498446" xfId="1937" xr:uid="{E863A77B-5B24-451D-B51D-1D3B43680F25}"/>
    <cellStyle name="style1692801498540" xfId="1938" xr:uid="{3D11F669-EB56-4EED-9C1F-0402BF432B70}"/>
    <cellStyle name="style1692801498649" xfId="1939" xr:uid="{B0AE6F42-A9A6-4C33-9428-B41028232913}"/>
    <cellStyle name="style1692801498743" xfId="1940" xr:uid="{7EECED53-165A-497E-8598-206D1A16B629}"/>
    <cellStyle name="style1692801498805" xfId="1941" xr:uid="{68B70644-D529-46EB-90A3-74AF028A434B}"/>
    <cellStyle name="style1692801498915" xfId="1942" xr:uid="{6FB015CA-9872-402F-88E5-C439B01AE655}"/>
    <cellStyle name="style1692801570526" xfId="1943" xr:uid="{8F27D71B-275A-4986-9E3E-994591A17480}"/>
    <cellStyle name="style1692801570589" xfId="1944" xr:uid="{6B53A8D0-9C16-4E55-8B64-3A08D3EC8FF3}"/>
    <cellStyle name="style1692801570651" xfId="1945" xr:uid="{4531CE1B-DD3D-4450-8A9B-C6E98159F92B}"/>
    <cellStyle name="style1692801570729" xfId="1946" xr:uid="{4F9683AC-78A2-4CC8-B65B-D095E9090C34}"/>
    <cellStyle name="style1692801570792" xfId="1947" xr:uid="{6B7353C9-6CDD-4A39-A465-25948228C165}"/>
    <cellStyle name="style1692801570854" xfId="1948" xr:uid="{11D01881-6812-4616-9E92-30256667DD91}"/>
    <cellStyle name="style1692801570948" xfId="1949" xr:uid="{1EDE936F-B015-49D0-A951-E0360F70D631}"/>
    <cellStyle name="style1692801571088" xfId="1950" xr:uid="{949D84D1-2B3C-48ED-82A7-0101C2186740}"/>
    <cellStyle name="style1692801571203" xfId="1951" xr:uid="{A2463B6D-CBB5-4CD3-A5F0-9A0A377DDABA}"/>
    <cellStyle name="style1692801593087" xfId="1952" xr:uid="{3E87B160-81E0-4661-A465-3E8595AA019D}"/>
    <cellStyle name="style1692801593149" xfId="1953" xr:uid="{8C24A0FC-5FCE-4454-8E74-0068F1F6EBF6}"/>
    <cellStyle name="style1692801593227" xfId="1954" xr:uid="{6D569932-117E-4980-B6B7-9DC1CDA039B4}"/>
    <cellStyle name="style1692801593290" xfId="1955" xr:uid="{B4581BA8-E3C6-4DE1-AC58-2E3F798A1A5C}"/>
    <cellStyle name="style1692801593352" xfId="1956" xr:uid="{C717CD09-7759-4C7A-BF3D-CAA199C0D67B}"/>
    <cellStyle name="style1692801593415" xfId="1957" xr:uid="{E3E13E6C-58EC-4746-8D4A-3333DDB94E24}"/>
    <cellStyle name="style1692801593523" xfId="1958" xr:uid="{05BDF039-A4AD-4F09-8AEB-01DE7174EB1D}"/>
    <cellStyle name="style1692801593587" xfId="1959" xr:uid="{F191B079-F0FB-4C3B-BFA6-972FA840B84B}"/>
    <cellStyle name="style1692801593649" xfId="1960" xr:uid="{58E5ED6F-2568-4218-9E57-32A34DAB6BB4}"/>
    <cellStyle name="style1692801673889" xfId="1961" xr:uid="{804D7EE1-7E26-4002-BA6C-E6C7FED09183}"/>
    <cellStyle name="style1692801673951" xfId="1962" xr:uid="{27419F7A-54E9-4A0D-90A8-7024D13ACD6F}"/>
    <cellStyle name="style1692801674092" xfId="1963" xr:uid="{64BF50DD-EAF3-43F0-8BC5-F02194E89957}"/>
    <cellStyle name="style1692801674154" xfId="1964" xr:uid="{37D26888-AFE0-480D-A105-A954F44B9AC5}"/>
    <cellStyle name="style1692801674310" xfId="1965" xr:uid="{7F3D7B77-2E78-4836-A308-BB836C5BC2B2}"/>
    <cellStyle name="style1692801674373" xfId="1966" xr:uid="{1EB543CB-E624-46A6-BC07-83F876287638}"/>
    <cellStyle name="style1692801695309" xfId="1967" xr:uid="{FC27C6FA-4628-4113-B4F3-B8438EE374F9}"/>
    <cellStyle name="style1692801695371" xfId="1968" xr:uid="{5EF87194-C19F-43B9-98C7-C92CED83012E}"/>
    <cellStyle name="style1692801695434" xfId="1969" xr:uid="{27C6FE5D-9C4D-447F-891B-1A6816DF8C64}"/>
    <cellStyle name="style1692801695496" xfId="1970" xr:uid="{FF5994C0-526A-49E5-912E-CCC942E58BF5}"/>
    <cellStyle name="style1692801695559" xfId="1971" xr:uid="{1F214E4A-8775-4F5A-A347-10E34B134A20}"/>
    <cellStyle name="style1692801695621" xfId="1972" xr:uid="{7FB0EB48-223E-490F-88BB-569BF6520DE1}"/>
    <cellStyle name="style1692801695699" xfId="1973" xr:uid="{8A2C46D6-C5BD-4730-970C-91600657A10C}"/>
    <cellStyle name="style1692801695777" xfId="1974" xr:uid="{2A95007C-4A82-4791-AABB-222CA0E1ECC6}"/>
    <cellStyle name="style1692801695871" xfId="1975" xr:uid="{5DDDB62C-D312-4492-995F-3BEEAA51604B}"/>
    <cellStyle name="style1692892903117" xfId="1976" xr:uid="{1AA57DE3-07D7-47E0-BAA5-2B6FE1EAB739}"/>
    <cellStyle name="style1692892903195" xfId="1977" xr:uid="{BE05A318-49F7-4527-A613-2309629BB7E2}"/>
    <cellStyle name="style1692892903257" xfId="1978" xr:uid="{7F2C36B4-BACA-408F-8F14-02ADE8BD6CE2}"/>
    <cellStyle name="style1692892903335" xfId="1979" xr:uid="{09A9D28A-2A91-47CC-8E7F-7BCDAA53939D}"/>
    <cellStyle name="style1692892903398" xfId="1980" xr:uid="{01CF7E65-C680-4046-889B-361A67079E61}"/>
    <cellStyle name="style1692892903460" xfId="1981" xr:uid="{3D461E93-437A-4673-9800-23E4502E4473}"/>
    <cellStyle name="style1692892903585" xfId="1982" xr:uid="{9D343CA9-ECCD-4DF7-ACA5-F76F9F93F545}"/>
    <cellStyle name="style1692892903648" xfId="1983" xr:uid="{04C39FD3-185E-4864-80B6-18023DEA8DB2}"/>
    <cellStyle name="style1692892903726" xfId="1984" xr:uid="{26138D68-1162-4AED-BDD4-7C460B942063}"/>
  </cellStyles>
  <dxfs count="137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264A60"/>
      <rgbColor rgb="00152935"/>
      <rgbColor rgb="00E0E0E0"/>
      <rgbColor rgb="00AEAEA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tyles" Target="styles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47C2-F524-4D92-8879-DCD5C3F1583C}">
  <dimension ref="A1:L121"/>
  <sheetViews>
    <sheetView workbookViewId="0">
      <selection activeCell="A9" sqref="A9"/>
    </sheetView>
  </sheetViews>
  <sheetFormatPr defaultRowHeight="12.75" x14ac:dyDescent="0.2"/>
  <cols>
    <col min="1" max="1" width="104.140625" customWidth="1"/>
  </cols>
  <sheetData>
    <row r="1" spans="1:12" x14ac:dyDescent="0.2">
      <c r="A1" s="113" t="s">
        <v>33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12" x14ac:dyDescent="0.2">
      <c r="A2" s="76" t="s">
        <v>688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</row>
    <row r="3" spans="1:12" x14ac:dyDescent="0.2">
      <c r="A3" s="1"/>
    </row>
    <row r="4" spans="1:12" x14ac:dyDescent="0.2">
      <c r="A4" s="76" t="s">
        <v>689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</row>
    <row r="5" spans="1:12" x14ac:dyDescent="0.2">
      <c r="A5" s="115" t="s">
        <v>715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</row>
    <row r="6" spans="1:12" s="23" customFormat="1" ht="22.7" customHeight="1" x14ac:dyDescent="0.2">
      <c r="A6" s="116" t="s">
        <v>29</v>
      </c>
    </row>
    <row r="7" spans="1:12" s="23" customFormat="1" ht="22.7" customHeight="1" x14ac:dyDescent="0.2">
      <c r="A7" s="117" t="s">
        <v>505</v>
      </c>
    </row>
    <row r="8" spans="1:12" s="23" customFormat="1" ht="22.7" customHeight="1" x14ac:dyDescent="0.2">
      <c r="A8" s="117" t="s">
        <v>596</v>
      </c>
    </row>
    <row r="9" spans="1:12" s="23" customFormat="1" ht="22.7" customHeight="1" x14ac:dyDescent="0.2">
      <c r="A9" s="117" t="s">
        <v>597</v>
      </c>
    </row>
    <row r="10" spans="1:12" s="23" customFormat="1" ht="22.7" customHeight="1" x14ac:dyDescent="0.2">
      <c r="A10" s="117" t="s">
        <v>66</v>
      </c>
    </row>
    <row r="11" spans="1:12" s="23" customFormat="1" ht="22.7" customHeight="1" x14ac:dyDescent="0.2">
      <c r="A11" s="117" t="s">
        <v>599</v>
      </c>
    </row>
    <row r="12" spans="1:12" s="23" customFormat="1" ht="22.7" customHeight="1" x14ac:dyDescent="0.2">
      <c r="A12" s="117" t="s">
        <v>78</v>
      </c>
    </row>
    <row r="13" spans="1:12" s="23" customFormat="1" ht="22.7" customHeight="1" x14ac:dyDescent="0.2">
      <c r="A13" s="117" t="s">
        <v>591</v>
      </c>
    </row>
    <row r="14" spans="1:12" s="23" customFormat="1" ht="22.7" customHeight="1" x14ac:dyDescent="0.2">
      <c r="A14" s="117" t="s">
        <v>88</v>
      </c>
    </row>
    <row r="15" spans="1:12" s="23" customFormat="1" ht="22.7" customHeight="1" x14ac:dyDescent="0.2">
      <c r="A15" s="117" t="s">
        <v>94</v>
      </c>
    </row>
    <row r="16" spans="1:12" s="23" customFormat="1" ht="22.7" customHeight="1" x14ac:dyDescent="0.2">
      <c r="A16" s="117" t="s">
        <v>585</v>
      </c>
    </row>
    <row r="17" spans="1:1" s="23" customFormat="1" ht="22.7" customHeight="1" x14ac:dyDescent="0.2">
      <c r="A17" s="117" t="s">
        <v>695</v>
      </c>
    </row>
    <row r="18" spans="1:1" s="23" customFormat="1" ht="22.7" customHeight="1" x14ac:dyDescent="0.2">
      <c r="A18" s="117" t="s">
        <v>586</v>
      </c>
    </row>
    <row r="19" spans="1:1" s="23" customFormat="1" ht="22.7" customHeight="1" x14ac:dyDescent="0.2">
      <c r="A19" s="117" t="s">
        <v>587</v>
      </c>
    </row>
    <row r="20" spans="1:1" s="23" customFormat="1" ht="22.7" customHeight="1" x14ac:dyDescent="0.2">
      <c r="A20" s="117" t="s">
        <v>588</v>
      </c>
    </row>
    <row r="21" spans="1:1" s="23" customFormat="1" ht="22.7" customHeight="1" x14ac:dyDescent="0.2">
      <c r="A21" s="117" t="s">
        <v>589</v>
      </c>
    </row>
    <row r="22" spans="1:1" s="23" customFormat="1" ht="22.7" customHeight="1" x14ac:dyDescent="0.2">
      <c r="A22" s="117" t="s">
        <v>590</v>
      </c>
    </row>
    <row r="23" spans="1:1" s="23" customFormat="1" ht="22.7" customHeight="1" x14ac:dyDescent="0.2">
      <c r="A23" s="117" t="s">
        <v>149</v>
      </c>
    </row>
    <row r="24" spans="1:1" s="23" customFormat="1" ht="22.7" customHeight="1" x14ac:dyDescent="0.2">
      <c r="A24" s="117" t="s">
        <v>161</v>
      </c>
    </row>
    <row r="25" spans="1:1" s="23" customFormat="1" ht="22.7" customHeight="1" x14ac:dyDescent="0.2">
      <c r="A25" s="117" t="s">
        <v>160</v>
      </c>
    </row>
    <row r="26" spans="1:1" s="23" customFormat="1" ht="22.7" customHeight="1" x14ac:dyDescent="0.2">
      <c r="A26" s="117" t="s">
        <v>163</v>
      </c>
    </row>
    <row r="27" spans="1:1" s="23" customFormat="1" ht="22.7" customHeight="1" x14ac:dyDescent="0.2">
      <c r="A27" s="117" t="s">
        <v>690</v>
      </c>
    </row>
    <row r="28" spans="1:1" s="23" customFormat="1" ht="22.7" customHeight="1" x14ac:dyDescent="0.2">
      <c r="A28" s="117" t="s">
        <v>691</v>
      </c>
    </row>
    <row r="29" spans="1:1" s="23" customFormat="1" ht="22.7" customHeight="1" x14ac:dyDescent="0.2">
      <c r="A29" s="117" t="s">
        <v>169</v>
      </c>
    </row>
    <row r="30" spans="1:1" s="23" customFormat="1" ht="22.7" customHeight="1" x14ac:dyDescent="0.2">
      <c r="A30" s="117" t="s">
        <v>692</v>
      </c>
    </row>
    <row r="31" spans="1:1" s="23" customFormat="1" ht="22.7" customHeight="1" x14ac:dyDescent="0.2">
      <c r="A31" s="117" t="s">
        <v>693</v>
      </c>
    </row>
    <row r="32" spans="1:1" s="23" customFormat="1" ht="22.7" customHeight="1" x14ac:dyDescent="0.2">
      <c r="A32" s="117" t="s">
        <v>175</v>
      </c>
    </row>
    <row r="33" spans="1:1" s="23" customFormat="1" ht="22.7" customHeight="1" x14ac:dyDescent="0.2">
      <c r="A33" s="117" t="s">
        <v>177</v>
      </c>
    </row>
    <row r="34" spans="1:1" s="23" customFormat="1" ht="22.7" customHeight="1" x14ac:dyDescent="0.2">
      <c r="A34" s="117" t="s">
        <v>179</v>
      </c>
    </row>
    <row r="35" spans="1:1" s="23" customFormat="1" ht="22.7" customHeight="1" x14ac:dyDescent="0.2">
      <c r="A35" s="117" t="s">
        <v>694</v>
      </c>
    </row>
    <row r="36" spans="1:1" s="23" customFormat="1" ht="22.7" customHeight="1" x14ac:dyDescent="0.2">
      <c r="A36" s="117" t="s">
        <v>183</v>
      </c>
    </row>
    <row r="37" spans="1:1" s="23" customFormat="1" ht="22.7" customHeight="1" x14ac:dyDescent="0.2">
      <c r="A37" s="117" t="s">
        <v>185</v>
      </c>
    </row>
    <row r="38" spans="1:1" s="23" customFormat="1" ht="22.7" customHeight="1" x14ac:dyDescent="0.2">
      <c r="A38" s="117" t="s">
        <v>187</v>
      </c>
    </row>
    <row r="39" spans="1:1" s="23" customFormat="1" ht="22.7" customHeight="1" x14ac:dyDescent="0.2">
      <c r="A39" s="117" t="s">
        <v>189</v>
      </c>
    </row>
    <row r="40" spans="1:1" s="23" customFormat="1" ht="22.7" customHeight="1" x14ac:dyDescent="0.2">
      <c r="A40" s="117" t="s">
        <v>191</v>
      </c>
    </row>
    <row r="41" spans="1:1" s="23" customFormat="1" ht="22.7" customHeight="1" x14ac:dyDescent="0.2">
      <c r="A41" s="117" t="s">
        <v>197</v>
      </c>
    </row>
    <row r="42" spans="1:1" s="23" customFormat="1" ht="22.7" customHeight="1" x14ac:dyDescent="0.2">
      <c r="A42" s="117" t="s">
        <v>196</v>
      </c>
    </row>
    <row r="43" spans="1:1" s="23" customFormat="1" ht="22.7" customHeight="1" x14ac:dyDescent="0.2">
      <c r="A43" s="117" t="s">
        <v>195</v>
      </c>
    </row>
    <row r="44" spans="1:1" s="23" customFormat="1" ht="22.7" customHeight="1" x14ac:dyDescent="0.2">
      <c r="A44" s="117" t="s">
        <v>199</v>
      </c>
    </row>
    <row r="45" spans="1:1" s="23" customFormat="1" ht="22.7" customHeight="1" x14ac:dyDescent="0.2">
      <c r="A45" s="117" t="s">
        <v>201</v>
      </c>
    </row>
    <row r="46" spans="1:1" s="23" customFormat="1" ht="22.7" customHeight="1" x14ac:dyDescent="0.2">
      <c r="A46" s="117" t="s">
        <v>203</v>
      </c>
    </row>
    <row r="47" spans="1:1" s="23" customFormat="1" ht="22.7" customHeight="1" x14ac:dyDescent="0.2">
      <c r="A47" s="117" t="s">
        <v>204</v>
      </c>
    </row>
    <row r="48" spans="1:1" s="23" customFormat="1" ht="22.7" customHeight="1" x14ac:dyDescent="0.2">
      <c r="A48" s="117" t="s">
        <v>214</v>
      </c>
    </row>
    <row r="49" spans="1:1" s="23" customFormat="1" ht="22.7" customHeight="1" x14ac:dyDescent="0.2">
      <c r="A49" s="117" t="s">
        <v>213</v>
      </c>
    </row>
    <row r="50" spans="1:1" s="23" customFormat="1" ht="22.7" customHeight="1" x14ac:dyDescent="0.2">
      <c r="A50" s="117" t="s">
        <v>212</v>
      </c>
    </row>
    <row r="51" spans="1:1" s="23" customFormat="1" ht="22.7" customHeight="1" x14ac:dyDescent="0.2">
      <c r="A51" s="117" t="s">
        <v>582</v>
      </c>
    </row>
    <row r="52" spans="1:1" s="23" customFormat="1" ht="22.7" customHeight="1" x14ac:dyDescent="0.2">
      <c r="A52" s="117" t="s">
        <v>583</v>
      </c>
    </row>
    <row r="53" spans="1:1" s="23" customFormat="1" ht="36" customHeight="1" x14ac:dyDescent="0.2">
      <c r="A53" s="117" t="s">
        <v>700</v>
      </c>
    </row>
    <row r="54" spans="1:1" s="23" customFormat="1" ht="36" customHeight="1" x14ac:dyDescent="0.2">
      <c r="A54" s="117" t="s">
        <v>699</v>
      </c>
    </row>
    <row r="55" spans="1:1" s="23" customFormat="1" ht="36" customHeight="1" x14ac:dyDescent="0.2">
      <c r="A55" s="117" t="s">
        <v>698</v>
      </c>
    </row>
    <row r="56" spans="1:1" s="23" customFormat="1" ht="36" customHeight="1" x14ac:dyDescent="0.2">
      <c r="A56" s="117" t="s">
        <v>697</v>
      </c>
    </row>
    <row r="57" spans="1:1" s="23" customFormat="1" ht="36" customHeight="1" x14ac:dyDescent="0.2">
      <c r="A57" s="117" t="s">
        <v>696</v>
      </c>
    </row>
    <row r="58" spans="1:1" s="23" customFormat="1" ht="36" customHeight="1" x14ac:dyDescent="0.2">
      <c r="A58" s="117" t="s">
        <v>701</v>
      </c>
    </row>
    <row r="59" spans="1:1" s="23" customFormat="1" ht="22.7" customHeight="1" x14ac:dyDescent="0.2">
      <c r="A59" s="117" t="s">
        <v>280</v>
      </c>
    </row>
    <row r="60" spans="1:1" s="23" customFormat="1" ht="28.35" customHeight="1" x14ac:dyDescent="0.2">
      <c r="A60" s="117" t="s">
        <v>281</v>
      </c>
    </row>
    <row r="61" spans="1:1" s="23" customFormat="1" ht="34.700000000000003" customHeight="1" x14ac:dyDescent="0.2">
      <c r="A61" s="116" t="s">
        <v>705</v>
      </c>
    </row>
    <row r="62" spans="1:1" s="23" customFormat="1" ht="34.700000000000003" customHeight="1" x14ac:dyDescent="0.2">
      <c r="A62" s="116" t="s">
        <v>704</v>
      </c>
    </row>
    <row r="63" spans="1:1" s="23" customFormat="1" ht="34.700000000000003" customHeight="1" x14ac:dyDescent="0.2">
      <c r="A63" s="116" t="s">
        <v>703</v>
      </c>
    </row>
    <row r="64" spans="1:1" s="23" customFormat="1" ht="34.700000000000003" customHeight="1" x14ac:dyDescent="0.2">
      <c r="A64" s="116" t="s">
        <v>702</v>
      </c>
    </row>
    <row r="65" spans="1:1" s="23" customFormat="1" ht="34.700000000000003" customHeight="1" x14ac:dyDescent="0.2">
      <c r="A65" s="117" t="s">
        <v>712</v>
      </c>
    </row>
    <row r="66" spans="1:1" s="23" customFormat="1" ht="34.700000000000003" customHeight="1" x14ac:dyDescent="0.2">
      <c r="A66" s="117" t="s">
        <v>713</v>
      </c>
    </row>
    <row r="67" spans="1:1" s="23" customFormat="1" ht="34.700000000000003" customHeight="1" x14ac:dyDescent="0.2">
      <c r="A67" s="117" t="s">
        <v>714</v>
      </c>
    </row>
    <row r="68" spans="1:1" s="23" customFormat="1" ht="34.700000000000003" customHeight="1" x14ac:dyDescent="0.2">
      <c r="A68" s="117" t="s">
        <v>706</v>
      </c>
    </row>
    <row r="69" spans="1:1" s="23" customFormat="1" ht="34.700000000000003" customHeight="1" x14ac:dyDescent="0.2">
      <c r="A69" s="117" t="s">
        <v>709</v>
      </c>
    </row>
    <row r="70" spans="1:1" s="23" customFormat="1" ht="34.700000000000003" customHeight="1" x14ac:dyDescent="0.2">
      <c r="A70" s="117" t="s">
        <v>707</v>
      </c>
    </row>
    <row r="71" spans="1:1" s="23" customFormat="1" ht="34.700000000000003" customHeight="1" x14ac:dyDescent="0.2">
      <c r="A71" s="117" t="s">
        <v>708</v>
      </c>
    </row>
    <row r="72" spans="1:1" s="23" customFormat="1" ht="34.700000000000003" customHeight="1" x14ac:dyDescent="0.2">
      <c r="A72" s="117" t="s">
        <v>710</v>
      </c>
    </row>
    <row r="73" spans="1:1" s="23" customFormat="1" ht="34.700000000000003" customHeight="1" x14ac:dyDescent="0.2">
      <c r="A73" s="117" t="s">
        <v>711</v>
      </c>
    </row>
    <row r="74" spans="1:1" s="23" customFormat="1" ht="22.7" customHeight="1" x14ac:dyDescent="0.2">
      <c r="A74" s="117" t="s">
        <v>290</v>
      </c>
    </row>
    <row r="75" spans="1:1" s="23" customFormat="1" ht="22.7" customHeight="1" x14ac:dyDescent="0.2">
      <c r="A75" s="117" t="s">
        <v>613</v>
      </c>
    </row>
    <row r="76" spans="1:1" s="23" customFormat="1" ht="22.7" customHeight="1" x14ac:dyDescent="0.2">
      <c r="A76" s="117" t="s">
        <v>612</v>
      </c>
    </row>
    <row r="77" spans="1:1" s="23" customFormat="1" ht="22.7" customHeight="1" x14ac:dyDescent="0.2">
      <c r="A77" s="117" t="s">
        <v>291</v>
      </c>
    </row>
    <row r="78" spans="1:1" s="23" customFormat="1" ht="28.35" customHeight="1" x14ac:dyDescent="0.2">
      <c r="A78" s="117" t="s">
        <v>440</v>
      </c>
    </row>
    <row r="79" spans="1:1" s="23" customFormat="1" ht="28.35" customHeight="1" x14ac:dyDescent="0.2">
      <c r="A79" s="117" t="s">
        <v>441</v>
      </c>
    </row>
    <row r="80" spans="1:1" s="23" customFormat="1" ht="28.35" customHeight="1" x14ac:dyDescent="0.2">
      <c r="A80" s="117" t="s">
        <v>308</v>
      </c>
    </row>
    <row r="81" spans="1:1" s="23" customFormat="1" ht="28.35" customHeight="1" x14ac:dyDescent="0.2">
      <c r="A81" s="117" t="s">
        <v>313</v>
      </c>
    </row>
    <row r="82" spans="1:1" s="23" customFormat="1" ht="28.35" customHeight="1" x14ac:dyDescent="0.2">
      <c r="A82" s="117" t="s">
        <v>312</v>
      </c>
    </row>
    <row r="83" spans="1:1" s="23" customFormat="1" ht="28.35" customHeight="1" x14ac:dyDescent="0.2">
      <c r="A83" s="117" t="s">
        <v>315</v>
      </c>
    </row>
    <row r="84" spans="1:1" s="23" customFormat="1" ht="28.35" customHeight="1" x14ac:dyDescent="0.2">
      <c r="A84" s="117" t="s">
        <v>316</v>
      </c>
    </row>
    <row r="85" spans="1:1" s="23" customFormat="1" ht="28.35" customHeight="1" x14ac:dyDescent="0.2">
      <c r="A85" s="117" t="s">
        <v>563</v>
      </c>
    </row>
    <row r="86" spans="1:1" s="23" customFormat="1" ht="28.35" customHeight="1" x14ac:dyDescent="0.2">
      <c r="A86" s="117" t="s">
        <v>616</v>
      </c>
    </row>
    <row r="87" spans="1:1" s="23" customFormat="1" ht="22.7" customHeight="1" x14ac:dyDescent="0.2">
      <c r="A87" s="117" t="s">
        <v>564</v>
      </c>
    </row>
    <row r="88" spans="1:1" s="23" customFormat="1" ht="22.7" customHeight="1" x14ac:dyDescent="0.2">
      <c r="A88" s="117" t="s">
        <v>565</v>
      </c>
    </row>
    <row r="89" spans="1:1" s="23" customFormat="1" ht="22.7" customHeight="1" x14ac:dyDescent="0.2">
      <c r="A89" s="117" t="s">
        <v>566</v>
      </c>
    </row>
    <row r="90" spans="1:1" s="23" customFormat="1" ht="22.7" customHeight="1" x14ac:dyDescent="0.2">
      <c r="A90" s="117" t="s">
        <v>624</v>
      </c>
    </row>
    <row r="91" spans="1:1" s="23" customFormat="1" ht="22.7" customHeight="1" x14ac:dyDescent="0.2">
      <c r="A91" s="117" t="s">
        <v>567</v>
      </c>
    </row>
    <row r="92" spans="1:1" s="23" customFormat="1" ht="22.7" customHeight="1" x14ac:dyDescent="0.2">
      <c r="A92" s="117" t="s">
        <v>629</v>
      </c>
    </row>
    <row r="93" spans="1:1" s="23" customFormat="1" ht="35.450000000000003" customHeight="1" x14ac:dyDescent="0.2">
      <c r="A93" s="117" t="s">
        <v>568</v>
      </c>
    </row>
    <row r="94" spans="1:1" s="23" customFormat="1" ht="27" customHeight="1" x14ac:dyDescent="0.2">
      <c r="A94" s="117" t="s">
        <v>569</v>
      </c>
    </row>
    <row r="95" spans="1:1" s="23" customFormat="1" ht="22.7" customHeight="1" x14ac:dyDescent="0.2">
      <c r="A95" s="117" t="s">
        <v>636</v>
      </c>
    </row>
    <row r="96" spans="1:1" s="23" customFormat="1" ht="22.7" customHeight="1" x14ac:dyDescent="0.2">
      <c r="A96" s="117" t="s">
        <v>637</v>
      </c>
    </row>
    <row r="97" spans="1:1" s="23" customFormat="1" ht="22.7" customHeight="1" x14ac:dyDescent="0.2">
      <c r="A97" s="117" t="s">
        <v>570</v>
      </c>
    </row>
    <row r="98" spans="1:1" s="23" customFormat="1" ht="22.7" customHeight="1" x14ac:dyDescent="0.2">
      <c r="A98" s="117" t="s">
        <v>571</v>
      </c>
    </row>
    <row r="99" spans="1:1" s="23" customFormat="1" ht="22.7" customHeight="1" x14ac:dyDescent="0.2">
      <c r="A99" s="117" t="s">
        <v>594</v>
      </c>
    </row>
    <row r="100" spans="1:1" s="23" customFormat="1" ht="22.7" customHeight="1" x14ac:dyDescent="0.2">
      <c r="A100" s="117" t="s">
        <v>595</v>
      </c>
    </row>
    <row r="101" spans="1:1" s="23" customFormat="1" ht="22.7" customHeight="1" x14ac:dyDescent="0.2">
      <c r="A101" s="117" t="s">
        <v>644</v>
      </c>
    </row>
    <row r="102" spans="1:1" s="23" customFormat="1" ht="22.7" customHeight="1" x14ac:dyDescent="0.2">
      <c r="A102" s="117" t="s">
        <v>381</v>
      </c>
    </row>
    <row r="103" spans="1:1" s="23" customFormat="1" ht="22.7" customHeight="1" x14ac:dyDescent="0.2">
      <c r="A103" s="117" t="s">
        <v>382</v>
      </c>
    </row>
    <row r="104" spans="1:1" s="23" customFormat="1" ht="22.7" customHeight="1" x14ac:dyDescent="0.2">
      <c r="A104" s="117" t="s">
        <v>383</v>
      </c>
    </row>
    <row r="105" spans="1:1" s="23" customFormat="1" ht="22.7" customHeight="1" x14ac:dyDescent="0.2">
      <c r="A105" s="117" t="s">
        <v>648</v>
      </c>
    </row>
    <row r="106" spans="1:1" s="23" customFormat="1" ht="22.7" customHeight="1" x14ac:dyDescent="0.2">
      <c r="A106" s="117" t="str">
        <f>Tab28b!A3</f>
        <v>Table 28. Occupational distribution of holder by sex and total area of holding (Continued)</v>
      </c>
    </row>
    <row r="107" spans="1:1" s="23" customFormat="1" ht="30.6" customHeight="1" x14ac:dyDescent="0.2">
      <c r="A107" s="117" t="s">
        <v>406</v>
      </c>
    </row>
    <row r="108" spans="1:1" s="23" customFormat="1" ht="30.6" customHeight="1" x14ac:dyDescent="0.2">
      <c r="A108" s="117" t="s">
        <v>406</v>
      </c>
    </row>
    <row r="109" spans="1:1" s="23" customFormat="1" ht="28.35" customHeight="1" x14ac:dyDescent="0.2">
      <c r="A109" s="117" t="s">
        <v>656</v>
      </c>
    </row>
    <row r="110" spans="1:1" s="23" customFormat="1" ht="22.7" customHeight="1" x14ac:dyDescent="0.2">
      <c r="A110" s="117" t="s">
        <v>660</v>
      </c>
    </row>
    <row r="111" spans="1:1" s="23" customFormat="1" ht="22.7" customHeight="1" x14ac:dyDescent="0.2">
      <c r="A111" s="118" t="s">
        <v>474</v>
      </c>
    </row>
    <row r="112" spans="1:1" s="23" customFormat="1" ht="22.7" customHeight="1" x14ac:dyDescent="0.2">
      <c r="A112" s="117" t="s">
        <v>665</v>
      </c>
    </row>
    <row r="113" spans="1:1" s="23" customFormat="1" ht="30.6" customHeight="1" x14ac:dyDescent="0.2">
      <c r="A113" s="117" t="s">
        <v>685</v>
      </c>
    </row>
    <row r="114" spans="1:1" s="23" customFormat="1" ht="22.7" customHeight="1" x14ac:dyDescent="0.2">
      <c r="A114" s="117" t="s">
        <v>579</v>
      </c>
    </row>
    <row r="115" spans="1:1" s="23" customFormat="1" ht="22.7" customHeight="1" x14ac:dyDescent="0.2">
      <c r="A115" s="117" t="s">
        <v>572</v>
      </c>
    </row>
    <row r="116" spans="1:1" s="23" customFormat="1" ht="31.7" customHeight="1" x14ac:dyDescent="0.2">
      <c r="A116" s="117" t="s">
        <v>678</v>
      </c>
    </row>
    <row r="117" spans="1:1" s="23" customFormat="1" ht="22.7" customHeight="1" x14ac:dyDescent="0.2">
      <c r="A117" s="117" t="s">
        <v>679</v>
      </c>
    </row>
    <row r="118" spans="1:1" s="23" customFormat="1" ht="22.7" customHeight="1" x14ac:dyDescent="0.2">
      <c r="A118" s="117" t="s">
        <v>682</v>
      </c>
    </row>
    <row r="119" spans="1:1" s="23" customFormat="1" ht="30" customHeight="1" x14ac:dyDescent="0.2">
      <c r="A119" s="117" t="s">
        <v>520</v>
      </c>
    </row>
    <row r="120" spans="1:1" s="23" customFormat="1" ht="29.45" customHeight="1" x14ac:dyDescent="0.2">
      <c r="A120" s="117" t="s">
        <v>521</v>
      </c>
    </row>
    <row r="121" spans="1:1" s="23" customFormat="1" ht="31.35" customHeight="1" x14ac:dyDescent="0.2">
      <c r="A121" s="117" t="s">
        <v>522</v>
      </c>
    </row>
  </sheetData>
  <hyperlinks>
    <hyperlink ref="A6" location="Tab01_Area!A1" display="Table 1. Number, area and fragmentation of holdings by total area of holding" xr:uid="{8BE45C6E-99E0-44D8-883A-91CBF65DEC1D}"/>
    <hyperlink ref="A7" location="Tab02a_Tenure!A1" display="Table 2. Number, area of holdings by tenure and total area of holding" xr:uid="{8C7AD236-D7D3-420F-8954-6289949B7E62}"/>
    <hyperlink ref="A8" location="Tab02b_Tenure!A1" display="Table 2a. Number, area of holdings by tenure and total area of holding " xr:uid="{16A5433C-18FB-42CC-BEA4-5B4547AFD221}"/>
    <hyperlink ref="A9" location="Tab02c_Tenure!A1" display="Table 2b. Number, area of holdings by tenure and total area of holding " xr:uid="{07136820-7554-45B4-A574-608C502965C3}"/>
    <hyperlink ref="A10" location="Tab03a_landUse!A1" display="Table 3. Number, area and land use by total area of holding " xr:uid="{A0192DF0-36BA-43BA-832F-01284D0127CB}"/>
    <hyperlink ref="A11" location="Tab03b_LandUse!A1" display="Table 3. Number, area and land use by total area of holding (Continued)" xr:uid="{13891FFC-34FF-4C1B-BDC5-4B1DEE0F8E42}"/>
    <hyperlink ref="A12" location="Tab04_Irrigation!A1" display="Table 4. Number, area, number of holdings reporting and area irrigated by source of irrigation and total area of holding " xr:uid="{E9465F9F-B830-4F6F-A7A3-9A2CAB0BF023}"/>
    <hyperlink ref="A13" location="Tab04a_Rented_out!A1" display="Table 4a. Number and area of holdings reporting rented out land to other by total area of holding" xr:uid="{2C4ECC6B-498E-4485-970B-4B50DB376B00}"/>
    <hyperlink ref="A14" location="Tab05_Crop_Type!A1" display="Table 5. Number, area of holdings and crop stand by total area of holding" xr:uid="{84EB3D04-F918-473F-94FA-1FE18EC57939}"/>
    <hyperlink ref="A15" location="Tab06_TempCrop!A1" display="Table 6. Number, area of holdings, number of holdings reporting and area under temporary crops by total area of holding" xr:uid="{234AF711-3ACA-4A4D-8D14-C0F1EA478EF8}"/>
    <hyperlink ref="A16" location="Tab06a_TCrop!A1" display="Table 6a. Number of holdings reporting and area under different temporary crops by total area of holding (paddy, wheat, maize)" xr:uid="{93641F26-D77C-49CC-AFC2-391FAC2AF953}"/>
    <hyperlink ref="A17" location="Tab06b_Tcrop!A1" display="Table 6b. Number of holdings reporting and area under different temporary crops by total area of holding " xr:uid="{4C6E6EA4-BD5F-4E68-BA50-3F29DD2D31C3}"/>
    <hyperlink ref="A18" location="Tab06c_Tcrop!A1" display="Table 6c. Number of holdings reporting and area under different temporary crops by total area of holding " xr:uid="{FE9ED3EB-8F88-44EA-B62E-BEFC07ACABCE}"/>
    <hyperlink ref="A19" location="Tab06d_Tcrop!A1" display="Table 6d. Number of holdings reporting and area under different temporary crops by total area of holding  " xr:uid="{C5A99A63-2656-4132-AF90-C0F22F8B395B}"/>
    <hyperlink ref="A20" location="Tab06e_Tcrop!A1" display="Table 6e. Number of holdings reporting and area under different temporary crops by total area of holding " xr:uid="{733114FB-02A2-469C-B8F6-E4D65BA82437}"/>
    <hyperlink ref="A21" location="Tab06f_Tcrop!A1" display="Table 6f. Number of holdings reporting and area under different temporary crops by total area of holding " xr:uid="{4151FA98-91E7-43B2-AF64-30199E1D37E1}"/>
    <hyperlink ref="A22" location="Tab06g_Tcrop!A1" display="Table 6g. Number of holdings reporting and area under different temporary crops by total area of holding" xr:uid="{D86D6525-6B21-41AD-9A02-56EE5A99B122}"/>
    <hyperlink ref="A23" location="Tab07_PermCrop!A1" display="Table 7. Plantation features and ages of different permanent crops by total area of holding " xr:uid="{943E611B-AA3C-45B2-B15D-33C1FFBCF31C}"/>
    <hyperlink ref="A24" location="Tab07_1_Orange!A1" display="Table 7_1. Plantation features and ages of orange by total area of holding" xr:uid="{E9FEE411-5C75-4948-B090-08DAAE1B3423}"/>
    <hyperlink ref="A25" location="Tab07_2_Junar!A1" display="Table 7_2. Plantation features and ages of junar by total area of holding" xr:uid="{FEAE9FD1-2907-43EC-9093-2C21265F22E8}"/>
    <hyperlink ref="A26" location="Tab07_3_Lemon!A1" display="Table 7_3. Plantation features and ages of lemon by total area of holding" xr:uid="{DF399B01-CC8D-4AC3-97C7-14A836DFB2B6}"/>
    <hyperlink ref="A27" location="Tab07_4_Lime!A1" display="Table 7_4. Plantation features and ages of lime by total area of holding" xr:uid="{7A55581A-2D24-48BA-9871-4ECDF47EE6E4}"/>
    <hyperlink ref="A28" location="Tab07_5_SweetOrange!A1" display="Table 7_5. Plantation features and ages of sweet orange by total area of holding" xr:uid="{F24850D8-2802-49CF-8804-33599137F89A}"/>
    <hyperlink ref="A29" location="Tab07_6_OCitrus!A1" display="Table 7_6. Plantation features and ages of other citrus by total area of holding" xr:uid="{E8206BB1-5D30-43AA-8C43-648D632C4635}"/>
    <hyperlink ref="A30" location="Tab07_7_Mango!A1" display="Table 7_7. Plantation features and ages of mango by total area of holding" xr:uid="{15B9B649-5FD5-4E2E-AFA9-350177C7F303}"/>
    <hyperlink ref="A31" location="Tab07_8_Banana!A1" display="Table 7_8. Plantation features and ages of banana by total area of holding" xr:uid="{B3DDE602-7588-4A64-9967-D297939E8451}"/>
    <hyperlink ref="A32" location="Tab07_9_Guava!A1" display="Table 7_9. Plantation features and ages of guava by total area of holding" xr:uid="{47D6605A-5404-4FB0-B14E-57F0B9F421F0}"/>
    <hyperlink ref="A33" location="Tab07_10_JackFruit!A1" display="Table 7_10. Plantation features and ages of jackfruit by total area of holding" xr:uid="{DE6E3AA0-3D10-4468-8D39-E458543DF0DF}"/>
    <hyperlink ref="A34" location="Tab07_11_Pineapple!A1" display="Table 7_11. Plantation features and ages of pineapple by total area of holding" xr:uid="{4438166F-B6B5-4710-A33C-1A7E8E5CB8A1}"/>
    <hyperlink ref="A35" location="Tab07_12_Lychee!A1" display="Table 7_12. Plantation features and ages of lychee by total area of holding" xr:uid="{AF754CA1-0267-4566-924C-BE5046DC18F2}"/>
    <hyperlink ref="A36" location="Tab07_13_Apple!A1" display="Table 7_13. Plantation features and ages of apple by total area of holding" xr:uid="{26B7116F-0BCA-4F68-B983-5193A8F479C1}"/>
    <hyperlink ref="A37" location="Tab07_14_Pear!A1" display="Table 7_14. Plantation features and ages of pear by total area of holding" xr:uid="{681D04B7-E374-4635-97CF-E2E1FDD296D4}"/>
    <hyperlink ref="A38" location="Tab07_15_Peach!A1" display="Table 7_15. Plantation features and ages of peach by total area of holding" xr:uid="{8E08FAA5-C18A-46F1-BCD2-D611072153EA}"/>
    <hyperlink ref="A39" location="Tab07_16_Papaya!A1" display="Table 7_16. Plantation features and ages of papaya by total area of holding" xr:uid="{BF8DD4D0-A1D9-4087-AA88-C8111B459BF4}"/>
    <hyperlink ref="A40" location="Tab07_17!A1" display="Table 7_17. Plantation features and ages of pomegranate by total area of holding" xr:uid="{1D16E56F-CA81-42D3-B95B-D544C13ABD67}"/>
    <hyperlink ref="A41" location="Tab07_18!A1" display="Table 7_18. Plantation features and ages of coconut by total area of holding" xr:uid="{5F74C234-06EE-4071-AE40-B5818D3B55D2}"/>
    <hyperlink ref="A42" location="Tab07_19!A1" display="Table 7_19. Plantation features and ages of walnut by total area of holding" xr:uid="{BB1A13C5-6BAC-416C-BE06-3C3EBFB7DC06}"/>
    <hyperlink ref="A43" location="Tab07_20!A1" display="Table 7_20. Plantation features and ages of betel nut by total area of holding" xr:uid="{3B7DD6B3-6F83-4B3A-BA1A-3B3A0B3AC072}"/>
    <hyperlink ref="A44" location="Tab07_21!A1" display="Table 7_21. Plantation features and ages of kiwifruit by total area of holding" xr:uid="{E87668A2-D5E0-4D1D-8D9A-FD29FDF9F9C1}"/>
    <hyperlink ref="A45" location="Tab07_22!A1" display="Table 7_22. Plantation features and ages of avocado by total area of holding" xr:uid="{1E2098AB-0E2C-406C-A3B4-61F1B35D44E1}"/>
    <hyperlink ref="A46" location="Tab07_23!A1" display="Table 7_23. Plantation features and ages of plum by total area of holding" xr:uid="{8FF250FA-02C2-4369-8002-A5A2A7506624}"/>
    <hyperlink ref="A47" location="Tab07_24!A1" display="Table 7_24. Plantation features and ages of other fruit by total area of holding" xr:uid="{54F50FA7-4F32-4B7C-97E0-CA8A1530F842}"/>
    <hyperlink ref="A48" location="Tab07_25_Tea!A1" display="Table 7_25. Plantation features and ages of tea by total area of holding" xr:uid="{3AEEFFB2-AFFF-473A-A9A4-032094ABF3C9}"/>
    <hyperlink ref="A49" location="Tab07_26_Coffee!A1" display="Table 7_26. Plantation features and ages of coffee by total area of holding" xr:uid="{F549A792-8175-4686-88B4-52AB0BA455DB}"/>
    <hyperlink ref="A50" location="Tab07_27!A1" display="Table 7_27. Plantation features and ages of cardamom by total area of holding" xr:uid="{3804089A-B534-4268-BECE-B11BDA159565}"/>
    <hyperlink ref="A51" location="Tab07_28_FodderTree!A1" display="Table 7_28. Plantation features and ages of fodder tree and multi-year grass crop by total area of holding" xr:uid="{D900B7A8-D657-4895-944E-C4E96F21339F}"/>
    <hyperlink ref="A52" location="Tab07_29_Bamboo!A1" display="Table 7_29. Plantation features of broom-grass (amriso), thatch, bamboo and other permanent crops by total area of holding" xr:uid="{B7E61862-611E-42DB-BD61-D5A4D1914447}"/>
    <hyperlink ref="A53" location="Tab08_Input_Paddy!A1" display="Table 8. Number, area of holdings, number of holdings reporting, use of agricultural inputs, area treated with and quantity of chemical/mineral fertilizer used by total area of holding (Paddy)" xr:uid="{357F474A-CAFA-46A9-AACC-35CDE03407F7}"/>
    <hyperlink ref="A54" location="Tab08a_Maize!A1" display="Table 8. Number, area of holdings, number of holdings reporting, use of agricultural inputs, area treated with and quantity of chemical/mineral fertilizer used by total area of holding (Continued 1) (Maize)" xr:uid="{D12B27CC-0AC1-4AF7-A44B-42D6A58BE134}"/>
    <hyperlink ref="A55" location="Tab08b_Wheat!A1" display="Table 8. Number, area of holdings, number of holdings reporting, use of agricultural inputs, area treated with and quantity of chemical/mineral fertilizer used by total area of holding (Continued 2) (Wheat)" xr:uid="{9EDB2976-47CC-459C-BDC8-BBBEC469A68A}"/>
    <hyperlink ref="A56" location="Tab08c_Potato!A1" display="Table 8. Number, area of holdings, number of holdings reporting, use of agricultural inputs, area treated with and quantity of chemical/mineral fertilizer used by total area of holding (Continued 3) (Potato)" xr:uid="{ACC98F01-3A5A-4980-AA6C-7C417A744757}"/>
    <hyperlink ref="A57" location="Tab08d_Vegetable!A1" display="Table 8. Number, area of holdings, number of holdings reporting, use of agricultural inputs, area treated with and quantity of chemical/mineral fertilizer used by total area of holding (Continued 4) (Vegetable)" xr:uid="{3B295CED-0A0A-4B52-BAD7-DEBEABC14FBC}"/>
    <hyperlink ref="A58" location="Tab08e_Othercrop!A1" display="Table 8. Number, area of holdings, number of holdings reporting, use of agricultural inputs, area treated with and quantity of chemical/mineral fertilizer used by total area of holding (Continued 5) (Other crop)" xr:uid="{AFCDC380-1F4D-4A56-9225-375E87AF3FCE}"/>
    <hyperlink ref="A59" location="Tab09_lvst_sum1!A1" display="Table 9. Number of heads, number of holdings reporting livestock according to age, sex and breed by total area of holding" xr:uid="{661A1833-A924-412F-B30E-E3B2426BB05B}"/>
    <hyperlink ref="A60" location="Tab09_lvst_sum2!A1" display="Table 9. Number of heads, number of holdings reporting livestock according to age, sex and breed by total area of holding (Continued)" xr:uid="{901BD302-5376-4C5A-AD5B-55238AB79398}"/>
    <hyperlink ref="A61" location="Tab09a_Cattle!A1" display="Table 9a. Number of heads, number of holdings reporting livestocks according to age, sex and breed by total area of holding (cattle under 1 year)" xr:uid="{92D8B055-E273-42AA-A73D-C27D9D4D0918}"/>
    <hyperlink ref="A62" location="Tab09a1!A1" display="Table 9a. Number of heads, number of holdings reporting livestocks according to age, sex and breed by total area of holding (Continued 1) (cattle 1 to 3 year)" xr:uid="{3B3A6B14-87F8-4C50-A481-AFCA3DF176EC}"/>
    <hyperlink ref="A63" location="Tab09a2!A1" display="Table 9a. Number of heads, number of holdings reporting livestocks according to age, sex and breed by total area of holding (Continued 2) (cattle 3 years and above)" xr:uid="{CCB486A1-A745-466B-AC24-50ACADE38F9A}"/>
    <hyperlink ref="A65" location="Tab09c_Buffalo!A1" display="Table 9c. Number of heads, number of holdings reporting livestocks according to age, sex and breed by total area of holding (cattle under 1 year)" xr:uid="{4CA35FDB-E207-4ED9-9591-9A3D55A1C366}"/>
    <hyperlink ref="A66" location="Tab09c1!A1" display="Table 9c. Number of heads, number of holdings reporting livestocks according to age, sex and breed by total area of holding (Continued 1) (cattle 1 to 3 year)" xr:uid="{FE2610FE-9331-42D1-8E16-E4F03F555591}"/>
    <hyperlink ref="A67" location="Tab09c2!A1" display="Table 9c. Number of heads, number of holdings reporting livestocks according to age, sex and breed by total area of holding (Continued 2)  (cattle 3 years and above)" xr:uid="{349B9420-4423-4882-B85E-B817FDDE2CDE}"/>
    <hyperlink ref="A68" location="Tab09d_Goat!A1" display="Table 9d. Number of heads, number of holdings reporting livestocks according to age and sex and breed by total area of holding (goat under 6 month) " xr:uid="{0107F797-E198-462F-9339-834059667D2D}"/>
    <hyperlink ref="A69" location="Tab09d1!A1" display="Table 9d. Number of heads, number of holdings reporting livestocks according to age and sex and breed by total area of holding (Continued) (goat 6 month and above)" xr:uid="{9DBAC545-A5E2-47B8-8825-6A2C4008B142}"/>
    <hyperlink ref="A70" location="Tab09e_Chyangra!A1" display="Table 9e. Number of heads, number of holdings reporting livestocks according to age and sex and breed by total area of holding (Cyangra)" xr:uid="{52239B05-2EAC-46F9-BEBB-BFB7565850B6}"/>
    <hyperlink ref="A71" location="Tab09f_Sheep!A1" display="Table 9f. Number of heads, number of holdings reporting livestocks according to age and sex and breed by total area of holding (sheep under 6 month) " xr:uid="{80977CA7-3C6C-45FC-B686-05B3A50FC675}"/>
    <hyperlink ref="A72" location="Tab09f1!A1" display="Table 9f. Number of heads, number of holdings reporting livestocks according to age and sex and breed by total area of holding (Continued) (sheep 6 month and above)" xr:uid="{B623838B-38C1-4841-AD51-5F56849953C4}"/>
    <hyperlink ref="A73" location="Tab09g_Pig!A1" display="Table 9g. Number of heads, number of holdings reporting livestocks according to age and sex and breed by total area of holding (pig)" xr:uid="{6AB10F0B-4D0E-44E0-9A48-4D3DF790A5CE}"/>
    <hyperlink ref="A74" location="Tab10_Feeding!A1" display="Table 10. Number of holdings reporting major feeding practice for livestocks by total area of holding " xr:uid="{F51A5FAA-0AA6-46D0-A6EF-85EBF0A679C8}"/>
    <hyperlink ref="A75" location="Tab11_Poultry!A1" display="Table 11. Number and number of holdings reporting different type of birds by total area of holding" xr:uid="{B4EB75C2-3C7B-4E58-A08D-48190D28BE60}"/>
    <hyperlink ref="A76" location="Tab11a!A1" display="Table 11. Number and number of holdings reporting different type of birds by total area of holding (continued)" xr:uid="{D9A4DC55-1C37-4499-936C-A627F6811980}"/>
    <hyperlink ref="A77" location="Tab12_feed_Pol!A1" display="Table 12. Number of holdings reporting major feeding practice for the poultry by total area of holding " xr:uid="{CA44E27A-2B30-4896-AB28-C9EE1B623F74}"/>
    <hyperlink ref="A78" location="Tab13_building!A1" display="Table 13. Number of holdings reporting the use and number of non-residential buildings by ownership and structure by total area of holding " xr:uid="{49C09037-70B0-4095-98D4-5D59272755DC}"/>
    <hyperlink ref="A79" location="Tab13a!A1" display="Table 13. Number of holdings reporting the use and number of non-residential buildings by ownership and structure by total area of holding (Continued)" xr:uid="{7D9BBD1F-15B1-4663-B41B-71EF0DD212CF}"/>
    <hyperlink ref="A80" location="Tab14_equipment!A1" display="Table 14. Number, area of holdings, number of agricultural implements and other facilities according to source by total area of holding" xr:uid="{AB7CDBBA-D431-4AD4-911B-2326F8754407}"/>
    <hyperlink ref="A81" location="Tab14a!A1" display="Table 14. Number, area of holdings, number of agricultural implements and other facilities according to source by total area of holding (Continued 1)" xr:uid="{2BECC22A-35A5-46FB-AE26-9339CB776514}"/>
    <hyperlink ref="A82" location="Tab14b!A1" display="Table 14. Number, area of holdings, number of agricultural implements and other facilities according to source by total area of holding (Continued 2)" xr:uid="{702326D9-420A-44B5-92A3-DC8421E5E005}"/>
    <hyperlink ref="A83" location="Tab14c!A1" display="Table 14. Number, area of holdings, number of agricultural implements and other facilities according to source by total area of holding (Continued 3)" xr:uid="{77A9767B-9087-4CD8-AFE9-0B57EBA880F4}"/>
    <hyperlink ref="A84" location="Tab14d!A1" display="Table 14. Number, area of holdings, number of agricultural implements and other facilities according to source by total area of holding (Continued 4)" xr:uid="{6DA70F66-7A41-484A-B21F-F9B9C0BC0B20}"/>
    <hyperlink ref="A85" location="Tab14e!A1" display="Table 14. Number, area of holdings, number of agricultural implements and other facilities according to source by total area of holding (Continued 5)" xr:uid="{16D4A0AD-C22E-4EBD-808F-593F5688E8EC}"/>
    <hyperlink ref="A86" location="Tab15_ancillary!A1" display="Table 15. Number, area of holdings reporting fish farming and  number of holdings reporting mushroom, bee keeping and flower/nursery farming by total area of holding" xr:uid="{86E800B5-3DE5-4D19-9E32-F2A7D8756121}"/>
    <hyperlink ref="A87" location="Tab16a_labour!A1" display="Table 16. Number of holdings by type of employment of agricultural workers by sex and total area of holding" xr:uid="{B1EAB719-B83D-4148-B91E-2CFAE83F7E9A}"/>
    <hyperlink ref="A88" location="Tab16b!A1" display="Table 16. Number of holdings by type of employment of agricultural workers by sex and total area of holding (continued)" xr:uid="{EC3A052D-E3C7-4A81-B430-E1D8BC5D43B2}"/>
    <hyperlink ref="A89" location="Tab17_loan!A1" display="Table 17. Number of holdings reporting agricultural loan by source and total area of holding" xr:uid="{D9CCE795-64D1-4D4B-8854-7065F4E3CEA6}"/>
    <hyperlink ref="A90" location="Tab17a!A1" display="Table 17a. Number of holdings reporting need for agricultural loan/additional loan by main purpose and total area of holding" xr:uid="{CA17180F-8E0A-45C5-A54B-69F0FD9B4340}"/>
    <hyperlink ref="A91" location="Tab18_insurance!A1" display="Table 18. Number of holdings reporting insurance for different type of agricultural activities by total area of holding" xr:uid="{36D8C968-C69F-4266-853F-04D241526435}"/>
    <hyperlink ref="A92" location="Tab19_subsidy!A1" display="Table 19. Number of holdings received government subsidy according to agricultural activities by total area of holding" xr:uid="{A88DE4E6-C6E4-4E00-B8C8-F6D4D0E33EF7}"/>
    <hyperlink ref="A93" location="Tab20_soil!A1" display="Table 20. Number, area of holdings and number of holdings reporting agro-forestry practice, soil degradation and soil test on the holding by total area of holding " xr:uid="{85D0DAC0-FBF9-4E37-B804-235CC4152872}"/>
    <hyperlink ref="A94" location="Tab21_tunnel!A1" display="Table 21. Number, area of holdings and number of holdings reporting green house/tunnel farming practice on the holding by total area of holding " xr:uid="{97383FAE-F551-4840-B6BB-6F655C771996}"/>
    <hyperlink ref="A95" location="Tab22_climate!A1" display="Table 22. Number of holding reporting know about climate changes and its impact on agriculture by total area of holding " xr:uid="{5AA03702-31F6-4E88-99D5-E138A99E2BAC}"/>
    <hyperlink ref="A96" location="Tab23_waste!A1" display="Table 23. Number of holdings reporting agricultural waste management by total area of holding " xr:uid="{E85A9964-E2D3-4C48-A77E-E4E9B106CBC4}"/>
    <hyperlink ref="A97" location="'Tab24a_holder by age sex'!A1" display="Table 24. Number of holdings reporting by holder's age, sex and total area of holding" xr:uid="{60E451AF-25AA-45F2-9F4A-DD03757D7343}"/>
    <hyperlink ref="A98" location="Tab24b!A1" display="Table 24. Number of holdings reporting by holder's age, sex and total area of holding (Continued)" xr:uid="{A1994FF2-745A-49DE-B135-30260EC2E475}"/>
    <hyperlink ref="A99" location="'Tab25a_area of holder'!A1" display="Table 25. Area of holdings reporting by holder's age, sex and total area of holding" xr:uid="{C1086EFF-6A1D-4C5B-A49D-9653A3ABBBC3}"/>
    <hyperlink ref="A100" location="Tab25b!A1" display="Table 25. Area of holdings reporting by holder's age, sex and total area of holding (Continued )" xr:uid="{EB0BF0E2-7256-4CCB-A2D1-9747D6ACB732}"/>
    <hyperlink ref="A101" location="'Tab26a_farm pop'!A1" display="Table 26. Farm population by age, sex and total area of holding" xr:uid="{B84D72BF-6559-4551-8FA6-33D1D4D6E693}"/>
    <hyperlink ref="A102" location="Tab26b!A1" display="Table 26. Farm Population by age, sex and total area of holding (Continued)" xr:uid="{93FA757C-6CD9-40FC-A29D-80A5A463DC50}"/>
    <hyperlink ref="A103" location="Tab27a_education!A1" display="Table 27. Education attainment of the farm population (5 years and above) by sex and total area of holding " xr:uid="{BFCE27B1-1BE4-44D5-AD9D-69F6316B6F44}"/>
    <hyperlink ref="A104" location="Tab27b!A1" display="Table 27. Education attainment of the farm population (5 years and above) by sex and total area of holding (Continued)" xr:uid="{8FCF0538-B0C0-45B2-B5B0-7C391A0A448B}"/>
    <hyperlink ref="A105" location="'Tab28a_occupation holder'!A1" display="Table 28. Occupational distribution of holder by sex  and total area of holding " xr:uid="{31A87810-892E-47F3-A594-A04075751817}"/>
    <hyperlink ref="A106" location="Tab28b!A1" display="Tab28b!A1" xr:uid="{CCAECFFB-CC99-4792-91EE-57E7572B1708}"/>
    <hyperlink ref="A107" location="Tab29a_occupation_other!A1" display="Table 29. Occupational distribution of farm population other than holder (10 years and above)  by sex  and total area of holding (Continued)" xr:uid="{46A36AEA-9BDB-46EF-9CD7-02B6A54C1409}"/>
    <hyperlink ref="A108" location="Tab29b!A1" display="Table 29. Occupational distribution of farm population other than holder (10 years and above)  by sex  and total area of holding (Continued)" xr:uid="{3A691EA6-FA3A-4D1E-AE6C-16C4234F5F5B}"/>
    <hyperlink ref="A109" location="'Tab30_time spent'!A1" display="Table 30. Training received on agriculture, participation in decision making and spending time on agriculture of the farm population (10 years and above) by sex  and total area of holding  " xr:uid="{21F269B7-2DA3-413E-AEF6-14F449DD3754}"/>
    <hyperlink ref="A110" location="'Tab31_head of hhld'!A1" display="Table 31. Number of holdings reporting holder as head of the household, status of the holding by total area of holding " xr:uid="{3BDCF107-10C9-4D0F-A29C-D426291C7343}"/>
    <hyperlink ref="A111" location="'Tab32_main prod'!A1" display="Table 32. Number of holdings reporting main production of the holdings by total area  of  holding " xr:uid="{677B7B43-696D-46D2-9C59-EAFAF414BE7A}"/>
    <hyperlink ref="A112" location="'Tab33_use of prod'!A1" display="Table 33. Number of holdings reporting main use of agriculture production from the holdings by total area  of  holding " xr:uid="{07D67580-6C1D-41AC-BD41-5012269A871E}"/>
    <hyperlink ref="A113" location="Tab34_registered!A1" display="Table 34. Number of holdings reporting agriculture activity registered in government agency and type of registered activties operated by the holding and total area of holding " xr:uid="{C58E3F62-7231-4F6F-BE8C-D40C20248617}"/>
    <hyperlink ref="A114" location="'Tab35_food sufficiency'!A1" display="Table 35. Number of holdings reporting  main source of income and sufficiency of income by total area of holding" xr:uid="{FFFCBF0F-FE25-44A3-88E3-AADEC879714A}"/>
    <hyperlink ref="A115" location="Tab36_month!A1" display="Table 36. Number of holdings reporting  name of month for insufficient food shortage by total area of holdings" xr:uid="{15C87EE5-DEA0-4D66-BA41-96632EBD59EC}"/>
    <hyperlink ref="A116" location="'Tab36a_period of insuff'!A1" display="Table 36a. Number of holdings reporting wheather agricultural/livestock produce is sufficient, period of insufficiency and income sources of insufficiency by total area of holding" xr:uid="{AD277B51-0A4F-49FC-926F-67FD9CB708A5}"/>
    <hyperlink ref="A117" location="Tab37a_oth_activity!A1" display="Table 37. Number of holdings reporting  other main economic production activity by total area of holdings" xr:uid="{8A162219-F4D2-4878-8DF3-C2D9ED16AB43}"/>
    <hyperlink ref="A118" location="Tab37b!A1" display="Table 37. Number of holdings reporting  other main economic production activity by total area of holdings (continued)" xr:uid="{E6910648-B6BD-4108-9DA5-3D808DAA8C7E}"/>
    <hyperlink ref="A119" location="'Tab38a_market access'!A1" display="Table 38. Number of holdings reporting time taken to reach the nearest agriculture market by mode of transport and total area of holding" xr:uid="{859132F0-354A-490F-8CC1-E6A73B1CF228}"/>
    <hyperlink ref="A120" location="Tab38b!A1" display="Table 38. Number of holdings reporting time taken to reach the nearest agriculture market by mode of transport and total area of holding (Continued 1)" xr:uid="{5C93BFBE-D19B-4DE9-9E01-5166BB6B174E}"/>
    <hyperlink ref="A121" location="Tab38c!A1" display="Table 38. Number of holdings reporting time taken to reach the nearest agriculture market by mode of transport and total area of holding (Continued 2)" xr:uid="{05E23492-FB4C-4C0B-B5FF-518515F88172}"/>
    <hyperlink ref="A64" location="Tab9b_Chauri!A1" display="Table 9b. Number of heads, number of holdings reporting livestock according to age, sex and breed by total area of holding (Chauri)" xr:uid="{0299D410-3B0C-4429-AE81-C84EA7E621D3}"/>
  </hyperlinks>
  <pageMargins left="0.39370078740157483" right="0.27559055118110237" top="0.34" bottom="0.22" header="0.31496062992125984" footer="0.21"/>
  <pageSetup scale="95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5DC7-0350-4F29-9EC3-E5A5C4D90BAE}">
  <sheetPr codeName="Sheet1"/>
  <dimension ref="A1:L22"/>
  <sheetViews>
    <sheetView zoomScale="76" zoomScaleNormal="150" workbookViewId="0">
      <selection sqref="A1:L1"/>
    </sheetView>
  </sheetViews>
  <sheetFormatPr defaultRowHeight="12.75" x14ac:dyDescent="0.2"/>
  <cols>
    <col min="1" max="1" width="24.85546875" customWidth="1"/>
    <col min="2" max="2" width="10" customWidth="1"/>
    <col min="3" max="4" width="12.42578125" bestFit="1" customWidth="1"/>
    <col min="5" max="6" width="11.85546875" customWidth="1"/>
    <col min="7" max="7" width="9.140625" bestFit="1" customWidth="1"/>
    <col min="8" max="8" width="10.140625" bestFit="1" customWidth="1"/>
    <col min="9" max="9" width="11.5703125" bestFit="1" customWidth="1"/>
    <col min="10" max="11" width="10.140625" bestFit="1" customWidth="1"/>
    <col min="12" max="12" width="8.42578125" customWidth="1"/>
  </cols>
  <sheetData>
    <row r="1" spans="1:12" s="5" customFormat="1" x14ac:dyDescent="0.2">
      <c r="A1" s="119" t="s">
        <v>33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s="5" customFormat="1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 t="s">
        <v>32</v>
      </c>
    </row>
    <row r="3" spans="1:12" s="5" customFormat="1" x14ac:dyDescent="0.2">
      <c r="A3" s="27" t="s">
        <v>29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s="1" customFormat="1" ht="18" customHeight="1" x14ac:dyDescent="0.2">
      <c r="A4" s="123" t="s">
        <v>30</v>
      </c>
      <c r="B4" s="122" t="s">
        <v>28</v>
      </c>
      <c r="C4" s="122"/>
      <c r="D4" s="122"/>
      <c r="E4" s="122"/>
      <c r="F4" s="122" t="s">
        <v>22</v>
      </c>
      <c r="G4" s="122"/>
      <c r="H4" s="122"/>
      <c r="I4" s="122"/>
      <c r="J4" s="122"/>
      <c r="K4" s="122"/>
      <c r="L4" s="122"/>
    </row>
    <row r="5" spans="1:12" s="1" customFormat="1" ht="13.5" customHeight="1" x14ac:dyDescent="0.2">
      <c r="A5" s="123"/>
      <c r="B5" s="121" t="s">
        <v>13</v>
      </c>
      <c r="C5" s="120" t="s">
        <v>21</v>
      </c>
      <c r="D5" s="120"/>
      <c r="E5" s="120"/>
      <c r="F5" s="121" t="s">
        <v>26</v>
      </c>
      <c r="G5" s="121" t="s">
        <v>27</v>
      </c>
      <c r="H5" s="120" t="s">
        <v>31</v>
      </c>
      <c r="I5" s="120"/>
      <c r="J5" s="120"/>
      <c r="K5" s="120"/>
      <c r="L5" s="120"/>
    </row>
    <row r="6" spans="1:12" s="1" customFormat="1" ht="27" customHeight="1" x14ac:dyDescent="0.2">
      <c r="A6" s="123"/>
      <c r="B6" s="121"/>
      <c r="C6" s="34" t="s">
        <v>14</v>
      </c>
      <c r="D6" s="34" t="s">
        <v>15</v>
      </c>
      <c r="E6" s="34" t="s">
        <v>16</v>
      </c>
      <c r="F6" s="121"/>
      <c r="G6" s="121"/>
      <c r="H6" s="72">
        <v>1</v>
      </c>
      <c r="I6" s="34" t="s">
        <v>17</v>
      </c>
      <c r="J6" s="34" t="s">
        <v>18</v>
      </c>
      <c r="K6" s="34" t="s">
        <v>19</v>
      </c>
      <c r="L6" s="34" t="s">
        <v>20</v>
      </c>
    </row>
    <row r="7" spans="1:12" s="6" customFormat="1" ht="20.45" customHeight="1" x14ac:dyDescent="0.2">
      <c r="A7" s="69" t="s">
        <v>0</v>
      </c>
      <c r="B7" s="70">
        <v>131504.2034342289</v>
      </c>
      <c r="C7" s="71">
        <v>5361.2265755049239</v>
      </c>
      <c r="D7" s="71">
        <v>3051.5922601392481</v>
      </c>
      <c r="E7" s="71">
        <v>8412.8188356442006</v>
      </c>
      <c r="F7" s="70">
        <v>144840.64248001523</v>
      </c>
      <c r="G7" s="71">
        <v>1.1014145456761499</v>
      </c>
      <c r="H7" s="70">
        <v>122135.5503026247</v>
      </c>
      <c r="I7" s="70">
        <v>8498.6954239606857</v>
      </c>
      <c r="J7" s="70">
        <v>577.23617029190063</v>
      </c>
      <c r="K7" s="70">
        <v>292.72153735160828</v>
      </c>
      <c r="L7" s="70">
        <v>0</v>
      </c>
    </row>
    <row r="8" spans="1:12" s="6" customFormat="1" ht="20.45" customHeight="1" x14ac:dyDescent="0.2">
      <c r="A8" s="29" t="s">
        <v>1</v>
      </c>
      <c r="B8" s="51">
        <v>3999284.9654890299</v>
      </c>
      <c r="C8" s="52">
        <v>1424619.4155035771</v>
      </c>
      <c r="D8" s="52">
        <v>785377.68422650162</v>
      </c>
      <c r="E8" s="52">
        <v>2209997.0997300968</v>
      </c>
      <c r="F8" s="51">
        <v>11439108.91961427</v>
      </c>
      <c r="G8" s="52">
        <v>2.8602885311563448</v>
      </c>
      <c r="H8" s="51">
        <v>931637.25396108627</v>
      </c>
      <c r="I8" s="51">
        <v>2014290.9612859488</v>
      </c>
      <c r="J8" s="51">
        <v>713449.93468296528</v>
      </c>
      <c r="K8" s="51">
        <v>291504.3077930212</v>
      </c>
      <c r="L8" s="51">
        <v>48402.507766008377</v>
      </c>
    </row>
    <row r="9" spans="1:12" ht="20.45" customHeight="1" x14ac:dyDescent="0.2">
      <c r="A9" s="30" t="s">
        <v>2</v>
      </c>
      <c r="B9" s="53">
        <v>425217.50214135647</v>
      </c>
      <c r="C9" s="54">
        <v>14676.118562818841</v>
      </c>
      <c r="D9" s="54">
        <v>10833.188196664991</v>
      </c>
      <c r="E9" s="54">
        <v>25509.306759483829</v>
      </c>
      <c r="F9" s="53">
        <v>619067.01303530007</v>
      </c>
      <c r="G9" s="54">
        <v>1.4558831889979484</v>
      </c>
      <c r="H9" s="53">
        <v>285996.96313631535</v>
      </c>
      <c r="I9" s="53">
        <v>127398.56476736069</v>
      </c>
      <c r="J9" s="53">
        <v>10031.949458360672</v>
      </c>
      <c r="K9" s="53">
        <v>1681.1158201694489</v>
      </c>
      <c r="L9" s="53">
        <v>108.90895915031433</v>
      </c>
    </row>
    <row r="10" spans="1:12" ht="20.45" customHeight="1" x14ac:dyDescent="0.2">
      <c r="A10" s="30" t="s">
        <v>3</v>
      </c>
      <c r="B10" s="53">
        <v>648449.97284579277</v>
      </c>
      <c r="C10" s="54">
        <v>53337.005889855995</v>
      </c>
      <c r="D10" s="54">
        <v>42962.332983158165</v>
      </c>
      <c r="E10" s="54">
        <v>96299.338873014785</v>
      </c>
      <c r="F10" s="53">
        <v>1327620.0742611925</v>
      </c>
      <c r="G10" s="54">
        <v>2.0473747086992513</v>
      </c>
      <c r="H10" s="53">
        <v>251265.4472976923</v>
      </c>
      <c r="I10" s="53">
        <v>332741.9373408556</v>
      </c>
      <c r="J10" s="53">
        <v>51126.035858392715</v>
      </c>
      <c r="K10" s="53">
        <v>12203.057021856308</v>
      </c>
      <c r="L10" s="53">
        <v>1113.4953269958496</v>
      </c>
    </row>
    <row r="11" spans="1:12" ht="20.45" customHeight="1" x14ac:dyDescent="0.2">
      <c r="A11" s="30" t="s">
        <v>4</v>
      </c>
      <c r="B11" s="53">
        <v>1430113.6145436764</v>
      </c>
      <c r="C11" s="54">
        <v>279357.85532347165</v>
      </c>
      <c r="D11" s="54">
        <v>198832.68521393256</v>
      </c>
      <c r="E11" s="54">
        <v>478190.54053741047</v>
      </c>
      <c r="F11" s="53">
        <v>3904710.3629548335</v>
      </c>
      <c r="G11" s="54">
        <v>2.7303497590999135</v>
      </c>
      <c r="H11" s="53">
        <v>271141.03058695793</v>
      </c>
      <c r="I11" s="53">
        <v>833232.23512244225</v>
      </c>
      <c r="J11" s="53">
        <v>242461.30279588699</v>
      </c>
      <c r="K11" s="53">
        <v>75344.320378184319</v>
      </c>
      <c r="L11" s="53">
        <v>7934.7256602048874</v>
      </c>
    </row>
    <row r="12" spans="1:12" ht="20.45" customHeight="1" x14ac:dyDescent="0.2">
      <c r="A12" s="30" t="s">
        <v>5</v>
      </c>
      <c r="B12" s="53">
        <v>945303.95051133633</v>
      </c>
      <c r="C12" s="54">
        <v>416995.87115838134</v>
      </c>
      <c r="D12" s="54">
        <v>243207.23084204624</v>
      </c>
      <c r="E12" s="54">
        <v>660203.10200041207</v>
      </c>
      <c r="F12" s="53">
        <v>3213268.4295176063</v>
      </c>
      <c r="G12" s="54">
        <v>3.3991907341331609</v>
      </c>
      <c r="H12" s="53">
        <v>94546.003480672836</v>
      </c>
      <c r="I12" s="53">
        <v>498053.46373009682</v>
      </c>
      <c r="J12" s="53">
        <v>239991.80217576027</v>
      </c>
      <c r="K12" s="53">
        <v>98443.948873281479</v>
      </c>
      <c r="L12" s="53">
        <v>14268.732251524925</v>
      </c>
    </row>
    <row r="13" spans="1:12" ht="20.45" customHeight="1" x14ac:dyDescent="0.2">
      <c r="A13" s="30" t="s">
        <v>6</v>
      </c>
      <c r="B13" s="53">
        <v>427038.72920608521</v>
      </c>
      <c r="C13" s="54">
        <v>385539.10918117192</v>
      </c>
      <c r="D13" s="54">
        <v>190807.64995654131</v>
      </c>
      <c r="E13" s="54">
        <v>576346.75913770939</v>
      </c>
      <c r="F13" s="53">
        <v>1756680.5670069372</v>
      </c>
      <c r="G13" s="54">
        <v>4.1136329022728484</v>
      </c>
      <c r="H13" s="53">
        <v>24306.40468621254</v>
      </c>
      <c r="I13" s="53">
        <v>182912.38791847229</v>
      </c>
      <c r="J13" s="53">
        <v>131216.45744490623</v>
      </c>
      <c r="K13" s="53">
        <v>73802.107995271683</v>
      </c>
      <c r="L13" s="53">
        <v>14801.371161222458</v>
      </c>
    </row>
    <row r="14" spans="1:12" ht="20.45" customHeight="1" x14ac:dyDescent="0.2">
      <c r="A14" s="30" t="s">
        <v>7</v>
      </c>
      <c r="B14" s="53">
        <v>81947.948482036591</v>
      </c>
      <c r="C14" s="54">
        <v>138135.33476440783</v>
      </c>
      <c r="D14" s="54">
        <v>56095.446604133896</v>
      </c>
      <c r="E14" s="54">
        <v>194230.78136854045</v>
      </c>
      <c r="F14" s="53">
        <v>389710.50954329979</v>
      </c>
      <c r="G14" s="54">
        <v>4.7555859147435076</v>
      </c>
      <c r="H14" s="53">
        <v>3106.98655128479</v>
      </c>
      <c r="I14" s="53">
        <v>28561.168213844299</v>
      </c>
      <c r="J14" s="53">
        <v>26047.430354952812</v>
      </c>
      <c r="K14" s="53">
        <v>18858.561302900314</v>
      </c>
      <c r="L14" s="53">
        <v>5373.8020590543747</v>
      </c>
    </row>
    <row r="15" spans="1:12" ht="20.45" customHeight="1" x14ac:dyDescent="0.2">
      <c r="A15" s="30" t="s">
        <v>8</v>
      </c>
      <c r="B15" s="53">
        <v>25962.588759422302</v>
      </c>
      <c r="C15" s="54">
        <v>64765.869688437007</v>
      </c>
      <c r="D15" s="54">
        <v>23602.74345716017</v>
      </c>
      <c r="E15" s="54">
        <v>88368.61314559725</v>
      </c>
      <c r="F15" s="53">
        <v>134161.23256015804</v>
      </c>
      <c r="G15" s="54">
        <v>5.1674828655701157</v>
      </c>
      <c r="H15" s="53">
        <v>833.788001537323</v>
      </c>
      <c r="I15" s="53">
        <v>7914.7372648715973</v>
      </c>
      <c r="J15" s="53">
        <v>8314.154757142067</v>
      </c>
      <c r="K15" s="53">
        <v>6675.8098504543304</v>
      </c>
      <c r="L15" s="53">
        <v>2224.0988854169846</v>
      </c>
    </row>
    <row r="16" spans="1:12" ht="20.45" customHeight="1" x14ac:dyDescent="0.2">
      <c r="A16" s="30" t="s">
        <v>9</v>
      </c>
      <c r="B16" s="53">
        <v>7396.839360833168</v>
      </c>
      <c r="C16" s="54">
        <v>24621.685086509489</v>
      </c>
      <c r="D16" s="54">
        <v>8177.9788481689757</v>
      </c>
      <c r="E16" s="54">
        <v>32799.663934678501</v>
      </c>
      <c r="F16" s="53">
        <v>43500.153664588914</v>
      </c>
      <c r="G16" s="54">
        <v>5.8809109597439093</v>
      </c>
      <c r="H16" s="53">
        <v>217.46152210235596</v>
      </c>
      <c r="I16" s="53">
        <v>1842.1361293792725</v>
      </c>
      <c r="J16" s="53">
        <v>2060.5333378314972</v>
      </c>
      <c r="K16" s="53">
        <v>2175.042958855629</v>
      </c>
      <c r="L16" s="53">
        <v>1101.6654126644135</v>
      </c>
    </row>
    <row r="17" spans="1:12" ht="20.45" customHeight="1" x14ac:dyDescent="0.2">
      <c r="A17" s="30" t="s">
        <v>10</v>
      </c>
      <c r="B17" s="53">
        <v>6978.5904805660248</v>
      </c>
      <c r="C17" s="54">
        <v>36971.41324692218</v>
      </c>
      <c r="D17" s="54">
        <v>7921.4547120608786</v>
      </c>
      <c r="E17" s="54">
        <v>44892.867958983035</v>
      </c>
      <c r="F17" s="53">
        <v>44330.756527423844</v>
      </c>
      <c r="G17" s="54">
        <v>6.3523940329893422</v>
      </c>
      <c r="H17" s="53">
        <v>209.3320198059082</v>
      </c>
      <c r="I17" s="53">
        <v>1467.0266919136047</v>
      </c>
      <c r="J17" s="53">
        <v>1915.4026178121567</v>
      </c>
      <c r="K17" s="53">
        <v>2146.7683304548264</v>
      </c>
      <c r="L17" s="53">
        <v>1240.0608205795288</v>
      </c>
    </row>
    <row r="18" spans="1:12" ht="20.45" customHeight="1" x14ac:dyDescent="0.2">
      <c r="A18" s="30" t="s">
        <v>11</v>
      </c>
      <c r="B18" s="53">
        <v>875.2291579246521</v>
      </c>
      <c r="C18" s="54">
        <v>10219.152601602624</v>
      </c>
      <c r="D18" s="54">
        <v>2936.9734126290041</v>
      </c>
      <c r="E18" s="54">
        <v>13156.126014231626</v>
      </c>
      <c r="F18" s="53">
        <v>6059.8205428123465</v>
      </c>
      <c r="G18" s="54">
        <v>6.9236959120299693</v>
      </c>
      <c r="H18" s="53">
        <v>13.836678504943848</v>
      </c>
      <c r="I18" s="53">
        <v>167.30410671234131</v>
      </c>
      <c r="J18" s="53">
        <v>284.86588191986084</v>
      </c>
      <c r="K18" s="53">
        <v>173.57526159286499</v>
      </c>
      <c r="L18" s="53">
        <v>235.64722919464111</v>
      </c>
    </row>
    <row r="19" spans="1:12" s="6" customFormat="1" ht="20.45" customHeight="1" x14ac:dyDescent="0.2">
      <c r="A19" s="31" t="s">
        <v>12</v>
      </c>
      <c r="B19" s="25">
        <f>B7+B8</f>
        <v>4130789.1689232588</v>
      </c>
      <c r="C19" s="26">
        <f t="shared" ref="C19:L19" si="0">C7+C8</f>
        <v>1429980.6420790821</v>
      </c>
      <c r="D19" s="26">
        <f t="shared" si="0"/>
        <v>788429.27648664091</v>
      </c>
      <c r="E19" s="26">
        <f t="shared" si="0"/>
        <v>2218409.9185657408</v>
      </c>
      <c r="F19" s="25">
        <f t="shared" si="0"/>
        <v>11583949.562094286</v>
      </c>
      <c r="G19" s="26">
        <f>F19/B19</f>
        <v>2.8042945520537872</v>
      </c>
      <c r="H19" s="25">
        <f t="shared" si="0"/>
        <v>1053772.804263711</v>
      </c>
      <c r="I19" s="25">
        <f t="shared" si="0"/>
        <v>2022789.6567099094</v>
      </c>
      <c r="J19" s="25">
        <f t="shared" si="0"/>
        <v>714027.17085325718</v>
      </c>
      <c r="K19" s="25">
        <f t="shared" si="0"/>
        <v>291797.02933037281</v>
      </c>
      <c r="L19" s="25">
        <f t="shared" si="0"/>
        <v>48402.507766008377</v>
      </c>
    </row>
    <row r="20" spans="1:12" s="2" customFormat="1" ht="12" customHeight="1" x14ac:dyDescent="0.2">
      <c r="A20" s="32" t="s">
        <v>23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2" s="2" customFormat="1" x14ac:dyDescent="0.2">
      <c r="A21" s="32" t="s">
        <v>24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2" customFormat="1" x14ac:dyDescent="0.2">
      <c r="A22" s="32" t="s">
        <v>25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</sheetData>
  <mergeCells count="9">
    <mergeCell ref="A1:L1"/>
    <mergeCell ref="C5:E5"/>
    <mergeCell ref="F5:F6"/>
    <mergeCell ref="G5:G6"/>
    <mergeCell ref="H5:L5"/>
    <mergeCell ref="B4:E4"/>
    <mergeCell ref="F4:L4"/>
    <mergeCell ref="B5:B6"/>
    <mergeCell ref="A4:A6"/>
  </mergeCells>
  <phoneticPr fontId="0" type="noConversion"/>
  <conditionalFormatting sqref="B7:L19">
    <cfRule type="cellIs" dxfId="1376" priority="2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  <ignoredErrors>
    <ignoredError sqref="G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C936-0175-4831-BEF5-0C29AB807774}">
  <dimension ref="A1:M20"/>
  <sheetViews>
    <sheetView zoomScale="96" zoomScaleNormal="91" workbookViewId="0">
      <selection activeCell="C19" sqref="C19"/>
    </sheetView>
  </sheetViews>
  <sheetFormatPr defaultColWidth="8.85546875" defaultRowHeight="12.75" x14ac:dyDescent="0.2"/>
  <cols>
    <col min="1" max="1" width="23.42578125" customWidth="1"/>
    <col min="2" max="5" width="12.140625" customWidth="1"/>
    <col min="6" max="6" width="9.85546875" customWidth="1"/>
    <col min="7" max="7" width="10.42578125" customWidth="1"/>
    <col min="8" max="8" width="9.5703125" customWidth="1"/>
    <col min="9" max="9" width="10.5703125" customWidth="1"/>
    <col min="10" max="11" width="12.140625" customWidth="1"/>
    <col min="12" max="12" width="10.85546875" customWidth="1"/>
    <col min="13" max="13" width="9.140625" customWidth="1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 t="s">
        <v>32</v>
      </c>
    </row>
    <row r="3" spans="1:13" x14ac:dyDescent="0.2">
      <c r="A3" s="27" t="s">
        <v>505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s="7" customFormat="1" ht="13.5" customHeight="1" x14ac:dyDescent="0.2">
      <c r="A4" s="129" t="s">
        <v>30</v>
      </c>
      <c r="B4" s="132" t="s">
        <v>28</v>
      </c>
      <c r="C4" s="133"/>
      <c r="D4" s="138" t="s">
        <v>35</v>
      </c>
      <c r="E4" s="139"/>
      <c r="F4" s="139"/>
      <c r="G4" s="139"/>
      <c r="H4" s="139"/>
      <c r="I4" s="139"/>
      <c r="J4" s="139"/>
      <c r="K4" s="139"/>
      <c r="L4" s="139"/>
      <c r="M4" s="140"/>
    </row>
    <row r="5" spans="1:13" s="7" customFormat="1" x14ac:dyDescent="0.2">
      <c r="A5" s="130"/>
      <c r="B5" s="134"/>
      <c r="C5" s="135"/>
      <c r="D5" s="124" t="s">
        <v>36</v>
      </c>
      <c r="E5" s="128"/>
      <c r="F5" s="128"/>
      <c r="G5" s="128"/>
      <c r="H5" s="128"/>
      <c r="I5" s="125"/>
      <c r="J5" s="124" t="s">
        <v>37</v>
      </c>
      <c r="K5" s="128"/>
      <c r="L5" s="128"/>
      <c r="M5" s="125"/>
    </row>
    <row r="6" spans="1:13" s="7" customFormat="1" ht="15.75" customHeight="1" x14ac:dyDescent="0.2">
      <c r="A6" s="130"/>
      <c r="B6" s="136"/>
      <c r="C6" s="137"/>
      <c r="D6" s="124" t="s">
        <v>38</v>
      </c>
      <c r="E6" s="125"/>
      <c r="F6" s="124" t="s">
        <v>39</v>
      </c>
      <c r="G6" s="125"/>
      <c r="H6" s="124" t="s">
        <v>40</v>
      </c>
      <c r="I6" s="125"/>
      <c r="J6" s="126" t="s">
        <v>41</v>
      </c>
      <c r="K6" s="124" t="s">
        <v>21</v>
      </c>
      <c r="L6" s="128"/>
      <c r="M6" s="125"/>
    </row>
    <row r="7" spans="1:13" s="7" customFormat="1" ht="28.5" customHeight="1" x14ac:dyDescent="0.2">
      <c r="A7" s="131"/>
      <c r="B7" s="34" t="s">
        <v>42</v>
      </c>
      <c r="C7" s="34" t="s">
        <v>21</v>
      </c>
      <c r="D7" s="34" t="s">
        <v>41</v>
      </c>
      <c r="E7" s="34" t="s">
        <v>21</v>
      </c>
      <c r="F7" s="34" t="s">
        <v>41</v>
      </c>
      <c r="G7" s="34" t="s">
        <v>21</v>
      </c>
      <c r="H7" s="34" t="s">
        <v>41</v>
      </c>
      <c r="I7" s="34" t="s">
        <v>21</v>
      </c>
      <c r="J7" s="127"/>
      <c r="K7" s="35" t="s">
        <v>38</v>
      </c>
      <c r="L7" s="35" t="s">
        <v>43</v>
      </c>
      <c r="M7" s="34" t="s">
        <v>44</v>
      </c>
    </row>
    <row r="8" spans="1:13" s="6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119574.14100456238</v>
      </c>
      <c r="E8" s="50">
        <v>6561.2951671419842</v>
      </c>
      <c r="F8" s="49">
        <v>5142.1258180141449</v>
      </c>
      <c r="G8" s="50">
        <v>353.64680927917942</v>
      </c>
      <c r="H8" s="49">
        <v>2737.9455904960632</v>
      </c>
      <c r="I8" s="50">
        <v>107.76663706844303</v>
      </c>
      <c r="J8" s="49">
        <v>4049.991021156311</v>
      </c>
      <c r="K8" s="50">
        <v>331.46835825853742</v>
      </c>
      <c r="L8" s="50">
        <v>936.84574204574039</v>
      </c>
      <c r="M8" s="50">
        <v>121.79612011257917</v>
      </c>
    </row>
    <row r="9" spans="1:13" s="6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3252452.225658536</v>
      </c>
      <c r="E9" s="52">
        <v>1693267.1047395214</v>
      </c>
      <c r="F9" s="51">
        <v>53948.403462290764</v>
      </c>
      <c r="G9" s="52">
        <v>28531.197963583149</v>
      </c>
      <c r="H9" s="51">
        <v>7543.5372282266617</v>
      </c>
      <c r="I9" s="52">
        <v>2168.5307812491214</v>
      </c>
      <c r="J9" s="51">
        <v>685340.7991399765</v>
      </c>
      <c r="K9" s="52">
        <v>195808.61892111396</v>
      </c>
      <c r="L9" s="52">
        <v>282450.28705067199</v>
      </c>
      <c r="M9" s="52">
        <v>7771.3603943560338</v>
      </c>
    </row>
    <row r="10" spans="1:13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382002.0906072855</v>
      </c>
      <c r="E10" s="54">
        <v>22877.30115291676</v>
      </c>
      <c r="F10" s="53">
        <v>9045.6555716991425</v>
      </c>
      <c r="G10" s="54">
        <v>507.50864599892913</v>
      </c>
      <c r="H10" s="53">
        <v>2313.9884595870972</v>
      </c>
      <c r="I10" s="54">
        <v>128.31019667213303</v>
      </c>
      <c r="J10" s="53">
        <v>31855.767502784729</v>
      </c>
      <c r="K10" s="54">
        <v>866.11965875549254</v>
      </c>
      <c r="L10" s="54">
        <v>997.57571095234357</v>
      </c>
      <c r="M10" s="54">
        <v>132.49139987389938</v>
      </c>
    </row>
    <row r="11" spans="1:13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572939.0527381897</v>
      </c>
      <c r="E11" s="54">
        <v>84859.133373928824</v>
      </c>
      <c r="F11" s="53">
        <v>9239.2629325389862</v>
      </c>
      <c r="G11" s="54">
        <v>1334.5615467720063</v>
      </c>
      <c r="H11" s="53">
        <v>1933.5365014076233</v>
      </c>
      <c r="I11" s="54">
        <v>289.61335476956538</v>
      </c>
      <c r="J11" s="53">
        <v>64338.120673656464</v>
      </c>
      <c r="K11" s="54">
        <v>3992.8377491884266</v>
      </c>
      <c r="L11" s="54">
        <v>5476.2381950098898</v>
      </c>
      <c r="M11" s="54">
        <v>346.95466343826092</v>
      </c>
    </row>
    <row r="12" spans="1:13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1175592.8253617287</v>
      </c>
      <c r="E12" s="54">
        <v>390036.98266589351</v>
      </c>
      <c r="F12" s="53">
        <v>17298.890441179276</v>
      </c>
      <c r="G12" s="54">
        <v>5720.2247400590077</v>
      </c>
      <c r="H12" s="53">
        <v>1952.8971376419067</v>
      </c>
      <c r="I12" s="54">
        <v>663.78270390128387</v>
      </c>
      <c r="J12" s="53">
        <v>235269.00160312653</v>
      </c>
      <c r="K12" s="54">
        <v>33045.452422973947</v>
      </c>
      <c r="L12" s="54">
        <v>46932.771781818308</v>
      </c>
      <c r="M12" s="54">
        <v>1791.3262490592645</v>
      </c>
    </row>
    <row r="13" spans="1:13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717083.33234846592</v>
      </c>
      <c r="E13" s="54">
        <v>498050.75059228588</v>
      </c>
      <c r="F13" s="53">
        <v>10535.577787995338</v>
      </c>
      <c r="G13" s="54">
        <v>7395.3725041885536</v>
      </c>
      <c r="H13" s="53">
        <v>1073.8546980619431</v>
      </c>
      <c r="I13" s="54">
        <v>703.61975209265802</v>
      </c>
      <c r="J13" s="53">
        <v>216611.18567681313</v>
      </c>
      <c r="K13" s="54">
        <v>61649.673268661762</v>
      </c>
      <c r="L13" s="54">
        <v>89850.561233964254</v>
      </c>
      <c r="M13" s="54">
        <v>2553.1246860548686</v>
      </c>
    </row>
    <row r="14" spans="1:13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313856.78101933002</v>
      </c>
      <c r="E14" s="54">
        <v>422917.94672303536</v>
      </c>
      <c r="F14" s="53">
        <v>5962.2828073501587</v>
      </c>
      <c r="G14" s="54">
        <v>8116.3367939468972</v>
      </c>
      <c r="H14" s="53">
        <v>243.7869074344635</v>
      </c>
      <c r="I14" s="54">
        <v>314.40949279722372</v>
      </c>
      <c r="J14" s="53">
        <v>106975.87847197056</v>
      </c>
      <c r="K14" s="54">
        <v>59053.823461825865</v>
      </c>
      <c r="L14" s="54">
        <v>84022.708508331896</v>
      </c>
      <c r="M14" s="54">
        <v>1921.534217952172</v>
      </c>
    </row>
    <row r="15" spans="1:13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60212.517050862312</v>
      </c>
      <c r="E15" s="54">
        <v>142989.56385144871</v>
      </c>
      <c r="F15" s="53">
        <v>1233.6002297401428</v>
      </c>
      <c r="G15" s="54">
        <v>2934.0686649777317</v>
      </c>
      <c r="H15" s="53">
        <v>17.695704460144043</v>
      </c>
      <c r="I15" s="54">
        <v>44.105269526269808</v>
      </c>
      <c r="J15" s="53">
        <v>20484.135496973991</v>
      </c>
      <c r="K15" s="54">
        <v>18879.596577246575</v>
      </c>
      <c r="L15" s="54">
        <v>28784.927738798833</v>
      </c>
      <c r="M15" s="54">
        <v>598.51927001452532</v>
      </c>
    </row>
    <row r="16" spans="1:13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19824.851604938507</v>
      </c>
      <c r="E16" s="54">
        <v>67676.801462741641</v>
      </c>
      <c r="F16" s="53">
        <v>473.19977760314941</v>
      </c>
      <c r="G16" s="54">
        <v>1593.1639212836449</v>
      </c>
      <c r="H16" s="53">
        <v>7.7778196334838867</v>
      </c>
      <c r="I16" s="54">
        <v>24.690011489987</v>
      </c>
      <c r="J16" s="53">
        <v>5656.7595572471619</v>
      </c>
      <c r="K16" s="54">
        <v>8084.7167343776837</v>
      </c>
      <c r="L16" s="54">
        <v>10771.907970751625</v>
      </c>
      <c r="M16" s="54">
        <v>217.33304916095611</v>
      </c>
    </row>
    <row r="17" spans="1:13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5297.1824089288712</v>
      </c>
      <c r="E17" s="54">
        <v>23514.177628664176</v>
      </c>
      <c r="F17" s="53">
        <v>105.75871753692627</v>
      </c>
      <c r="G17" s="54">
        <v>465.62808927266087</v>
      </c>
      <c r="H17" s="53">
        <v>0</v>
      </c>
      <c r="I17" s="54"/>
      <c r="J17" s="53">
        <v>1993.8982343673706</v>
      </c>
      <c r="K17" s="54">
        <v>3832.7910478805775</v>
      </c>
      <c r="L17" s="54">
        <v>4910.9663879557456</v>
      </c>
      <c r="M17" s="54">
        <v>76.100765437127833</v>
      </c>
    </row>
    <row r="18" spans="1:13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5142.6635918617249</v>
      </c>
      <c r="E18" s="54">
        <v>32847.370958634812</v>
      </c>
      <c r="F18" s="53">
        <v>44.412592887878418</v>
      </c>
      <c r="G18" s="54">
        <v>325.48774733814867</v>
      </c>
      <c r="H18" s="53">
        <v>0</v>
      </c>
      <c r="I18" s="54"/>
      <c r="J18" s="53">
        <v>1791.5142958164215</v>
      </c>
      <c r="K18" s="54">
        <v>4543.301649754766</v>
      </c>
      <c r="L18" s="54">
        <v>7056.9431499511429</v>
      </c>
      <c r="M18" s="54">
        <v>119.76445517876262</v>
      </c>
    </row>
    <row r="19" spans="1:13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500.92892694473267</v>
      </c>
      <c r="E19" s="54">
        <v>7497.0763299245609</v>
      </c>
      <c r="F19" s="53">
        <v>9.762603759765625</v>
      </c>
      <c r="G19" s="54">
        <v>138.84530974559357</v>
      </c>
      <c r="H19" s="53">
        <v>0</v>
      </c>
      <c r="I19" s="54"/>
      <c r="J19" s="53">
        <v>364.53762722015381</v>
      </c>
      <c r="K19" s="54">
        <v>1860.3063504492441</v>
      </c>
      <c r="L19" s="54">
        <v>3645.6863731362032</v>
      </c>
      <c r="M19" s="54">
        <v>14.211638186205164</v>
      </c>
    </row>
    <row r="20" spans="1:13" s="6" customFormat="1" ht="20.45" customHeight="1" x14ac:dyDescent="0.2">
      <c r="A20" s="31" t="s">
        <v>12</v>
      </c>
      <c r="B20" s="25">
        <f>B8+B9</f>
        <v>4130789.1689232588</v>
      </c>
      <c r="C20" s="26">
        <f>C8+C9</f>
        <v>2218409.9185657408</v>
      </c>
      <c r="D20" s="25">
        <f t="shared" ref="D20:M20" si="0">D8+D9</f>
        <v>3372026.3666630983</v>
      </c>
      <c r="E20" s="26">
        <f t="shared" si="0"/>
        <v>1699828.3999066635</v>
      </c>
      <c r="F20" s="25">
        <f t="shared" si="0"/>
        <v>59090.529280304909</v>
      </c>
      <c r="G20" s="26">
        <f t="shared" si="0"/>
        <v>28884.844772862329</v>
      </c>
      <c r="H20" s="25">
        <f t="shared" si="0"/>
        <v>10281.482818722725</v>
      </c>
      <c r="I20" s="26">
        <f t="shared" si="0"/>
        <v>2276.2974183175643</v>
      </c>
      <c r="J20" s="25">
        <f t="shared" si="0"/>
        <v>689390.79016113281</v>
      </c>
      <c r="K20" s="26">
        <f t="shared" si="0"/>
        <v>196140.0872793725</v>
      </c>
      <c r="L20" s="26">
        <f t="shared" si="0"/>
        <v>283387.13279271772</v>
      </c>
      <c r="M20" s="26">
        <f t="shared" si="0"/>
        <v>7893.1565144686128</v>
      </c>
    </row>
  </sheetData>
  <mergeCells count="11">
    <mergeCell ref="F6:G6"/>
    <mergeCell ref="H6:I6"/>
    <mergeCell ref="J6:J7"/>
    <mergeCell ref="K6:M6"/>
    <mergeCell ref="A1:M1"/>
    <mergeCell ref="A4:A7"/>
    <mergeCell ref="B4:C6"/>
    <mergeCell ref="D4:M4"/>
    <mergeCell ref="D5:I5"/>
    <mergeCell ref="J5:M5"/>
    <mergeCell ref="D6:E6"/>
  </mergeCells>
  <conditionalFormatting sqref="B8:B20">
    <cfRule type="cellIs" dxfId="1375" priority="14" stopIfTrue="1" operator="equal">
      <formula>0</formula>
    </cfRule>
  </conditionalFormatting>
  <conditionalFormatting sqref="D8:D20">
    <cfRule type="cellIs" dxfId="1374" priority="13" stopIfTrue="1" operator="equal">
      <formula>0</formula>
    </cfRule>
  </conditionalFormatting>
  <conditionalFormatting sqref="F8:F20">
    <cfRule type="cellIs" dxfId="1373" priority="12" stopIfTrue="1" operator="equal">
      <formula>0</formula>
    </cfRule>
  </conditionalFormatting>
  <conditionalFormatting sqref="H8:H20">
    <cfRule type="cellIs" dxfId="1372" priority="11" stopIfTrue="1" operator="equal">
      <formula>0</formula>
    </cfRule>
  </conditionalFormatting>
  <conditionalFormatting sqref="J8:J20">
    <cfRule type="cellIs" dxfId="1371" priority="10" stopIfTrue="1" operator="equal">
      <formula>0</formula>
    </cfRule>
  </conditionalFormatting>
  <conditionalFormatting sqref="C8:C20">
    <cfRule type="cellIs" dxfId="1370" priority="9" stopIfTrue="1" operator="equal">
      <formula>0</formula>
    </cfRule>
  </conditionalFormatting>
  <conditionalFormatting sqref="E8:E20">
    <cfRule type="cellIs" dxfId="1369" priority="8" stopIfTrue="1" operator="equal">
      <formula>0</formula>
    </cfRule>
  </conditionalFormatting>
  <conditionalFormatting sqref="G8:G20">
    <cfRule type="cellIs" dxfId="1368" priority="7" stopIfTrue="1" operator="equal">
      <formula>0</formula>
    </cfRule>
  </conditionalFormatting>
  <conditionalFormatting sqref="I8:I20">
    <cfRule type="cellIs" dxfId="1367" priority="6" stopIfTrue="1" operator="equal">
      <formula>0</formula>
    </cfRule>
  </conditionalFormatting>
  <conditionalFormatting sqref="K8:K20">
    <cfRule type="cellIs" dxfId="1366" priority="5" stopIfTrue="1" operator="equal">
      <formula>0</formula>
    </cfRule>
  </conditionalFormatting>
  <conditionalFormatting sqref="L8:L20">
    <cfRule type="cellIs" dxfId="1365" priority="4" stopIfTrue="1" operator="equal">
      <formula>0</formula>
    </cfRule>
  </conditionalFormatting>
  <conditionalFormatting sqref="M8:M20">
    <cfRule type="cellIs" dxfId="1364" priority="3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32D6-B76E-41C6-AB3B-0A8C24E01B52}">
  <dimension ref="A1:P20"/>
  <sheetViews>
    <sheetView zoomScale="90" zoomScaleNormal="94" workbookViewId="0">
      <selection activeCell="C19" sqref="C19"/>
    </sheetView>
  </sheetViews>
  <sheetFormatPr defaultRowHeight="12.75" x14ac:dyDescent="0.2"/>
  <cols>
    <col min="1" max="1" width="24" customWidth="1"/>
    <col min="2" max="3" width="10.5703125" customWidth="1"/>
    <col min="4" max="4" width="9.140625" customWidth="1"/>
    <col min="5" max="5" width="8.140625" customWidth="1"/>
    <col min="6" max="6" width="8" customWidth="1"/>
    <col min="7" max="7" width="8.5703125" customWidth="1"/>
    <col min="8" max="8" width="8.42578125" customWidth="1"/>
    <col min="9" max="9" width="8.85546875" customWidth="1"/>
    <col min="10" max="10" width="9" customWidth="1"/>
    <col min="11" max="11" width="9.140625" customWidth="1"/>
    <col min="12" max="12" width="8.140625" customWidth="1"/>
    <col min="13" max="13" width="9.85546875" customWidth="1"/>
    <col min="14" max="14" width="8.140625" customWidth="1"/>
    <col min="15" max="15" width="9.5703125" customWidth="1"/>
    <col min="16" max="16" width="8.85546875" customWidth="1"/>
  </cols>
  <sheetData>
    <row r="1" spans="1:16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 t="s">
        <v>32</v>
      </c>
    </row>
    <row r="3" spans="1:16" x14ac:dyDescent="0.2">
      <c r="A3" s="36" t="s">
        <v>596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18" customHeight="1" x14ac:dyDescent="0.2">
      <c r="A4" s="120" t="s">
        <v>30</v>
      </c>
      <c r="B4" s="120" t="s">
        <v>45</v>
      </c>
      <c r="C4" s="122" t="s">
        <v>46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</row>
    <row r="5" spans="1:16" ht="39" customHeight="1" x14ac:dyDescent="0.2">
      <c r="A5" s="120"/>
      <c r="B5" s="120"/>
      <c r="C5" s="122" t="s">
        <v>47</v>
      </c>
      <c r="D5" s="122"/>
      <c r="E5" s="120" t="s">
        <v>48</v>
      </c>
      <c r="F5" s="120"/>
      <c r="G5" s="141" t="s">
        <v>543</v>
      </c>
      <c r="H5" s="141"/>
      <c r="I5" s="141" t="s">
        <v>544</v>
      </c>
      <c r="J5" s="141"/>
      <c r="K5" s="120" t="s">
        <v>49</v>
      </c>
      <c r="L5" s="120"/>
      <c r="M5" s="120" t="s">
        <v>50</v>
      </c>
      <c r="N5" s="120"/>
      <c r="O5" s="120" t="s">
        <v>51</v>
      </c>
      <c r="P5" s="120"/>
    </row>
    <row r="6" spans="1:16" ht="42" customHeight="1" x14ac:dyDescent="0.2">
      <c r="A6" s="120"/>
      <c r="B6" s="120"/>
      <c r="C6" s="67" t="s">
        <v>41</v>
      </c>
      <c r="D6" s="67" t="s">
        <v>21</v>
      </c>
      <c r="E6" s="67" t="s">
        <v>41</v>
      </c>
      <c r="F6" s="67" t="s">
        <v>21</v>
      </c>
      <c r="G6" s="67" t="s">
        <v>41</v>
      </c>
      <c r="H6" s="67" t="s">
        <v>21</v>
      </c>
      <c r="I6" s="67" t="s">
        <v>41</v>
      </c>
      <c r="J6" s="67" t="s">
        <v>21</v>
      </c>
      <c r="K6" s="67" t="s">
        <v>41</v>
      </c>
      <c r="L6" s="67" t="s">
        <v>21</v>
      </c>
      <c r="M6" s="67" t="s">
        <v>41</v>
      </c>
      <c r="N6" s="67" t="s">
        <v>21</v>
      </c>
      <c r="O6" s="67" t="s">
        <v>41</v>
      </c>
      <c r="P6" s="67" t="s">
        <v>21</v>
      </c>
    </row>
    <row r="7" spans="1:16" s="6" customFormat="1" ht="21" customHeight="1" x14ac:dyDescent="0.2">
      <c r="A7" s="69" t="s">
        <v>53</v>
      </c>
      <c r="B7" s="70">
        <v>131504.2034342289</v>
      </c>
      <c r="C7" s="70">
        <v>5142.1258180141449</v>
      </c>
      <c r="D7" s="71">
        <v>353.64680927917942</v>
      </c>
      <c r="E7" s="70">
        <v>2732.8352204561234</v>
      </c>
      <c r="F7" s="71">
        <v>149.25568380253898</v>
      </c>
      <c r="G7" s="70">
        <v>235.45809233188629</v>
      </c>
      <c r="H7" s="71">
        <v>39.43291079327377</v>
      </c>
      <c r="I7" s="70">
        <v>146.68398761749268</v>
      </c>
      <c r="J7" s="71">
        <v>38.506201210598746</v>
      </c>
      <c r="K7" s="70">
        <v>279.63463926315308</v>
      </c>
      <c r="L7" s="71">
        <v>10.963975226329573</v>
      </c>
      <c r="M7" s="70">
        <v>374.19313812255859</v>
      </c>
      <c r="N7" s="71">
        <v>43.287212847535478</v>
      </c>
      <c r="O7" s="70">
        <v>1436.7223315238953</v>
      </c>
      <c r="P7" s="71">
        <v>72.200825398902779</v>
      </c>
    </row>
    <row r="8" spans="1:16" s="6" customFormat="1" ht="21" customHeight="1" x14ac:dyDescent="0.2">
      <c r="A8" s="29" t="s">
        <v>54</v>
      </c>
      <c r="B8" s="51">
        <v>3999284.9654890299</v>
      </c>
      <c r="C8" s="51">
        <v>53948.403462290764</v>
      </c>
      <c r="D8" s="52">
        <v>28531.197963583149</v>
      </c>
      <c r="E8" s="51">
        <v>22127.392128348351</v>
      </c>
      <c r="F8" s="52">
        <v>8680.2427558795753</v>
      </c>
      <c r="G8" s="51">
        <v>4506.7139503955841</v>
      </c>
      <c r="H8" s="52">
        <v>3072.1472681192035</v>
      </c>
      <c r="I8" s="51">
        <v>17877.160595774651</v>
      </c>
      <c r="J8" s="52">
        <v>11909.134943340763</v>
      </c>
      <c r="K8" s="51">
        <v>1901.3153697252274</v>
      </c>
      <c r="L8" s="52">
        <v>411.52381689158659</v>
      </c>
      <c r="M8" s="51">
        <v>6014.2230249643326</v>
      </c>
      <c r="N8" s="52">
        <v>2144.210794972847</v>
      </c>
      <c r="O8" s="51">
        <v>9552.7395316362381</v>
      </c>
      <c r="P8" s="52">
        <v>2313.9383843792116</v>
      </c>
    </row>
    <row r="9" spans="1:16" ht="21" customHeight="1" x14ac:dyDescent="0.2">
      <c r="A9" s="30" t="s">
        <v>55</v>
      </c>
      <c r="B9" s="53">
        <v>425217.50214135647</v>
      </c>
      <c r="C9" s="53">
        <v>9045.6555716991425</v>
      </c>
      <c r="D9" s="54">
        <v>507.50864599892913</v>
      </c>
      <c r="E9" s="53">
        <v>5032.8390870094299</v>
      </c>
      <c r="F9" s="54">
        <v>268.38473079070593</v>
      </c>
      <c r="G9" s="53">
        <v>267.45059537887573</v>
      </c>
      <c r="H9" s="54">
        <v>15.126945757866121</v>
      </c>
      <c r="I9" s="53">
        <v>734.55234730243683</v>
      </c>
      <c r="J9" s="54">
        <v>43.274270169217985</v>
      </c>
      <c r="K9" s="53">
        <v>463.31451463699341</v>
      </c>
      <c r="L9" s="54">
        <v>24.636026213810538</v>
      </c>
      <c r="M9" s="53">
        <v>553.20818948745728</v>
      </c>
      <c r="N9" s="54">
        <v>32.584949807477919</v>
      </c>
      <c r="O9" s="53">
        <v>2341.4989614486694</v>
      </c>
      <c r="P9" s="54">
        <v>123.50172325985046</v>
      </c>
    </row>
    <row r="10" spans="1:16" ht="21" customHeight="1" x14ac:dyDescent="0.2">
      <c r="A10" s="30" t="s">
        <v>56</v>
      </c>
      <c r="B10" s="53">
        <v>648449.97284579277</v>
      </c>
      <c r="C10" s="53">
        <v>9239.2629325389862</v>
      </c>
      <c r="D10" s="54">
        <v>1334.5615467720063</v>
      </c>
      <c r="E10" s="53">
        <v>4419.1380335092545</v>
      </c>
      <c r="F10" s="54">
        <v>588.20881630365943</v>
      </c>
      <c r="G10" s="53">
        <v>340.76576900482178</v>
      </c>
      <c r="H10" s="54">
        <v>51.569552949308914</v>
      </c>
      <c r="I10" s="53">
        <v>1635.970919251442</v>
      </c>
      <c r="J10" s="54">
        <v>244.32996167534591</v>
      </c>
      <c r="K10" s="53">
        <v>405.64533746242523</v>
      </c>
      <c r="L10" s="54">
        <v>49.819267384251873</v>
      </c>
      <c r="M10" s="53">
        <v>1223.243950843811</v>
      </c>
      <c r="N10" s="54">
        <v>161.82705826952829</v>
      </c>
      <c r="O10" s="53">
        <v>1897.2396403551102</v>
      </c>
      <c r="P10" s="54">
        <v>238.80689018991109</v>
      </c>
    </row>
    <row r="11" spans="1:16" ht="21" customHeight="1" x14ac:dyDescent="0.2">
      <c r="A11" s="30" t="s">
        <v>57</v>
      </c>
      <c r="B11" s="53">
        <v>1430113.6145436764</v>
      </c>
      <c r="C11" s="53">
        <v>17298.890441179276</v>
      </c>
      <c r="D11" s="54">
        <v>5720.2247400590077</v>
      </c>
      <c r="E11" s="53">
        <v>6853.3384215831757</v>
      </c>
      <c r="F11" s="54">
        <v>1927.0192456035097</v>
      </c>
      <c r="G11" s="53">
        <v>1487.1018769741058</v>
      </c>
      <c r="H11" s="54">
        <v>448.92716892892571</v>
      </c>
      <c r="I11" s="53">
        <v>6187.492995262146</v>
      </c>
      <c r="J11" s="54">
        <v>1956.6733341887666</v>
      </c>
      <c r="K11" s="53">
        <v>353.81662154197693</v>
      </c>
      <c r="L11" s="54">
        <v>59.387315841148556</v>
      </c>
      <c r="M11" s="53">
        <v>2399.2529309988022</v>
      </c>
      <c r="N11" s="54">
        <v>624.79412328463195</v>
      </c>
      <c r="O11" s="53">
        <v>3042.4071710109711</v>
      </c>
      <c r="P11" s="54">
        <v>703.42355221202649</v>
      </c>
    </row>
    <row r="12" spans="1:16" ht="21" customHeight="1" x14ac:dyDescent="0.2">
      <c r="A12" s="30" t="s">
        <v>58</v>
      </c>
      <c r="B12" s="53">
        <v>945303.95051133633</v>
      </c>
      <c r="C12" s="53">
        <v>10535.577787995338</v>
      </c>
      <c r="D12" s="54">
        <v>7395.3725041885536</v>
      </c>
      <c r="E12" s="53">
        <v>3507.6922316551208</v>
      </c>
      <c r="F12" s="54">
        <v>2039.267482450681</v>
      </c>
      <c r="G12" s="53">
        <v>1184.9207825660706</v>
      </c>
      <c r="H12" s="54">
        <v>743.77320639995764</v>
      </c>
      <c r="I12" s="53">
        <v>5042.0085905790329</v>
      </c>
      <c r="J12" s="54">
        <v>3373.6965317063855</v>
      </c>
      <c r="K12" s="53">
        <v>379.93034553527832</v>
      </c>
      <c r="L12" s="54">
        <v>108.1588298297816</v>
      </c>
      <c r="M12" s="53">
        <v>1171.0567841529846</v>
      </c>
      <c r="N12" s="54">
        <v>577.4327787506187</v>
      </c>
      <c r="O12" s="53">
        <v>1394.9790179729462</v>
      </c>
      <c r="P12" s="54">
        <v>553.04367505113794</v>
      </c>
    </row>
    <row r="13" spans="1:16" ht="21" customHeight="1" x14ac:dyDescent="0.2">
      <c r="A13" s="30" t="s">
        <v>59</v>
      </c>
      <c r="B13" s="53">
        <v>427038.72920608521</v>
      </c>
      <c r="C13" s="53">
        <v>5962.2828073501587</v>
      </c>
      <c r="D13" s="54">
        <v>8116.3367939468972</v>
      </c>
      <c r="E13" s="53">
        <v>1593.3393230438232</v>
      </c>
      <c r="F13" s="54">
        <v>1830.1867818290386</v>
      </c>
      <c r="G13" s="53">
        <v>869.17179489135742</v>
      </c>
      <c r="H13" s="54">
        <v>994.04780792018244</v>
      </c>
      <c r="I13" s="53">
        <v>3484.9609563350677</v>
      </c>
      <c r="J13" s="54">
        <v>4410.1448202191796</v>
      </c>
      <c r="K13" s="53">
        <v>183.41030931472778</v>
      </c>
      <c r="L13" s="54">
        <v>74.361999700299663</v>
      </c>
      <c r="M13" s="53">
        <v>497.57792353630066</v>
      </c>
      <c r="N13" s="54">
        <v>420.98332710268807</v>
      </c>
      <c r="O13" s="53">
        <v>706.54637002944946</v>
      </c>
      <c r="P13" s="54">
        <v>386.61205717551582</v>
      </c>
    </row>
    <row r="14" spans="1:16" ht="21" customHeight="1" x14ac:dyDescent="0.2">
      <c r="A14" s="30" t="s">
        <v>60</v>
      </c>
      <c r="B14" s="53">
        <v>81947.948482036591</v>
      </c>
      <c r="C14" s="53">
        <v>1233.6002297401428</v>
      </c>
      <c r="D14" s="54">
        <v>2934.0686649777317</v>
      </c>
      <c r="E14" s="53">
        <v>439.7866358757019</v>
      </c>
      <c r="F14" s="54">
        <v>941.81260438387369</v>
      </c>
      <c r="G14" s="53">
        <v>256.76269721984863</v>
      </c>
      <c r="H14" s="54">
        <v>536.0910810483191</v>
      </c>
      <c r="I14" s="53">
        <v>537.20119571685791</v>
      </c>
      <c r="J14" s="54">
        <v>1137.4951060497954</v>
      </c>
      <c r="K14" s="53">
        <v>86.434771537780762</v>
      </c>
      <c r="L14" s="54">
        <v>84.794024679249389</v>
      </c>
      <c r="M14" s="53">
        <v>115.77544164657593</v>
      </c>
      <c r="N14" s="54">
        <v>181.27450752124398</v>
      </c>
      <c r="O14" s="53">
        <v>94.102624893188477</v>
      </c>
      <c r="P14" s="54">
        <v>52.601341295250606</v>
      </c>
    </row>
    <row r="15" spans="1:16" ht="21" customHeight="1" x14ac:dyDescent="0.2">
      <c r="A15" s="30" t="s">
        <v>61</v>
      </c>
      <c r="B15" s="53">
        <v>25962.588759422302</v>
      </c>
      <c r="C15" s="53">
        <v>473.19977760314941</v>
      </c>
      <c r="D15" s="54">
        <v>1593.1639212836449</v>
      </c>
      <c r="E15" s="53">
        <v>169.52625513076782</v>
      </c>
      <c r="F15" s="54">
        <v>531.17252354239611</v>
      </c>
      <c r="G15" s="53">
        <v>73.931478023529053</v>
      </c>
      <c r="H15" s="54">
        <v>190.16964385360563</v>
      </c>
      <c r="I15" s="53">
        <v>226.54614496231079</v>
      </c>
      <c r="J15" s="54">
        <v>637.20097814537871</v>
      </c>
      <c r="K15" s="53">
        <v>19.000865936279297</v>
      </c>
      <c r="L15" s="54">
        <v>2.961270103165127</v>
      </c>
      <c r="M15" s="53">
        <v>46.23464298248291</v>
      </c>
      <c r="N15" s="54">
        <v>113.27217069993529</v>
      </c>
      <c r="O15" s="53">
        <v>45.949106216430664</v>
      </c>
      <c r="P15" s="54">
        <v>118.38733493916402</v>
      </c>
    </row>
    <row r="16" spans="1:16" ht="21" customHeight="1" x14ac:dyDescent="0.2">
      <c r="A16" s="30" t="s">
        <v>62</v>
      </c>
      <c r="B16" s="53">
        <v>7396.839360833168</v>
      </c>
      <c r="C16" s="53">
        <v>105.75871753692627</v>
      </c>
      <c r="D16" s="54">
        <v>465.62808927266087</v>
      </c>
      <c r="E16" s="53">
        <v>67.319547653198242</v>
      </c>
      <c r="F16" s="54">
        <v>228.70282363756439</v>
      </c>
      <c r="G16" s="53">
        <v>26.608956336975098</v>
      </c>
      <c r="H16" s="54">
        <v>92.441861261036706</v>
      </c>
      <c r="I16" s="53">
        <v>18.66484260559082</v>
      </c>
      <c r="J16" s="54">
        <v>26.715294814455319</v>
      </c>
      <c r="K16" s="53">
        <v>0</v>
      </c>
      <c r="L16" s="54"/>
      <c r="M16" s="53">
        <v>7.8731613159179688</v>
      </c>
      <c r="N16" s="54">
        <v>32.041879536722263</v>
      </c>
      <c r="O16" s="53">
        <v>20.254035949707031</v>
      </c>
      <c r="P16" s="54">
        <v>85.726230022882191</v>
      </c>
    </row>
    <row r="17" spans="1:16" ht="21" customHeight="1" x14ac:dyDescent="0.2">
      <c r="A17" s="30" t="s">
        <v>63</v>
      </c>
      <c r="B17" s="53">
        <v>6978.5904805660248</v>
      </c>
      <c r="C17" s="53">
        <v>44.412592887878418</v>
      </c>
      <c r="D17" s="54">
        <v>325.48774733814867</v>
      </c>
      <c r="E17" s="53">
        <v>44.412592887878418</v>
      </c>
      <c r="F17" s="54">
        <v>325.48774733814867</v>
      </c>
      <c r="G17" s="53">
        <v>0</v>
      </c>
      <c r="H17" s="54"/>
      <c r="I17" s="53">
        <v>0</v>
      </c>
      <c r="J17" s="54"/>
      <c r="K17" s="53">
        <v>0</v>
      </c>
      <c r="L17" s="54"/>
      <c r="M17" s="53">
        <v>0</v>
      </c>
      <c r="N17" s="54"/>
      <c r="O17" s="53">
        <v>0</v>
      </c>
      <c r="P17" s="54"/>
    </row>
    <row r="18" spans="1:16" ht="21" customHeight="1" x14ac:dyDescent="0.2">
      <c r="A18" s="30" t="s">
        <v>64</v>
      </c>
      <c r="B18" s="53">
        <v>875.2291579246521</v>
      </c>
      <c r="C18" s="53">
        <v>9.762603759765625</v>
      </c>
      <c r="D18" s="54">
        <v>138.84530974559357</v>
      </c>
      <c r="E18" s="53">
        <v>0</v>
      </c>
      <c r="F18" s="54"/>
      <c r="G18" s="53">
        <v>0</v>
      </c>
      <c r="H18" s="54"/>
      <c r="I18" s="53">
        <v>9.762603759765625</v>
      </c>
      <c r="J18" s="54">
        <v>79.604646372243678</v>
      </c>
      <c r="K18" s="53">
        <v>9.762603759765625</v>
      </c>
      <c r="L18" s="54">
        <v>7.4050831398799346</v>
      </c>
      <c r="M18" s="53">
        <v>0</v>
      </c>
      <c r="N18" s="54"/>
      <c r="O18" s="53">
        <v>9.762603759765625</v>
      </c>
      <c r="P18" s="54">
        <v>51.835580233469955</v>
      </c>
    </row>
    <row r="19" spans="1:16" s="6" customFormat="1" ht="21" customHeight="1" x14ac:dyDescent="0.2">
      <c r="A19" s="31" t="s">
        <v>65</v>
      </c>
      <c r="B19" s="25">
        <f>B7+B8</f>
        <v>4130789.1689232588</v>
      </c>
      <c r="C19" s="25">
        <f t="shared" ref="C19:P19" si="0">C7+C8</f>
        <v>59090.529280304909</v>
      </c>
      <c r="D19" s="26">
        <f t="shared" si="0"/>
        <v>28884.844772862329</v>
      </c>
      <c r="E19" s="25">
        <f t="shared" si="0"/>
        <v>24860.227348804474</v>
      </c>
      <c r="F19" s="26">
        <f t="shared" si="0"/>
        <v>8829.4984396821146</v>
      </c>
      <c r="G19" s="25">
        <f t="shared" si="0"/>
        <v>4742.1720427274704</v>
      </c>
      <c r="H19" s="26">
        <f t="shared" si="0"/>
        <v>3111.5801789124771</v>
      </c>
      <c r="I19" s="25">
        <f t="shared" si="0"/>
        <v>18023.844583392143</v>
      </c>
      <c r="J19" s="26">
        <f t="shared" si="0"/>
        <v>11947.641144551362</v>
      </c>
      <c r="K19" s="25">
        <f t="shared" si="0"/>
        <v>2180.9500089883804</v>
      </c>
      <c r="L19" s="26">
        <f t="shared" si="0"/>
        <v>422.48779211791617</v>
      </c>
      <c r="M19" s="25">
        <f t="shared" si="0"/>
        <v>6388.4161630868912</v>
      </c>
      <c r="N19" s="26">
        <f t="shared" si="0"/>
        <v>2187.4980078203826</v>
      </c>
      <c r="O19" s="25">
        <f t="shared" si="0"/>
        <v>10989.461863160133</v>
      </c>
      <c r="P19" s="26">
        <f t="shared" si="0"/>
        <v>2386.1392097781145</v>
      </c>
    </row>
    <row r="20" spans="1:16" ht="12" customHeight="1" x14ac:dyDescent="0.2"/>
  </sheetData>
  <mergeCells count="11">
    <mergeCell ref="I5:J5"/>
    <mergeCell ref="K5:L5"/>
    <mergeCell ref="M5:N5"/>
    <mergeCell ref="O5:P5"/>
    <mergeCell ref="A1:P1"/>
    <mergeCell ref="A4:A6"/>
    <mergeCell ref="B4:B6"/>
    <mergeCell ref="C4:P4"/>
    <mergeCell ref="C5:D5"/>
    <mergeCell ref="E5:F5"/>
    <mergeCell ref="G5:H5"/>
  </mergeCells>
  <conditionalFormatting sqref="B7:B19">
    <cfRule type="cellIs" dxfId="1363" priority="15" stopIfTrue="1" operator="equal">
      <formula>0</formula>
    </cfRule>
  </conditionalFormatting>
  <conditionalFormatting sqref="C7:C19">
    <cfRule type="cellIs" dxfId="1362" priority="14" stopIfTrue="1" operator="equal">
      <formula>0</formula>
    </cfRule>
  </conditionalFormatting>
  <conditionalFormatting sqref="E7:E19">
    <cfRule type="cellIs" dxfId="1361" priority="13" stopIfTrue="1" operator="equal">
      <formula>0</formula>
    </cfRule>
  </conditionalFormatting>
  <conditionalFormatting sqref="G7:G19">
    <cfRule type="cellIs" dxfId="1360" priority="12" stopIfTrue="1" operator="equal">
      <formula>0</formula>
    </cfRule>
  </conditionalFormatting>
  <conditionalFormatting sqref="I7:I19">
    <cfRule type="cellIs" dxfId="1359" priority="11" stopIfTrue="1" operator="equal">
      <formula>0</formula>
    </cfRule>
  </conditionalFormatting>
  <conditionalFormatting sqref="K7:K19">
    <cfRule type="cellIs" dxfId="1358" priority="10" stopIfTrue="1" operator="equal">
      <formula>0</formula>
    </cfRule>
  </conditionalFormatting>
  <conditionalFormatting sqref="M7:M19">
    <cfRule type="cellIs" dxfId="1357" priority="9" stopIfTrue="1" operator="equal">
      <formula>0</formula>
    </cfRule>
  </conditionalFormatting>
  <conditionalFormatting sqref="O7:O19">
    <cfRule type="cellIs" dxfId="1356" priority="8" stopIfTrue="1" operator="equal">
      <formula>0</formula>
    </cfRule>
  </conditionalFormatting>
  <conditionalFormatting sqref="D7:D19">
    <cfRule type="cellIs" dxfId="1355" priority="7" stopIfTrue="1" operator="equal">
      <formula>0</formula>
    </cfRule>
  </conditionalFormatting>
  <conditionalFormatting sqref="F7:F19">
    <cfRule type="cellIs" dxfId="1354" priority="6" stopIfTrue="1" operator="equal">
      <formula>0</formula>
    </cfRule>
  </conditionalFormatting>
  <conditionalFormatting sqref="H7:H19">
    <cfRule type="cellIs" dxfId="1353" priority="5" stopIfTrue="1" operator="equal">
      <formula>0</formula>
    </cfRule>
  </conditionalFormatting>
  <conditionalFormatting sqref="J7:J19">
    <cfRule type="cellIs" dxfId="1352" priority="4" stopIfTrue="1" operator="equal">
      <formula>0</formula>
    </cfRule>
  </conditionalFormatting>
  <conditionalFormatting sqref="L7:L19">
    <cfRule type="cellIs" dxfId="1351" priority="3" stopIfTrue="1" operator="equal">
      <formula>0</formula>
    </cfRule>
  </conditionalFormatting>
  <conditionalFormatting sqref="N7:N19">
    <cfRule type="cellIs" dxfId="1350" priority="2" stopIfTrue="1" operator="equal">
      <formula>0</formula>
    </cfRule>
  </conditionalFormatting>
  <conditionalFormatting sqref="P7:P19">
    <cfRule type="cellIs" dxfId="134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1070-B080-4253-9652-D502142F82DD}">
  <dimension ref="A1:P20"/>
  <sheetViews>
    <sheetView tabSelected="1" zoomScaleNormal="95" workbookViewId="0">
      <selection activeCell="F9" sqref="F9"/>
    </sheetView>
  </sheetViews>
  <sheetFormatPr defaultRowHeight="12.75" x14ac:dyDescent="0.2"/>
  <cols>
    <col min="1" max="1" width="23.85546875" customWidth="1"/>
    <col min="2" max="2" width="10.85546875" customWidth="1"/>
    <col min="3" max="3" width="9.42578125" customWidth="1"/>
    <col min="4" max="4" width="10.5703125" customWidth="1"/>
    <col min="5" max="6" width="9.140625" customWidth="1"/>
    <col min="7" max="7" width="8.42578125" customWidth="1"/>
    <col min="8" max="8" width="11" customWidth="1"/>
    <col min="9" max="9" width="9.140625" customWidth="1"/>
    <col min="10" max="10" width="11.42578125" customWidth="1"/>
    <col min="11" max="11" width="7.85546875" customWidth="1"/>
    <col min="12" max="12" width="9.42578125" customWidth="1"/>
    <col min="13" max="13" width="7.85546875" customWidth="1"/>
    <col min="14" max="14" width="10.42578125" customWidth="1"/>
    <col min="15" max="15" width="7.85546875" customWidth="1"/>
    <col min="16" max="16" width="10.140625" customWidth="1"/>
  </cols>
  <sheetData>
    <row r="1" spans="1:16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 t="s">
        <v>32</v>
      </c>
    </row>
    <row r="3" spans="1:16" x14ac:dyDescent="0.2">
      <c r="A3" s="27" t="s">
        <v>597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t="12.75" customHeight="1" x14ac:dyDescent="0.2">
      <c r="A4" s="122" t="s">
        <v>30</v>
      </c>
      <c r="B4" s="120" t="s">
        <v>41</v>
      </c>
      <c r="C4" s="122" t="s">
        <v>598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</row>
    <row r="5" spans="1:16" x14ac:dyDescent="0.2">
      <c r="A5" s="122"/>
      <c r="B5" s="120"/>
      <c r="C5" s="120" t="s">
        <v>47</v>
      </c>
      <c r="D5" s="120"/>
      <c r="E5" s="120" t="s">
        <v>48</v>
      </c>
      <c r="F5" s="120"/>
      <c r="G5" s="141" t="s">
        <v>543</v>
      </c>
      <c r="H5" s="141"/>
      <c r="I5" s="141" t="s">
        <v>544</v>
      </c>
      <c r="J5" s="141"/>
      <c r="K5" s="120" t="s">
        <v>49</v>
      </c>
      <c r="L5" s="120"/>
      <c r="M5" s="120" t="s">
        <v>50</v>
      </c>
      <c r="N5" s="120"/>
      <c r="O5" s="120" t="s">
        <v>51</v>
      </c>
      <c r="P5" s="120"/>
    </row>
    <row r="6" spans="1:16" ht="25.5" x14ac:dyDescent="0.2">
      <c r="A6" s="122"/>
      <c r="B6" s="120"/>
      <c r="C6" s="67" t="s">
        <v>41</v>
      </c>
      <c r="D6" s="67" t="s">
        <v>21</v>
      </c>
      <c r="E6" s="67" t="s">
        <v>41</v>
      </c>
      <c r="F6" s="67" t="s">
        <v>21</v>
      </c>
      <c r="G6" s="67" t="s">
        <v>41</v>
      </c>
      <c r="H6" s="67" t="s">
        <v>52</v>
      </c>
      <c r="I6" s="67" t="s">
        <v>41</v>
      </c>
      <c r="J6" s="67" t="s">
        <v>52</v>
      </c>
      <c r="K6" s="67" t="s">
        <v>41</v>
      </c>
      <c r="L6" s="67" t="s">
        <v>21</v>
      </c>
      <c r="M6" s="67" t="s">
        <v>41</v>
      </c>
      <c r="N6" s="67" t="s">
        <v>21</v>
      </c>
      <c r="O6" s="67" t="s">
        <v>41</v>
      </c>
      <c r="P6" s="67" t="s">
        <v>21</v>
      </c>
    </row>
    <row r="7" spans="1:16" s="6" customFormat="1" x14ac:dyDescent="0.2">
      <c r="A7" s="69" t="s">
        <v>53</v>
      </c>
      <c r="B7" s="49">
        <v>131504.2034342289</v>
      </c>
      <c r="C7" s="49">
        <v>3501.3680744171143</v>
      </c>
      <c r="D7" s="50">
        <v>936.84574204574039</v>
      </c>
      <c r="E7" s="49">
        <v>1054.3135541677475</v>
      </c>
      <c r="F7" s="50">
        <v>572.37845406780139</v>
      </c>
      <c r="G7" s="49">
        <v>264.39423274993896</v>
      </c>
      <c r="H7" s="50">
        <v>46.098142012557147</v>
      </c>
      <c r="I7" s="49">
        <v>579.53288006782532</v>
      </c>
      <c r="J7" s="50">
        <v>149.1780705887802</v>
      </c>
      <c r="K7" s="49">
        <v>129.94350147247314</v>
      </c>
      <c r="L7" s="50">
        <v>27.439679806505399</v>
      </c>
      <c r="M7" s="49">
        <v>339.66067790985107</v>
      </c>
      <c r="N7" s="50">
        <v>37.732706093630085</v>
      </c>
      <c r="O7" s="49">
        <v>1212.0953010320663</v>
      </c>
      <c r="P7" s="50">
        <v>104.01868947646621</v>
      </c>
    </row>
    <row r="8" spans="1:16" s="6" customFormat="1" ht="20.45" customHeight="1" x14ac:dyDescent="0.2">
      <c r="A8" s="29" t="s">
        <v>54</v>
      </c>
      <c r="B8" s="51">
        <v>3999284.9654890299</v>
      </c>
      <c r="C8" s="51">
        <v>651399.48683464527</v>
      </c>
      <c r="D8" s="52">
        <v>282450.28705067199</v>
      </c>
      <c r="E8" s="51">
        <v>163494.4279563427</v>
      </c>
      <c r="F8" s="52">
        <v>62684.547191572688</v>
      </c>
      <c r="G8" s="51">
        <v>61346.112507820129</v>
      </c>
      <c r="H8" s="52">
        <v>35336.342167573777</v>
      </c>
      <c r="I8" s="51">
        <v>325402.39126062393</v>
      </c>
      <c r="J8" s="52">
        <v>149218.1617199803</v>
      </c>
      <c r="K8" s="51">
        <v>8648.2035839557648</v>
      </c>
      <c r="L8" s="52">
        <v>1945.386493754128</v>
      </c>
      <c r="M8" s="51">
        <v>99272.084086179733</v>
      </c>
      <c r="N8" s="52">
        <v>24717.112890388071</v>
      </c>
      <c r="O8" s="51">
        <v>44932.735270619392</v>
      </c>
      <c r="P8" s="52">
        <v>8548.7365874022162</v>
      </c>
    </row>
    <row r="9" spans="1:16" ht="20.45" customHeight="1" x14ac:dyDescent="0.2">
      <c r="A9" s="30" t="s">
        <v>55</v>
      </c>
      <c r="B9" s="53">
        <v>425217.50214135647</v>
      </c>
      <c r="C9" s="53">
        <v>27534.329450368881</v>
      </c>
      <c r="D9" s="54">
        <v>997.57571095234357</v>
      </c>
      <c r="E9" s="53">
        <v>8810.6952449083328</v>
      </c>
      <c r="F9" s="54">
        <v>323.2421211154757</v>
      </c>
      <c r="G9" s="53">
        <v>1014.2616307735443</v>
      </c>
      <c r="H9" s="54">
        <v>33.815732142063602</v>
      </c>
      <c r="I9" s="53">
        <v>7174.7317086458206</v>
      </c>
      <c r="J9" s="54">
        <v>291.1410556689367</v>
      </c>
      <c r="K9" s="53">
        <v>499.08332908153534</v>
      </c>
      <c r="L9" s="54">
        <v>20.009180989285525</v>
      </c>
      <c r="M9" s="53">
        <v>3694.2785112857819</v>
      </c>
      <c r="N9" s="54">
        <v>125.70335062579875</v>
      </c>
      <c r="O9" s="53">
        <v>7049.6188101768494</v>
      </c>
      <c r="P9" s="54">
        <v>203.66427041078271</v>
      </c>
    </row>
    <row r="10" spans="1:16" ht="20.45" customHeight="1" x14ac:dyDescent="0.2">
      <c r="A10" s="30" t="s">
        <v>56</v>
      </c>
      <c r="B10" s="53">
        <v>648449.97284579277</v>
      </c>
      <c r="C10" s="53">
        <v>59610.802203893661</v>
      </c>
      <c r="D10" s="54">
        <v>5476.2381950098898</v>
      </c>
      <c r="E10" s="53">
        <v>17164.399826645851</v>
      </c>
      <c r="F10" s="54">
        <v>1576.4134325288155</v>
      </c>
      <c r="G10" s="53">
        <v>3941.0479683876038</v>
      </c>
      <c r="H10" s="54">
        <v>388.30528921750022</v>
      </c>
      <c r="I10" s="53">
        <v>22270.6170399189</v>
      </c>
      <c r="J10" s="54">
        <v>2135.8623977712036</v>
      </c>
      <c r="K10" s="53">
        <v>1144.2594542503357</v>
      </c>
      <c r="L10" s="54">
        <v>83.027291052213457</v>
      </c>
      <c r="M10" s="53">
        <v>11893.800697207451</v>
      </c>
      <c r="N10" s="54">
        <v>882.2831351602058</v>
      </c>
      <c r="O10" s="53">
        <v>5951.1204767227173</v>
      </c>
      <c r="P10" s="54">
        <v>410.34664927995465</v>
      </c>
    </row>
    <row r="11" spans="1:16" ht="20.45" customHeight="1" x14ac:dyDescent="0.2">
      <c r="A11" s="30" t="s">
        <v>57</v>
      </c>
      <c r="B11" s="53">
        <v>1430113.6145436764</v>
      </c>
      <c r="C11" s="53">
        <v>222928.21439552307</v>
      </c>
      <c r="D11" s="54">
        <v>46932.771781818308</v>
      </c>
      <c r="E11" s="53">
        <v>58131.801631689072</v>
      </c>
      <c r="F11" s="54">
        <v>11342.746844215912</v>
      </c>
      <c r="G11" s="53">
        <v>16307.4018638134</v>
      </c>
      <c r="H11" s="54">
        <v>3927.4846164880696</v>
      </c>
      <c r="I11" s="53">
        <v>104714.84815001488</v>
      </c>
      <c r="J11" s="54">
        <v>23467.627997986394</v>
      </c>
      <c r="K11" s="53">
        <v>3029.5373243093491</v>
      </c>
      <c r="L11" s="54">
        <v>413.75470968477259</v>
      </c>
      <c r="M11" s="53">
        <v>39533.361712574959</v>
      </c>
      <c r="N11" s="54">
        <v>6033.7329380642341</v>
      </c>
      <c r="O11" s="53">
        <v>14107.541908502579</v>
      </c>
      <c r="P11" s="54">
        <v>1747.4246753790339</v>
      </c>
    </row>
    <row r="12" spans="1:16" ht="20.45" customHeight="1" x14ac:dyDescent="0.2">
      <c r="A12" s="30" t="s">
        <v>58</v>
      </c>
      <c r="B12" s="53">
        <v>945303.95051133633</v>
      </c>
      <c r="C12" s="53">
        <v>208211.82017028332</v>
      </c>
      <c r="D12" s="54">
        <v>89850.561233964254</v>
      </c>
      <c r="E12" s="53">
        <v>46898.873376965523</v>
      </c>
      <c r="F12" s="54">
        <v>16854.969744559603</v>
      </c>
      <c r="G12" s="53">
        <v>20101.176889657974</v>
      </c>
      <c r="H12" s="54">
        <v>9508.383420720038</v>
      </c>
      <c r="I12" s="53">
        <v>117285.09512519836</v>
      </c>
      <c r="J12" s="54">
        <v>52610.129059309445</v>
      </c>
      <c r="K12" s="53">
        <v>2358.115401506424</v>
      </c>
      <c r="L12" s="54">
        <v>631.57075312407665</v>
      </c>
      <c r="M12" s="53">
        <v>27513.152451395988</v>
      </c>
      <c r="N12" s="54">
        <v>7737.1437409482605</v>
      </c>
      <c r="O12" s="53">
        <v>11185.511694669724</v>
      </c>
      <c r="P12" s="54">
        <v>2508.3645153030066</v>
      </c>
    </row>
    <row r="13" spans="1:16" ht="20.45" customHeight="1" x14ac:dyDescent="0.2">
      <c r="A13" s="30" t="s">
        <v>59</v>
      </c>
      <c r="B13" s="53">
        <v>427038.72920608521</v>
      </c>
      <c r="C13" s="53">
        <v>103666.50495064259</v>
      </c>
      <c r="D13" s="54">
        <v>84022.708508331896</v>
      </c>
      <c r="E13" s="53">
        <v>23514.755486130714</v>
      </c>
      <c r="F13" s="54">
        <v>15161.167089328173</v>
      </c>
      <c r="G13" s="53">
        <v>14360.429629087448</v>
      </c>
      <c r="H13" s="54">
        <v>11810.828206706665</v>
      </c>
      <c r="I13" s="53">
        <v>59465.175382971764</v>
      </c>
      <c r="J13" s="54">
        <v>48433.758735231444</v>
      </c>
      <c r="K13" s="53">
        <v>1234.9895918369293</v>
      </c>
      <c r="L13" s="54">
        <v>543.50703510861581</v>
      </c>
      <c r="M13" s="53">
        <v>12816.498488545418</v>
      </c>
      <c r="N13" s="54">
        <v>6066.5868596251657</v>
      </c>
      <c r="O13" s="53">
        <v>5089.9668488502502</v>
      </c>
      <c r="P13" s="54">
        <v>2006.8605823316475</v>
      </c>
    </row>
    <row r="14" spans="1:16" ht="20.45" customHeight="1" x14ac:dyDescent="0.2">
      <c r="A14" s="30" t="s">
        <v>60</v>
      </c>
      <c r="B14" s="53">
        <v>81947.948482036591</v>
      </c>
      <c r="C14" s="53">
        <v>19922.865013957024</v>
      </c>
      <c r="D14" s="54">
        <v>28784.927738798833</v>
      </c>
      <c r="E14" s="53">
        <v>5193.6903760433197</v>
      </c>
      <c r="F14" s="54">
        <v>5858.9389593186215</v>
      </c>
      <c r="G14" s="53">
        <v>3542.3832845687866</v>
      </c>
      <c r="H14" s="54">
        <v>4873.1779592631874</v>
      </c>
      <c r="I14" s="53">
        <v>10726.152200222015</v>
      </c>
      <c r="J14" s="54">
        <v>15115.424592425177</v>
      </c>
      <c r="K14" s="53">
        <v>316.93039989471436</v>
      </c>
      <c r="L14" s="54">
        <v>209.54170375344265</v>
      </c>
      <c r="M14" s="53">
        <v>2593.6403946876526</v>
      </c>
      <c r="N14" s="54">
        <v>1954.6611307820574</v>
      </c>
      <c r="O14" s="53">
        <v>960.19927322864532</v>
      </c>
      <c r="P14" s="54">
        <v>773.18339325636737</v>
      </c>
    </row>
    <row r="15" spans="1:16" ht="20.45" customHeight="1" x14ac:dyDescent="0.2">
      <c r="A15" s="30" t="s">
        <v>61</v>
      </c>
      <c r="B15" s="53">
        <v>25962.588759422302</v>
      </c>
      <c r="C15" s="53">
        <v>5488.6870274543762</v>
      </c>
      <c r="D15" s="54">
        <v>10771.907970751625</v>
      </c>
      <c r="E15" s="53">
        <v>1719.2154216766357</v>
      </c>
      <c r="F15" s="54">
        <v>2727.0324347373248</v>
      </c>
      <c r="G15" s="53">
        <v>1284.089611530304</v>
      </c>
      <c r="H15" s="54">
        <v>2428.0856990149741</v>
      </c>
      <c r="I15" s="53">
        <v>2554.0998873710632</v>
      </c>
      <c r="J15" s="54">
        <v>4613.5820111348012</v>
      </c>
      <c r="K15" s="53">
        <v>65.288083076477051</v>
      </c>
      <c r="L15" s="54">
        <v>43.975820041721946</v>
      </c>
      <c r="M15" s="53">
        <v>726.09531402587891</v>
      </c>
      <c r="N15" s="54">
        <v>616.33087166607856</v>
      </c>
      <c r="O15" s="53">
        <v>286.80728960037231</v>
      </c>
      <c r="P15" s="54">
        <v>342.90113415673761</v>
      </c>
    </row>
    <row r="16" spans="1:16" ht="20.45" customHeight="1" x14ac:dyDescent="0.2">
      <c r="A16" s="30" t="s">
        <v>62</v>
      </c>
      <c r="B16" s="53">
        <v>7396.839360833168</v>
      </c>
      <c r="C16" s="53">
        <v>1932.1566944122314</v>
      </c>
      <c r="D16" s="54">
        <v>4910.9663879557456</v>
      </c>
      <c r="E16" s="53">
        <v>888.18584585189819</v>
      </c>
      <c r="F16" s="54">
        <v>2169.184121842703</v>
      </c>
      <c r="G16" s="53">
        <v>383.74273347854614</v>
      </c>
      <c r="H16" s="54">
        <v>961.82757254974058</v>
      </c>
      <c r="I16" s="53">
        <v>684.856520652771</v>
      </c>
      <c r="J16" s="54">
        <v>1348.2189125857856</v>
      </c>
      <c r="K16" s="53">
        <v>0</v>
      </c>
      <c r="L16" s="54"/>
      <c r="M16" s="53">
        <v>191.72758388519287</v>
      </c>
      <c r="N16" s="54">
        <v>188.5842198577231</v>
      </c>
      <c r="O16" s="53">
        <v>121.95817852020264</v>
      </c>
      <c r="P16" s="54">
        <v>243.15156111979761</v>
      </c>
    </row>
    <row r="17" spans="1:16" ht="20.45" customHeight="1" x14ac:dyDescent="0.2">
      <c r="A17" s="30" t="s">
        <v>63</v>
      </c>
      <c r="B17" s="53">
        <v>6978.5904805660248</v>
      </c>
      <c r="C17" s="53">
        <v>1757.8166611194611</v>
      </c>
      <c r="D17" s="54">
        <v>7056.9431499511429</v>
      </c>
      <c r="E17" s="53">
        <v>928.27655529975891</v>
      </c>
      <c r="F17" s="54">
        <v>3832.8227769563146</v>
      </c>
      <c r="G17" s="53">
        <v>391.3777027130127</v>
      </c>
      <c r="H17" s="54">
        <v>1314.2547608689015</v>
      </c>
      <c r="I17" s="53">
        <v>464.09039974212646</v>
      </c>
      <c r="J17" s="54">
        <v>982.59774122164015</v>
      </c>
      <c r="K17" s="53">
        <v>0</v>
      </c>
      <c r="L17" s="54"/>
      <c r="M17" s="53">
        <v>253.83561611175537</v>
      </c>
      <c r="N17" s="54">
        <v>754.99052598667538</v>
      </c>
      <c r="O17" s="53">
        <v>152.33743333816528</v>
      </c>
      <c r="P17" s="54">
        <v>172.27734491761007</v>
      </c>
    </row>
    <row r="18" spans="1:16" ht="20.45" customHeight="1" x14ac:dyDescent="0.2">
      <c r="A18" s="30" t="s">
        <v>64</v>
      </c>
      <c r="B18" s="53">
        <v>875.2291579246521</v>
      </c>
      <c r="C18" s="53">
        <v>346.29026699066162</v>
      </c>
      <c r="D18" s="54">
        <v>3645.6863731362032</v>
      </c>
      <c r="E18" s="53">
        <v>244.5341911315918</v>
      </c>
      <c r="F18" s="54">
        <v>2838.029666969871</v>
      </c>
      <c r="G18" s="53">
        <v>20.201193809509277</v>
      </c>
      <c r="H18" s="54">
        <v>90.17891060263787</v>
      </c>
      <c r="I18" s="53">
        <v>62.724845886230469</v>
      </c>
      <c r="J18" s="54">
        <v>219.81921664461737</v>
      </c>
      <c r="K18" s="53">
        <v>0</v>
      </c>
      <c r="L18" s="54"/>
      <c r="M18" s="53">
        <v>55.693316459655762</v>
      </c>
      <c r="N18" s="54">
        <v>357.09611767181298</v>
      </c>
      <c r="O18" s="53">
        <v>27.673357009887695</v>
      </c>
      <c r="P18" s="54">
        <v>140.56246124726522</v>
      </c>
    </row>
    <row r="19" spans="1:16" s="6" customFormat="1" ht="20.45" customHeight="1" x14ac:dyDescent="0.2">
      <c r="A19" s="31" t="s">
        <v>65</v>
      </c>
      <c r="B19" s="25">
        <f>B7+B8</f>
        <v>4130789.1689232588</v>
      </c>
      <c r="C19" s="25">
        <f t="shared" ref="C19:P19" si="0">C7+C8</f>
        <v>654900.85490906239</v>
      </c>
      <c r="D19" s="26">
        <f t="shared" si="0"/>
        <v>283387.13279271772</v>
      </c>
      <c r="E19" s="25">
        <f t="shared" si="0"/>
        <v>164548.74151051044</v>
      </c>
      <c r="F19" s="26">
        <f t="shared" si="0"/>
        <v>63256.925645640491</v>
      </c>
      <c r="G19" s="25">
        <f t="shared" si="0"/>
        <v>61610.506740570068</v>
      </c>
      <c r="H19" s="26">
        <f t="shared" si="0"/>
        <v>35382.440309586331</v>
      </c>
      <c r="I19" s="25">
        <f t="shared" si="0"/>
        <v>325981.92414069176</v>
      </c>
      <c r="J19" s="26">
        <f t="shared" si="0"/>
        <v>149367.33979056909</v>
      </c>
      <c r="K19" s="25">
        <f t="shared" si="0"/>
        <v>8778.1470854282379</v>
      </c>
      <c r="L19" s="26">
        <f t="shared" si="0"/>
        <v>1972.8261735606334</v>
      </c>
      <c r="M19" s="25">
        <f t="shared" si="0"/>
        <v>99611.744764089584</v>
      </c>
      <c r="N19" s="26">
        <f t="shared" si="0"/>
        <v>24754.8455964817</v>
      </c>
      <c r="O19" s="25">
        <f t="shared" si="0"/>
        <v>46144.830571651459</v>
      </c>
      <c r="P19" s="26">
        <f t="shared" si="0"/>
        <v>8652.7552768786827</v>
      </c>
    </row>
    <row r="20" spans="1:16" ht="12" customHeight="1" x14ac:dyDescent="0.2"/>
  </sheetData>
  <mergeCells count="11">
    <mergeCell ref="I5:J5"/>
    <mergeCell ref="K5:L5"/>
    <mergeCell ref="M5:N5"/>
    <mergeCell ref="O5:P5"/>
    <mergeCell ref="A1:P1"/>
    <mergeCell ref="A4:A6"/>
    <mergeCell ref="B4:B6"/>
    <mergeCell ref="C4:P4"/>
    <mergeCell ref="C5:D5"/>
    <mergeCell ref="E5:F5"/>
    <mergeCell ref="G5:H5"/>
  </mergeCells>
  <conditionalFormatting sqref="B7:B19">
    <cfRule type="cellIs" dxfId="1348" priority="15" stopIfTrue="1" operator="equal">
      <formula>0</formula>
    </cfRule>
  </conditionalFormatting>
  <conditionalFormatting sqref="C7:C19">
    <cfRule type="cellIs" dxfId="1347" priority="14" stopIfTrue="1" operator="equal">
      <formula>0</formula>
    </cfRule>
  </conditionalFormatting>
  <conditionalFormatting sqref="E7:E19">
    <cfRule type="cellIs" dxfId="1346" priority="13" stopIfTrue="1" operator="equal">
      <formula>0</formula>
    </cfRule>
  </conditionalFormatting>
  <conditionalFormatting sqref="G7:G19">
    <cfRule type="cellIs" dxfId="1345" priority="12" stopIfTrue="1" operator="equal">
      <formula>0</formula>
    </cfRule>
  </conditionalFormatting>
  <conditionalFormatting sqref="I7:I19">
    <cfRule type="cellIs" dxfId="1344" priority="11" stopIfTrue="1" operator="equal">
      <formula>0</formula>
    </cfRule>
  </conditionalFormatting>
  <conditionalFormatting sqref="K7:K19">
    <cfRule type="cellIs" dxfId="1343" priority="10" stopIfTrue="1" operator="equal">
      <formula>0</formula>
    </cfRule>
  </conditionalFormatting>
  <conditionalFormatting sqref="M7:M19">
    <cfRule type="cellIs" dxfId="1342" priority="9" stopIfTrue="1" operator="equal">
      <formula>0</formula>
    </cfRule>
  </conditionalFormatting>
  <conditionalFormatting sqref="O7:O19">
    <cfRule type="cellIs" dxfId="1341" priority="8" stopIfTrue="1" operator="equal">
      <formula>0</formula>
    </cfRule>
  </conditionalFormatting>
  <conditionalFormatting sqref="D7:D19">
    <cfRule type="cellIs" dxfId="1340" priority="7" stopIfTrue="1" operator="equal">
      <formula>0</formula>
    </cfRule>
  </conditionalFormatting>
  <conditionalFormatting sqref="F7:F19">
    <cfRule type="cellIs" dxfId="1339" priority="6" stopIfTrue="1" operator="equal">
      <formula>0</formula>
    </cfRule>
  </conditionalFormatting>
  <conditionalFormatting sqref="H7:H19">
    <cfRule type="cellIs" dxfId="1338" priority="5" stopIfTrue="1" operator="equal">
      <formula>0</formula>
    </cfRule>
  </conditionalFormatting>
  <conditionalFormatting sqref="J7:J19">
    <cfRule type="cellIs" dxfId="1337" priority="4" stopIfTrue="1" operator="equal">
      <formula>0</formula>
    </cfRule>
  </conditionalFormatting>
  <conditionalFormatting sqref="L7:L19">
    <cfRule type="cellIs" dxfId="1336" priority="3" stopIfTrue="1" operator="equal">
      <formula>0</formula>
    </cfRule>
  </conditionalFormatting>
  <conditionalFormatting sqref="N7:N19">
    <cfRule type="cellIs" dxfId="1335" priority="2" stopIfTrue="1" operator="equal">
      <formula>0</formula>
    </cfRule>
  </conditionalFormatting>
  <conditionalFormatting sqref="P7:P19">
    <cfRule type="cellIs" dxfId="1334" priority="1" stopIfTrue="1" operator="equal">
      <formula>0</formula>
    </cfRule>
  </conditionalFormatting>
  <pageMargins left="0.27559055118110237" right="0.11811023622047245" top="0.79" bottom="0.74803149606299213" header="0.31496062992125984" footer="0.31496062992125984"/>
  <pageSetup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7EF5-1457-4CD9-B3A4-0ECE7662998C}">
  <dimension ref="A1:N24"/>
  <sheetViews>
    <sheetView zoomScale="92" zoomScaleNormal="146" workbookViewId="0">
      <selection activeCell="C19" sqref="C19"/>
    </sheetView>
  </sheetViews>
  <sheetFormatPr defaultColWidth="8.85546875" defaultRowHeight="12.75" x14ac:dyDescent="0.2"/>
  <cols>
    <col min="1" max="1" width="27.140625" style="27" customWidth="1"/>
    <col min="2" max="2" width="11.5703125" style="27" customWidth="1"/>
    <col min="3" max="3" width="13.42578125" style="27" customWidth="1"/>
    <col min="4" max="4" width="11.5703125" style="27" customWidth="1"/>
    <col min="5" max="5" width="11.85546875" style="27" customWidth="1"/>
    <col min="6" max="6" width="8.5703125" style="27" customWidth="1"/>
    <col min="7" max="7" width="7.85546875" style="27" customWidth="1"/>
    <col min="8" max="8" width="8.5703125" style="27" customWidth="1"/>
    <col min="9" max="9" width="8.42578125" style="27" customWidth="1"/>
    <col min="10" max="10" width="10.85546875" style="27" customWidth="1"/>
    <col min="11" max="11" width="12.42578125" style="27" customWidth="1"/>
    <col min="12" max="16384" width="8.85546875" style="27"/>
  </cols>
  <sheetData>
    <row r="1" spans="1:14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4" ht="16.350000000000001" customHeight="1" x14ac:dyDescent="0.2">
      <c r="B2" s="28"/>
      <c r="C2" s="28"/>
      <c r="D2" s="28"/>
      <c r="E2" s="28"/>
      <c r="F2" s="28"/>
      <c r="G2" s="28"/>
      <c r="H2" s="28"/>
      <c r="I2" s="28"/>
      <c r="J2" s="28"/>
      <c r="K2" s="28" t="s">
        <v>32</v>
      </c>
    </row>
    <row r="3" spans="1:14" x14ac:dyDescent="0.2">
      <c r="A3" s="27" t="s">
        <v>66</v>
      </c>
    </row>
    <row r="4" spans="1:14" x14ac:dyDescent="0.2">
      <c r="A4" s="120" t="s">
        <v>30</v>
      </c>
      <c r="B4" s="122" t="s">
        <v>47</v>
      </c>
      <c r="C4" s="122"/>
      <c r="D4" s="142" t="s">
        <v>67</v>
      </c>
      <c r="E4" s="142"/>
      <c r="F4" s="142"/>
      <c r="G4" s="142"/>
      <c r="H4" s="142"/>
      <c r="I4" s="142"/>
      <c r="J4" s="142"/>
      <c r="K4" s="142"/>
    </row>
    <row r="5" spans="1:14" x14ac:dyDescent="0.2">
      <c r="A5" s="120"/>
      <c r="B5" s="121" t="s">
        <v>41</v>
      </c>
      <c r="C5" s="121" t="s">
        <v>21</v>
      </c>
      <c r="D5" s="122" t="s">
        <v>68</v>
      </c>
      <c r="E5" s="122"/>
      <c r="F5" s="122"/>
      <c r="G5" s="122"/>
      <c r="H5" s="122"/>
      <c r="I5" s="122"/>
      <c r="J5" s="122"/>
      <c r="K5" s="122"/>
    </row>
    <row r="6" spans="1:14" ht="13.35" customHeight="1" x14ac:dyDescent="0.2">
      <c r="A6" s="120"/>
      <c r="B6" s="121"/>
      <c r="C6" s="121"/>
      <c r="D6" s="122" t="s">
        <v>69</v>
      </c>
      <c r="E6" s="122"/>
      <c r="F6" s="122"/>
      <c r="G6" s="122"/>
      <c r="H6" s="122"/>
      <c r="I6" s="122"/>
      <c r="J6" s="122"/>
      <c r="K6" s="122"/>
    </row>
    <row r="7" spans="1:14" x14ac:dyDescent="0.2">
      <c r="A7" s="120"/>
      <c r="B7" s="121"/>
      <c r="C7" s="121"/>
      <c r="D7" s="122" t="s">
        <v>70</v>
      </c>
      <c r="E7" s="122"/>
      <c r="F7" s="122"/>
      <c r="G7" s="122"/>
      <c r="H7" s="122"/>
      <c r="I7" s="122"/>
      <c r="J7" s="122"/>
      <c r="K7" s="122"/>
    </row>
    <row r="8" spans="1:14" ht="39" customHeight="1" x14ac:dyDescent="0.2">
      <c r="A8" s="120"/>
      <c r="B8" s="121"/>
      <c r="C8" s="121"/>
      <c r="D8" s="120" t="s">
        <v>71</v>
      </c>
      <c r="E8" s="120"/>
      <c r="F8" s="141" t="s">
        <v>546</v>
      </c>
      <c r="G8" s="141"/>
      <c r="H8" s="120" t="s">
        <v>72</v>
      </c>
      <c r="I8" s="120"/>
      <c r="J8" s="120" t="s">
        <v>73</v>
      </c>
      <c r="K8" s="120"/>
      <c r="N8" s="44"/>
    </row>
    <row r="9" spans="1:14" ht="29.25" customHeight="1" x14ac:dyDescent="0.2">
      <c r="A9" s="120"/>
      <c r="B9" s="121"/>
      <c r="C9" s="121"/>
      <c r="D9" s="34" t="s">
        <v>41</v>
      </c>
      <c r="E9" s="34" t="s">
        <v>21</v>
      </c>
      <c r="F9" s="34" t="s">
        <v>41</v>
      </c>
      <c r="G9" s="34" t="s">
        <v>21</v>
      </c>
      <c r="H9" s="34" t="s">
        <v>41</v>
      </c>
      <c r="I9" s="34" t="s">
        <v>21</v>
      </c>
      <c r="J9" s="34" t="s">
        <v>41</v>
      </c>
      <c r="K9" s="34" t="s">
        <v>21</v>
      </c>
      <c r="N9" s="44"/>
    </row>
    <row r="10" spans="1:14" s="38" customFormat="1" ht="20.45" customHeight="1" x14ac:dyDescent="0.2">
      <c r="A10" s="69" t="s">
        <v>0</v>
      </c>
      <c r="B10" s="49">
        <v>131504.2034342289</v>
      </c>
      <c r="C10" s="50">
        <v>8412.8188356442006</v>
      </c>
      <c r="D10" s="49">
        <v>39873.566251158714</v>
      </c>
      <c r="E10" s="50">
        <v>376.92588684254804</v>
      </c>
      <c r="F10" s="49">
        <v>2061.2413568496704</v>
      </c>
      <c r="G10" s="50">
        <v>408.36515675609968</v>
      </c>
      <c r="H10" s="49">
        <v>7598.6447974443436</v>
      </c>
      <c r="I10" s="50">
        <v>1496.1349321409414</v>
      </c>
      <c r="J10" s="49">
        <v>45555.11537706852</v>
      </c>
      <c r="K10" s="50">
        <v>2281.4259757395907</v>
      </c>
      <c r="N10" s="44"/>
    </row>
    <row r="11" spans="1:14" s="38" customFormat="1" ht="20.45" customHeight="1" x14ac:dyDescent="0.2">
      <c r="A11" s="29" t="s">
        <v>1</v>
      </c>
      <c r="B11" s="51">
        <v>3999284.9654890299</v>
      </c>
      <c r="C11" s="52">
        <v>2209997.0997300968</v>
      </c>
      <c r="D11" s="51">
        <v>3985512.5465109348</v>
      </c>
      <c r="E11" s="52">
        <v>1730604.0982981615</v>
      </c>
      <c r="F11" s="51">
        <v>105354.50895357132</v>
      </c>
      <c r="G11" s="52">
        <v>11824.341399416082</v>
      </c>
      <c r="H11" s="51">
        <v>441135.98401427269</v>
      </c>
      <c r="I11" s="52">
        <v>59046.438764855571</v>
      </c>
      <c r="J11" s="51">
        <v>3986898.8739628792</v>
      </c>
      <c r="K11" s="52">
        <v>1801474.8784624485</v>
      </c>
      <c r="N11" s="44"/>
    </row>
    <row r="12" spans="1:14" ht="20.45" customHeight="1" x14ac:dyDescent="0.2">
      <c r="A12" s="30" t="s">
        <v>2</v>
      </c>
      <c r="B12" s="53">
        <v>425217.50214135647</v>
      </c>
      <c r="C12" s="54">
        <v>25509.306759483829</v>
      </c>
      <c r="D12" s="53">
        <v>421265.65651190281</v>
      </c>
      <c r="E12" s="54">
        <v>16830.917190943961</v>
      </c>
      <c r="F12" s="53">
        <v>2008.2791059017181</v>
      </c>
      <c r="G12" s="54">
        <v>23.412317633618258</v>
      </c>
      <c r="H12" s="53">
        <v>13299.726594090462</v>
      </c>
      <c r="I12" s="54">
        <v>140.72995777071029</v>
      </c>
      <c r="J12" s="53">
        <v>421376.47325098515</v>
      </c>
      <c r="K12" s="54">
        <v>16995.059466348306</v>
      </c>
      <c r="N12" s="44"/>
    </row>
    <row r="13" spans="1:14" ht="20.45" customHeight="1" x14ac:dyDescent="0.2">
      <c r="A13" s="30" t="s">
        <v>3</v>
      </c>
      <c r="B13" s="53">
        <v>648449.97284579277</v>
      </c>
      <c r="C13" s="54">
        <v>96299.338873014785</v>
      </c>
      <c r="D13" s="53">
        <v>645476.24337077141</v>
      </c>
      <c r="E13" s="54">
        <v>74594.346614857437</v>
      </c>
      <c r="F13" s="53">
        <v>8307.9765477180481</v>
      </c>
      <c r="G13" s="54">
        <v>201.71605062548042</v>
      </c>
      <c r="H13" s="53">
        <v>37201.384063243866</v>
      </c>
      <c r="I13" s="54">
        <v>1033.4383937424623</v>
      </c>
      <c r="J13" s="53">
        <v>645657.2258245945</v>
      </c>
      <c r="K13" s="54">
        <v>75829.501059225484</v>
      </c>
      <c r="N13" s="44"/>
    </row>
    <row r="14" spans="1:14" ht="20.45" customHeight="1" x14ac:dyDescent="0.2">
      <c r="A14" s="30" t="s">
        <v>4</v>
      </c>
      <c r="B14" s="53">
        <v>1430113.6145436764</v>
      </c>
      <c r="C14" s="54">
        <v>478190.54053741047</v>
      </c>
      <c r="D14" s="53">
        <v>1426498.0422903299</v>
      </c>
      <c r="E14" s="54">
        <v>386024.54294853157</v>
      </c>
      <c r="F14" s="53">
        <v>34023.779721856117</v>
      </c>
      <c r="G14" s="54">
        <v>1805.1962095594342</v>
      </c>
      <c r="H14" s="53">
        <v>146493.34442794323</v>
      </c>
      <c r="I14" s="54">
        <v>9326.8988924826335</v>
      </c>
      <c r="J14" s="53">
        <v>1426827.364582181</v>
      </c>
      <c r="K14" s="54">
        <v>397156.63805057888</v>
      </c>
      <c r="N14" s="44"/>
    </row>
    <row r="15" spans="1:14" ht="20.45" customHeight="1" x14ac:dyDescent="0.2">
      <c r="A15" s="30" t="s">
        <v>5</v>
      </c>
      <c r="B15" s="53">
        <v>945303.95051133633</v>
      </c>
      <c r="C15" s="54">
        <v>660203.10200041207</v>
      </c>
      <c r="D15" s="53">
        <v>943673.75866353512</v>
      </c>
      <c r="E15" s="54">
        <v>529971.89376304217</v>
      </c>
      <c r="F15" s="53">
        <v>32481.052796244621</v>
      </c>
      <c r="G15" s="54">
        <v>3093.0871880265913</v>
      </c>
      <c r="H15" s="53">
        <v>139792.62064349651</v>
      </c>
      <c r="I15" s="54">
        <v>17452.864852844497</v>
      </c>
      <c r="J15" s="53">
        <v>944015.45532000065</v>
      </c>
      <c r="K15" s="54">
        <v>550517.84580393101</v>
      </c>
      <c r="N15" s="44"/>
    </row>
    <row r="16" spans="1:14" ht="20.45" customHeight="1" x14ac:dyDescent="0.2">
      <c r="A16" s="30" t="s">
        <v>6</v>
      </c>
      <c r="B16" s="53">
        <v>427038.72920608521</v>
      </c>
      <c r="C16" s="54">
        <v>576346.75913770939</v>
      </c>
      <c r="D16" s="53">
        <v>426000.78374052048</v>
      </c>
      <c r="E16" s="54">
        <v>445021.74475699</v>
      </c>
      <c r="F16" s="53">
        <v>20578.442165017128</v>
      </c>
      <c r="G16" s="54">
        <v>3707.4193002990592</v>
      </c>
      <c r="H16" s="53">
        <v>79664.86225771904</v>
      </c>
      <c r="I16" s="54">
        <v>18638.10929317425</v>
      </c>
      <c r="J16" s="53">
        <v>426244.18589496613</v>
      </c>
      <c r="K16" s="54">
        <v>467367.27335046494</v>
      </c>
      <c r="N16" s="44"/>
    </row>
    <row r="17" spans="1:14" ht="20.45" customHeight="1" x14ac:dyDescent="0.2">
      <c r="A17" s="30" t="s">
        <v>7</v>
      </c>
      <c r="B17" s="53">
        <v>81947.948482036591</v>
      </c>
      <c r="C17" s="54">
        <v>194230.78136854045</v>
      </c>
      <c r="D17" s="53">
        <v>81591.42390537262</v>
      </c>
      <c r="E17" s="54">
        <v>145505.20532538669</v>
      </c>
      <c r="F17" s="53">
        <v>5134.2792896032333</v>
      </c>
      <c r="G17" s="54">
        <v>1665.5413748029112</v>
      </c>
      <c r="H17" s="53">
        <v>16298.915236115456</v>
      </c>
      <c r="I17" s="54">
        <v>6285.5994875124652</v>
      </c>
      <c r="J17" s="53">
        <v>81730.99267911911</v>
      </c>
      <c r="K17" s="54">
        <v>153456.34618770159</v>
      </c>
      <c r="N17" s="44"/>
    </row>
    <row r="18" spans="1:14" ht="20.45" customHeight="1" x14ac:dyDescent="0.2">
      <c r="A18" s="30" t="s">
        <v>8</v>
      </c>
      <c r="B18" s="53">
        <v>25962.588759422302</v>
      </c>
      <c r="C18" s="54">
        <v>88368.61314559725</v>
      </c>
      <c r="D18" s="53">
        <v>25851.567206859589</v>
      </c>
      <c r="E18" s="54">
        <v>65052.066553808523</v>
      </c>
      <c r="F18" s="53">
        <v>1758.6489164829254</v>
      </c>
      <c r="G18" s="54">
        <v>678.25683627073454</v>
      </c>
      <c r="H18" s="53">
        <v>5330.124498128891</v>
      </c>
      <c r="I18" s="54">
        <v>3424.2255970223273</v>
      </c>
      <c r="J18" s="53">
        <v>25884.684071063995</v>
      </c>
      <c r="K18" s="54">
        <v>69154.548987101647</v>
      </c>
      <c r="N18" s="44"/>
    </row>
    <row r="19" spans="1:14" ht="20.45" customHeight="1" x14ac:dyDescent="0.2">
      <c r="A19" s="30" t="s">
        <v>9</v>
      </c>
      <c r="B19" s="53">
        <v>7396.839360833168</v>
      </c>
      <c r="C19" s="54">
        <v>32799.663934678501</v>
      </c>
      <c r="D19" s="53">
        <v>7387.6871153116226</v>
      </c>
      <c r="E19" s="54">
        <v>23978.64190394523</v>
      </c>
      <c r="F19" s="53">
        <v>521.98957991600037</v>
      </c>
      <c r="G19" s="54">
        <v>220.79790533212051</v>
      </c>
      <c r="H19" s="53">
        <v>1627.3168774843216</v>
      </c>
      <c r="I19" s="54">
        <v>1116.4332645194718</v>
      </c>
      <c r="J19" s="53">
        <v>7387.6871153116226</v>
      </c>
      <c r="K19" s="54">
        <v>25315.873073796818</v>
      </c>
      <c r="N19" s="44"/>
    </row>
    <row r="20" spans="1:14" ht="20.45" customHeight="1" x14ac:dyDescent="0.2">
      <c r="A20" s="30" t="s">
        <v>10</v>
      </c>
      <c r="B20" s="53">
        <v>6978.5904805660248</v>
      </c>
      <c r="C20" s="54">
        <v>44892.867958983035</v>
      </c>
      <c r="D20" s="53">
        <v>6917.3375337123871</v>
      </c>
      <c r="E20" s="54">
        <v>34018.616861279334</v>
      </c>
      <c r="F20" s="53">
        <v>479.08451867103577</v>
      </c>
      <c r="G20" s="54">
        <v>304.8657228178381</v>
      </c>
      <c r="H20" s="53">
        <v>1235.629384636879</v>
      </c>
      <c r="I20" s="54">
        <v>1147.9430207369412</v>
      </c>
      <c r="J20" s="53">
        <v>6924.7590520381927</v>
      </c>
      <c r="K20" s="54">
        <v>35471.425604834083</v>
      </c>
      <c r="N20" s="44"/>
    </row>
    <row r="21" spans="1:14" ht="20.45" customHeight="1" x14ac:dyDescent="0.2">
      <c r="A21" s="30" t="s">
        <v>11</v>
      </c>
      <c r="B21" s="53">
        <v>875.2291579246521</v>
      </c>
      <c r="C21" s="54">
        <v>13156.126014231626</v>
      </c>
      <c r="D21" s="53">
        <v>850.04617261886597</v>
      </c>
      <c r="E21" s="54">
        <v>9606.1223793597692</v>
      </c>
      <c r="F21" s="53">
        <v>60.976312160491943</v>
      </c>
      <c r="G21" s="54">
        <v>124.04849404833132</v>
      </c>
      <c r="H21" s="53">
        <v>192.06003141403198</v>
      </c>
      <c r="I21" s="54">
        <v>480.19600504978013</v>
      </c>
      <c r="J21" s="53">
        <v>850.04617261886597</v>
      </c>
      <c r="K21" s="54">
        <v>10210.366878457882</v>
      </c>
      <c r="N21" s="44"/>
    </row>
    <row r="22" spans="1:14" s="38" customFormat="1" ht="20.45" customHeight="1" x14ac:dyDescent="0.2">
      <c r="A22" s="31" t="s">
        <v>12</v>
      </c>
      <c r="B22" s="25">
        <f>B10+B11</f>
        <v>4130789.1689232588</v>
      </c>
      <c r="C22" s="26">
        <f t="shared" ref="C22:K22" si="0">C10+C11</f>
        <v>2218409.9185657408</v>
      </c>
      <c r="D22" s="25">
        <f t="shared" si="0"/>
        <v>4025386.1127620935</v>
      </c>
      <c r="E22" s="26">
        <f t="shared" si="0"/>
        <v>1730981.0241850042</v>
      </c>
      <c r="F22" s="25">
        <f t="shared" si="0"/>
        <v>107415.75031042099</v>
      </c>
      <c r="G22" s="26">
        <f t="shared" si="0"/>
        <v>12232.706556172181</v>
      </c>
      <c r="H22" s="25">
        <f t="shared" si="0"/>
        <v>448734.62881171703</v>
      </c>
      <c r="I22" s="26">
        <f t="shared" si="0"/>
        <v>60542.573696996515</v>
      </c>
      <c r="J22" s="25">
        <f t="shared" si="0"/>
        <v>4032453.9893399477</v>
      </c>
      <c r="K22" s="26">
        <f t="shared" si="0"/>
        <v>1803756.304438188</v>
      </c>
    </row>
    <row r="24" spans="1:14" x14ac:dyDescent="0.2">
      <c r="J24" s="55"/>
      <c r="K24" s="55"/>
    </row>
  </sheetData>
  <mergeCells count="13">
    <mergeCell ref="A1:K1"/>
    <mergeCell ref="A4:A9"/>
    <mergeCell ref="B4:C4"/>
    <mergeCell ref="D4:K4"/>
    <mergeCell ref="B5:B9"/>
    <mergeCell ref="C5:C9"/>
    <mergeCell ref="D5:K5"/>
    <mergeCell ref="D6:K6"/>
    <mergeCell ref="D7:K7"/>
    <mergeCell ref="D8:E8"/>
    <mergeCell ref="F8:G8"/>
    <mergeCell ref="H8:I8"/>
    <mergeCell ref="J8:K8"/>
  </mergeCells>
  <conditionalFormatting sqref="B10:B22">
    <cfRule type="cellIs" dxfId="1333" priority="10" stopIfTrue="1" operator="equal">
      <formula>0</formula>
    </cfRule>
  </conditionalFormatting>
  <conditionalFormatting sqref="D10:D22">
    <cfRule type="cellIs" dxfId="1332" priority="9" stopIfTrue="1" operator="equal">
      <formula>0</formula>
    </cfRule>
  </conditionalFormatting>
  <conditionalFormatting sqref="F10:F22">
    <cfRule type="cellIs" dxfId="1331" priority="8" stopIfTrue="1" operator="equal">
      <formula>0</formula>
    </cfRule>
  </conditionalFormatting>
  <conditionalFormatting sqref="H10:H22">
    <cfRule type="cellIs" dxfId="1330" priority="7" stopIfTrue="1" operator="equal">
      <formula>0</formula>
    </cfRule>
  </conditionalFormatting>
  <conditionalFormatting sqref="J10:J22">
    <cfRule type="cellIs" dxfId="1329" priority="6" stopIfTrue="1" operator="equal">
      <formula>0</formula>
    </cfRule>
  </conditionalFormatting>
  <conditionalFormatting sqref="C10:C22">
    <cfRule type="cellIs" dxfId="1328" priority="5" stopIfTrue="1" operator="equal">
      <formula>0</formula>
    </cfRule>
  </conditionalFormatting>
  <conditionalFormatting sqref="E10:E22">
    <cfRule type="cellIs" dxfId="1327" priority="4" stopIfTrue="1" operator="equal">
      <formula>0</formula>
    </cfRule>
  </conditionalFormatting>
  <conditionalFormatting sqref="G10:G22">
    <cfRule type="cellIs" dxfId="1326" priority="3" stopIfTrue="1" operator="equal">
      <formula>0</formula>
    </cfRule>
  </conditionalFormatting>
  <conditionalFormatting sqref="I10:I22">
    <cfRule type="cellIs" dxfId="1325" priority="2" stopIfTrue="1" operator="equal">
      <formula>0</formula>
    </cfRule>
  </conditionalFormatting>
  <conditionalFormatting sqref="K10:K22">
    <cfRule type="cellIs" dxfId="1324" priority="1" stopIfTrue="1" operator="equal">
      <formula>0</formula>
    </cfRule>
  </conditionalFormatting>
  <pageMargins left="0.67" right="0.11811023622047245" top="0.74803149606299213" bottom="0.74803149606299213" header="0.31496062992125984" footer="0.31496062992125984"/>
  <pageSetup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6DFD-AFBF-486C-B442-CA7E764FA289}">
  <dimension ref="A1:M21"/>
  <sheetViews>
    <sheetView zoomScale="92" zoomScaleNormal="122" workbookViewId="0">
      <selection activeCell="C19" sqref="C19"/>
    </sheetView>
  </sheetViews>
  <sheetFormatPr defaultColWidth="8.85546875" defaultRowHeight="12.75" x14ac:dyDescent="0.2"/>
  <cols>
    <col min="1" max="1" width="23.85546875" style="27" bestFit="1" customWidth="1"/>
    <col min="2" max="2" width="11.140625" style="27" bestFit="1" customWidth="1"/>
    <col min="3" max="3" width="10.5703125" style="27" customWidth="1"/>
    <col min="4" max="4" width="11.140625" style="27" bestFit="1" customWidth="1"/>
    <col min="5" max="5" width="8.5703125" style="27" customWidth="1"/>
    <col min="6" max="6" width="9.5703125" style="27" customWidth="1"/>
    <col min="7" max="7" width="10" style="27" customWidth="1"/>
    <col min="8" max="8" width="9.42578125" style="27" customWidth="1"/>
    <col min="9" max="9" width="9.85546875" style="27" customWidth="1"/>
    <col min="10" max="10" width="8.42578125" style="27" customWidth="1"/>
    <col min="11" max="11" width="8.5703125" style="27" customWidth="1"/>
    <col min="12" max="12" width="8.42578125" style="27" customWidth="1"/>
    <col min="13" max="13" width="8.140625" style="27" customWidth="1"/>
    <col min="14" max="16384" width="8.85546875" style="27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 t="s">
        <v>32</v>
      </c>
    </row>
    <row r="3" spans="1:13" x14ac:dyDescent="0.2">
      <c r="A3" s="27" t="s">
        <v>599</v>
      </c>
    </row>
    <row r="4" spans="1:13" x14ac:dyDescent="0.2">
      <c r="A4" s="123" t="s">
        <v>30</v>
      </c>
      <c r="B4" s="142" t="s">
        <v>67</v>
      </c>
      <c r="C4" s="142"/>
      <c r="D4" s="142"/>
      <c r="E4" s="142"/>
      <c r="F4" s="142"/>
      <c r="G4" s="142"/>
      <c r="H4" s="141" t="s">
        <v>545</v>
      </c>
      <c r="I4" s="141"/>
      <c r="J4" s="122" t="s">
        <v>74</v>
      </c>
      <c r="K4" s="122"/>
      <c r="L4" s="120" t="s">
        <v>75</v>
      </c>
      <c r="M4" s="120"/>
    </row>
    <row r="5" spans="1:13" ht="15" customHeight="1" x14ac:dyDescent="0.2">
      <c r="A5" s="123"/>
      <c r="B5" s="122" t="s">
        <v>68</v>
      </c>
      <c r="C5" s="122"/>
      <c r="D5" s="122"/>
      <c r="E5" s="122"/>
      <c r="F5" s="120" t="s">
        <v>76</v>
      </c>
      <c r="G5" s="120"/>
      <c r="H5" s="141"/>
      <c r="I5" s="141"/>
      <c r="J5" s="122"/>
      <c r="K5" s="122"/>
      <c r="L5" s="120"/>
      <c r="M5" s="120"/>
    </row>
    <row r="6" spans="1:13" ht="22.7" customHeight="1" x14ac:dyDescent="0.2">
      <c r="A6" s="123"/>
      <c r="B6" s="122" t="s">
        <v>69</v>
      </c>
      <c r="C6" s="122"/>
      <c r="D6" s="120" t="s">
        <v>530</v>
      </c>
      <c r="E6" s="120"/>
      <c r="F6" s="120"/>
      <c r="G6" s="120"/>
      <c r="H6" s="141"/>
      <c r="I6" s="141"/>
      <c r="J6" s="122"/>
      <c r="K6" s="122"/>
      <c r="L6" s="120"/>
      <c r="M6" s="120"/>
    </row>
    <row r="7" spans="1:13" ht="43.35" customHeight="1" x14ac:dyDescent="0.2">
      <c r="A7" s="123"/>
      <c r="B7" s="120" t="s">
        <v>77</v>
      </c>
      <c r="C7" s="120"/>
      <c r="D7" s="120"/>
      <c r="E7" s="120"/>
      <c r="F7" s="120"/>
      <c r="G7" s="120"/>
      <c r="H7" s="141"/>
      <c r="I7" s="141"/>
      <c r="J7" s="122"/>
      <c r="K7" s="122"/>
      <c r="L7" s="120"/>
      <c r="M7" s="120"/>
    </row>
    <row r="8" spans="1:13" ht="28.5" customHeight="1" x14ac:dyDescent="0.2">
      <c r="A8" s="123"/>
      <c r="B8" s="34" t="s">
        <v>41</v>
      </c>
      <c r="C8" s="34" t="s">
        <v>21</v>
      </c>
      <c r="D8" s="34" t="s">
        <v>41</v>
      </c>
      <c r="E8" s="34" t="s">
        <v>21</v>
      </c>
      <c r="F8" s="34" t="s">
        <v>41</v>
      </c>
      <c r="G8" s="34" t="s">
        <v>21</v>
      </c>
      <c r="H8" s="34" t="s">
        <v>41</v>
      </c>
      <c r="I8" s="34" t="s">
        <v>21</v>
      </c>
      <c r="J8" s="34" t="s">
        <v>41</v>
      </c>
      <c r="K8" s="34" t="s">
        <v>21</v>
      </c>
      <c r="L8" s="34" t="s">
        <v>41</v>
      </c>
      <c r="M8" s="34" t="s">
        <v>21</v>
      </c>
    </row>
    <row r="9" spans="1:13" s="38" customFormat="1" ht="20.45" customHeight="1" x14ac:dyDescent="0.2">
      <c r="A9" s="69" t="s">
        <v>0</v>
      </c>
      <c r="B9" s="49">
        <v>2322.283145904541</v>
      </c>
      <c r="C9" s="50">
        <v>12.906687876252462</v>
      </c>
      <c r="D9" s="49">
        <v>2115.7513222694397</v>
      </c>
      <c r="E9" s="50">
        <v>397.19414533221254</v>
      </c>
      <c r="F9" s="49">
        <v>131504.2034342289</v>
      </c>
      <c r="G9" s="50">
        <v>3864.5148687654623</v>
      </c>
      <c r="H9" s="49">
        <v>3130.7056796550751</v>
      </c>
      <c r="I9" s="50">
        <v>506.99239826085437</v>
      </c>
      <c r="J9" s="49">
        <v>1916.915203332901</v>
      </c>
      <c r="K9" s="50">
        <v>1277.5380682375558</v>
      </c>
      <c r="L9" s="49">
        <v>735.05883836746216</v>
      </c>
      <c r="M9" s="50">
        <v>72.246644972642343</v>
      </c>
    </row>
    <row r="10" spans="1:13" s="38" customFormat="1" ht="20.45" customHeight="1" x14ac:dyDescent="0.2">
      <c r="A10" s="29" t="s">
        <v>1</v>
      </c>
      <c r="B10" s="51">
        <v>956510.0103430748</v>
      </c>
      <c r="C10" s="52">
        <v>145349.99413822562</v>
      </c>
      <c r="D10" s="51">
        <v>215222.27892506123</v>
      </c>
      <c r="E10" s="52">
        <v>34983.312550710521</v>
      </c>
      <c r="F10" s="51">
        <v>3999284.9654890299</v>
      </c>
      <c r="G10" s="52">
        <v>133290.29126954207</v>
      </c>
      <c r="H10" s="51">
        <v>472644.68969845772</v>
      </c>
      <c r="I10" s="52">
        <v>80162.543143237359</v>
      </c>
      <c r="J10" s="51">
        <v>79235.192766308784</v>
      </c>
      <c r="K10" s="52">
        <v>11603.9057860673</v>
      </c>
      <c r="L10" s="51">
        <v>35802.674911260605</v>
      </c>
      <c r="M10" s="52">
        <v>3132.1730705740715</v>
      </c>
    </row>
    <row r="11" spans="1:13" ht="20.45" customHeight="1" x14ac:dyDescent="0.2">
      <c r="A11" s="30" t="s">
        <v>2</v>
      </c>
      <c r="B11" s="53">
        <v>34436.897290706635</v>
      </c>
      <c r="C11" s="54">
        <v>523.88390426006242</v>
      </c>
      <c r="D11" s="53">
        <v>3533.8581986427307</v>
      </c>
      <c r="E11" s="54">
        <v>51.963599125124709</v>
      </c>
      <c r="F11" s="53">
        <v>425217.50214135647</v>
      </c>
      <c r="G11" s="54">
        <v>7828.807719811999</v>
      </c>
      <c r="H11" s="53">
        <v>5623.3776561021805</v>
      </c>
      <c r="I11" s="54">
        <v>80.189547056114947</v>
      </c>
      <c r="J11" s="53">
        <v>1558.6676616668701</v>
      </c>
      <c r="K11" s="54">
        <v>18.685371429436778</v>
      </c>
      <c r="L11" s="53">
        <v>1036.7797646522522</v>
      </c>
      <c r="M11" s="54">
        <v>10.717159821877141</v>
      </c>
    </row>
    <row r="12" spans="1:13" ht="20.45" customHeight="1" x14ac:dyDescent="0.2">
      <c r="A12" s="30" t="s">
        <v>3</v>
      </c>
      <c r="B12" s="53">
        <v>93858.596800088882</v>
      </c>
      <c r="C12" s="54">
        <v>3030.354998364151</v>
      </c>
      <c r="D12" s="53">
        <v>16974.029652237892</v>
      </c>
      <c r="E12" s="54">
        <v>553.94753112450394</v>
      </c>
      <c r="F12" s="53">
        <v>648449.97284579277</v>
      </c>
      <c r="G12" s="54">
        <v>15724.773208111848</v>
      </c>
      <c r="H12" s="53">
        <v>30673.65517950058</v>
      </c>
      <c r="I12" s="54">
        <v>983.70348127859017</v>
      </c>
      <c r="J12" s="53">
        <v>5503.341808795929</v>
      </c>
      <c r="K12" s="54">
        <v>121.47889301889123</v>
      </c>
      <c r="L12" s="53">
        <v>2906.2008318901062</v>
      </c>
      <c r="M12" s="54">
        <v>55.493307697140864</v>
      </c>
    </row>
    <row r="13" spans="1:13" ht="20.45" customHeight="1" x14ac:dyDescent="0.2">
      <c r="A13" s="30" t="s">
        <v>4</v>
      </c>
      <c r="B13" s="53">
        <v>320392.94046008587</v>
      </c>
      <c r="C13" s="54">
        <v>21772.022428198648</v>
      </c>
      <c r="D13" s="53">
        <v>70324.229089260101</v>
      </c>
      <c r="E13" s="54">
        <v>5083.5254035851876</v>
      </c>
      <c r="F13" s="53">
        <v>1430113.6145436764</v>
      </c>
      <c r="G13" s="54">
        <v>43213.234541576712</v>
      </c>
      <c r="H13" s="53">
        <v>144641.26420879364</v>
      </c>
      <c r="I13" s="54">
        <v>9767.1631241793857</v>
      </c>
      <c r="J13" s="53">
        <v>19392.565361261368</v>
      </c>
      <c r="K13" s="54">
        <v>739.56638569746019</v>
      </c>
      <c r="L13" s="53">
        <v>11460.947229385376</v>
      </c>
      <c r="M13" s="54">
        <v>458.39095731430723</v>
      </c>
    </row>
    <row r="14" spans="1:13" ht="20.45" customHeight="1" x14ac:dyDescent="0.2">
      <c r="A14" s="30" t="s">
        <v>5</v>
      </c>
      <c r="B14" s="53">
        <v>292041.69927239418</v>
      </c>
      <c r="C14" s="54">
        <v>39782.833364825099</v>
      </c>
      <c r="D14" s="53">
        <v>68986.907928586006</v>
      </c>
      <c r="E14" s="54">
        <v>9651.188929127864</v>
      </c>
      <c r="F14" s="53">
        <v>945303.95051133633</v>
      </c>
      <c r="G14" s="54">
        <v>36751.563004719537</v>
      </c>
      <c r="H14" s="53">
        <v>157386.3896355629</v>
      </c>
      <c r="I14" s="54">
        <v>20915.136850628478</v>
      </c>
      <c r="J14" s="53">
        <v>22557.91163790226</v>
      </c>
      <c r="K14" s="54">
        <v>1735.6744043116234</v>
      </c>
      <c r="L14" s="53">
        <v>11341.348414897919</v>
      </c>
      <c r="M14" s="54">
        <v>848.94416760789511</v>
      </c>
    </row>
    <row r="15" spans="1:13" ht="20.45" customHeight="1" x14ac:dyDescent="0.2">
      <c r="A15" s="30" t="s">
        <v>6</v>
      </c>
      <c r="B15" s="53">
        <v>162806.7720066309</v>
      </c>
      <c r="C15" s="54">
        <v>46710.699240548391</v>
      </c>
      <c r="D15" s="53">
        <v>41131.917842149734</v>
      </c>
      <c r="E15" s="54">
        <v>11116.105167159423</v>
      </c>
      <c r="F15" s="53">
        <v>427038.72920608521</v>
      </c>
      <c r="G15" s="54">
        <v>20938.291252587209</v>
      </c>
      <c r="H15" s="53">
        <v>99652.901525497437</v>
      </c>
      <c r="I15" s="54">
        <v>26458.59007815634</v>
      </c>
      <c r="J15" s="53">
        <v>18025.501716136932</v>
      </c>
      <c r="K15" s="54">
        <v>3004.3707070320552</v>
      </c>
      <c r="L15" s="53">
        <v>6230.0219035148621</v>
      </c>
      <c r="M15" s="54">
        <v>751.42945958666655</v>
      </c>
    </row>
    <row r="16" spans="1:13" ht="20.45" customHeight="1" x14ac:dyDescent="0.2">
      <c r="A16" s="30" t="s">
        <v>7</v>
      </c>
      <c r="B16" s="53">
        <v>34376.462840199471</v>
      </c>
      <c r="C16" s="54">
        <v>17351.764136822585</v>
      </c>
      <c r="D16" s="53">
        <v>9426.0887703895569</v>
      </c>
      <c r="E16" s="54">
        <v>4499.7690164278965</v>
      </c>
      <c r="F16" s="53">
        <v>81947.948482036591</v>
      </c>
      <c r="G16" s="54">
        <v>5172.0107588612536</v>
      </c>
      <c r="H16" s="53">
        <v>22819.848236083984</v>
      </c>
      <c r="I16" s="54">
        <v>11088.543298895556</v>
      </c>
      <c r="J16" s="53">
        <v>6898.5958116054535</v>
      </c>
      <c r="K16" s="54">
        <v>2230.1782387272906</v>
      </c>
      <c r="L16" s="53">
        <v>1737.6283147335052</v>
      </c>
      <c r="M16" s="54">
        <v>432.16979995357946</v>
      </c>
    </row>
    <row r="17" spans="1:13" ht="20.45" customHeight="1" x14ac:dyDescent="0.2">
      <c r="A17" s="30" t="s">
        <v>8</v>
      </c>
      <c r="B17" s="53">
        <v>11372.166263818741</v>
      </c>
      <c r="C17" s="54">
        <v>8099.4599015590984</v>
      </c>
      <c r="D17" s="53">
        <v>2886.9896558523178</v>
      </c>
      <c r="E17" s="54">
        <v>1863.2373144216526</v>
      </c>
      <c r="F17" s="53">
        <v>25962.588759422302</v>
      </c>
      <c r="G17" s="54">
        <v>2010.879465953165</v>
      </c>
      <c r="H17" s="53">
        <v>7492.1278411149979</v>
      </c>
      <c r="I17" s="54">
        <v>5537.8770850235051</v>
      </c>
      <c r="J17" s="53">
        <v>2738.0582084655762</v>
      </c>
      <c r="K17" s="54">
        <v>1421.8999649863576</v>
      </c>
      <c r="L17" s="53">
        <v>732.40395927429199</v>
      </c>
      <c r="M17" s="54">
        <v>280.71040954874655</v>
      </c>
    </row>
    <row r="18" spans="1:13" ht="20.45" customHeight="1" x14ac:dyDescent="0.2">
      <c r="A18" s="30" t="s">
        <v>9</v>
      </c>
      <c r="B18" s="53">
        <v>3523.3302125930786</v>
      </c>
      <c r="C18" s="54">
        <v>3038.0406317951206</v>
      </c>
      <c r="D18" s="53">
        <v>1078.2408335208893</v>
      </c>
      <c r="E18" s="54">
        <v>995.27412086076117</v>
      </c>
      <c r="F18" s="53">
        <v>7396.839360833168</v>
      </c>
      <c r="G18" s="54">
        <v>633.64959240721885</v>
      </c>
      <c r="H18" s="53">
        <v>2274.0969915390015</v>
      </c>
      <c r="I18" s="54">
        <v>2055.7077181357022</v>
      </c>
      <c r="J18" s="53">
        <v>1009.9059476852417</v>
      </c>
      <c r="K18" s="54">
        <v>669.78194907484942</v>
      </c>
      <c r="L18" s="53">
        <v>191.79972791671753</v>
      </c>
      <c r="M18" s="54">
        <v>91.336828601113979</v>
      </c>
    </row>
    <row r="19" spans="1:13" ht="20.45" customHeight="1" x14ac:dyDescent="0.2">
      <c r="A19" s="30" t="s">
        <v>10</v>
      </c>
      <c r="B19" s="53">
        <v>3300.5719767808914</v>
      </c>
      <c r="C19" s="54">
        <v>3809.0930272189376</v>
      </c>
      <c r="D19" s="53">
        <v>742.69138240814209</v>
      </c>
      <c r="E19" s="54">
        <v>889.82255969577329</v>
      </c>
      <c r="F19" s="53">
        <v>6978.5904805660248</v>
      </c>
      <c r="G19" s="54">
        <v>857.72264122727779</v>
      </c>
      <c r="H19" s="53">
        <v>1808.7147440910339</v>
      </c>
      <c r="I19" s="54">
        <v>2351.4954203649263</v>
      </c>
      <c r="J19" s="53">
        <v>1388.2164678573608</v>
      </c>
      <c r="K19" s="54">
        <v>1314.9310940305429</v>
      </c>
      <c r="L19" s="53">
        <v>141.21905183792114</v>
      </c>
      <c r="M19" s="54">
        <v>198.37759573225654</v>
      </c>
    </row>
    <row r="20" spans="1:13" ht="20.45" customHeight="1" x14ac:dyDescent="0.2">
      <c r="A20" s="30" t="s">
        <v>11</v>
      </c>
      <c r="B20" s="53">
        <v>400.57321977615356</v>
      </c>
      <c r="C20" s="54">
        <v>1231.8425046329705</v>
      </c>
      <c r="D20" s="53">
        <v>137.32557201385498</v>
      </c>
      <c r="E20" s="54">
        <v>278.47890918232849</v>
      </c>
      <c r="F20" s="53">
        <v>875.2291579246521</v>
      </c>
      <c r="G20" s="54">
        <v>159.35908428660383</v>
      </c>
      <c r="H20" s="53">
        <v>272.31368017196655</v>
      </c>
      <c r="I20" s="54">
        <v>924.13653951776541</v>
      </c>
      <c r="J20" s="53">
        <v>162.42814493179321</v>
      </c>
      <c r="K20" s="54">
        <v>347.33877775876397</v>
      </c>
      <c r="L20" s="53">
        <v>24.325713157653809</v>
      </c>
      <c r="M20" s="54">
        <v>4.6033847104871022</v>
      </c>
    </row>
    <row r="21" spans="1:13" s="38" customFormat="1" ht="20.45" customHeight="1" x14ac:dyDescent="0.2">
      <c r="A21" s="31" t="s">
        <v>12</v>
      </c>
      <c r="B21" s="25">
        <f>B9+B10</f>
        <v>958832.29348897934</v>
      </c>
      <c r="C21" s="26">
        <f t="shared" ref="C21:M21" si="0">C9+C10</f>
        <v>145362.90082610186</v>
      </c>
      <c r="D21" s="25">
        <f t="shared" si="0"/>
        <v>217338.03024733067</v>
      </c>
      <c r="E21" s="26">
        <f t="shared" si="0"/>
        <v>35380.506696042736</v>
      </c>
      <c r="F21" s="25">
        <f t="shared" si="0"/>
        <v>4130789.1689232588</v>
      </c>
      <c r="G21" s="26">
        <f t="shared" si="0"/>
        <v>137154.80613830753</v>
      </c>
      <c r="H21" s="25">
        <f t="shared" si="0"/>
        <v>475775.39537811279</v>
      </c>
      <c r="I21" s="26">
        <f t="shared" si="0"/>
        <v>80669.535541498219</v>
      </c>
      <c r="J21" s="25">
        <f t="shared" si="0"/>
        <v>81152.107969641685</v>
      </c>
      <c r="K21" s="26">
        <f t="shared" si="0"/>
        <v>12881.443854304856</v>
      </c>
      <c r="L21" s="25">
        <f t="shared" si="0"/>
        <v>36537.733749628067</v>
      </c>
      <c r="M21" s="26">
        <f t="shared" si="0"/>
        <v>3204.4197155467136</v>
      </c>
    </row>
  </sheetData>
  <mergeCells count="11">
    <mergeCell ref="F5:G7"/>
    <mergeCell ref="B6:C6"/>
    <mergeCell ref="D6:E7"/>
    <mergeCell ref="B7:C7"/>
    <mergeCell ref="A1:M1"/>
    <mergeCell ref="A4:A8"/>
    <mergeCell ref="B4:G4"/>
    <mergeCell ref="H4:I7"/>
    <mergeCell ref="J4:K7"/>
    <mergeCell ref="L4:M7"/>
    <mergeCell ref="B5:E5"/>
  </mergeCells>
  <conditionalFormatting sqref="B9:B21">
    <cfRule type="cellIs" dxfId="1323" priority="12" stopIfTrue="1" operator="equal">
      <formula>0</formula>
    </cfRule>
  </conditionalFormatting>
  <conditionalFormatting sqref="D9:D21">
    <cfRule type="cellIs" dxfId="1322" priority="11" stopIfTrue="1" operator="equal">
      <formula>0</formula>
    </cfRule>
  </conditionalFormatting>
  <conditionalFormatting sqref="F9:F21">
    <cfRule type="cellIs" dxfId="1321" priority="10" stopIfTrue="1" operator="equal">
      <formula>0</formula>
    </cfRule>
  </conditionalFormatting>
  <conditionalFormatting sqref="H9:H21">
    <cfRule type="cellIs" dxfId="1320" priority="9" stopIfTrue="1" operator="equal">
      <formula>0</formula>
    </cfRule>
  </conditionalFormatting>
  <conditionalFormatting sqref="J9:J21">
    <cfRule type="cellIs" dxfId="1319" priority="8" stopIfTrue="1" operator="equal">
      <formula>0</formula>
    </cfRule>
  </conditionalFormatting>
  <conditionalFormatting sqref="L9:L21">
    <cfRule type="cellIs" dxfId="1318" priority="7" stopIfTrue="1" operator="equal">
      <formula>0</formula>
    </cfRule>
  </conditionalFormatting>
  <conditionalFormatting sqref="C9:C21">
    <cfRule type="cellIs" dxfId="1317" priority="6" stopIfTrue="1" operator="equal">
      <formula>0</formula>
    </cfRule>
  </conditionalFormatting>
  <conditionalFormatting sqref="E9:E21">
    <cfRule type="cellIs" dxfId="1316" priority="5" stopIfTrue="1" operator="equal">
      <formula>0</formula>
    </cfRule>
  </conditionalFormatting>
  <conditionalFormatting sqref="G9:G21">
    <cfRule type="cellIs" dxfId="1315" priority="4" stopIfTrue="1" operator="equal">
      <formula>0</formula>
    </cfRule>
  </conditionalFormatting>
  <conditionalFormatting sqref="I9:I21">
    <cfRule type="cellIs" dxfId="1314" priority="3" stopIfTrue="1" operator="equal">
      <formula>0</formula>
    </cfRule>
  </conditionalFormatting>
  <conditionalFormatting sqref="K9:K21">
    <cfRule type="cellIs" dxfId="1313" priority="2" stopIfTrue="1" operator="equal">
      <formula>0</formula>
    </cfRule>
  </conditionalFormatting>
  <conditionalFormatting sqref="M9:M21">
    <cfRule type="cellIs" dxfId="131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C885-B634-4191-84F3-8B6BF8C685C5}">
  <sheetPr>
    <pageSetUpPr fitToPage="1"/>
  </sheetPr>
  <dimension ref="A1:U24"/>
  <sheetViews>
    <sheetView zoomScale="95" zoomScaleNormal="112" workbookViewId="0">
      <selection activeCell="C19" sqref="C19"/>
    </sheetView>
  </sheetViews>
  <sheetFormatPr defaultColWidth="8.85546875" defaultRowHeight="12.75" x14ac:dyDescent="0.2"/>
  <cols>
    <col min="1" max="1" width="21.85546875" style="27" customWidth="1"/>
    <col min="2" max="2" width="10.5703125" style="27" customWidth="1"/>
    <col min="3" max="3" width="12.140625" style="27" customWidth="1"/>
    <col min="4" max="4" width="10.140625" style="27" customWidth="1"/>
    <col min="5" max="5" width="11.140625" style="27" customWidth="1"/>
    <col min="6" max="6" width="10.85546875" style="27" customWidth="1"/>
    <col min="7" max="7" width="12.140625" style="27" customWidth="1"/>
    <col min="8" max="8" width="10.140625" style="27" customWidth="1"/>
    <col min="9" max="9" width="10.5703125" style="27" customWidth="1"/>
    <col min="10" max="10" width="9.85546875" style="27" customWidth="1"/>
    <col min="11" max="11" width="10.5703125" style="27" customWidth="1"/>
    <col min="12" max="12" width="9.85546875" style="27" customWidth="1"/>
    <col min="13" max="13" width="10.5703125" style="27" customWidth="1"/>
    <col min="14" max="14" width="9.85546875" style="27" customWidth="1"/>
    <col min="15" max="15" width="10.5703125" style="27" customWidth="1"/>
    <col min="16" max="16" width="8.42578125" style="27" customWidth="1"/>
    <col min="17" max="17" width="10.140625" style="27" customWidth="1"/>
    <col min="18" max="18" width="10.5703125" style="27" customWidth="1"/>
    <col min="19" max="19" width="12.140625" style="27" customWidth="1"/>
    <col min="20" max="16384" width="8.85546875" style="27"/>
  </cols>
  <sheetData>
    <row r="1" spans="1:2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21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S2" s="28" t="s">
        <v>32</v>
      </c>
    </row>
    <row r="3" spans="1:21" x14ac:dyDescent="0.2">
      <c r="A3" s="27" t="s">
        <v>78</v>
      </c>
    </row>
    <row r="4" spans="1:21" s="39" customFormat="1" x14ac:dyDescent="0.2">
      <c r="A4" s="123" t="s">
        <v>30</v>
      </c>
      <c r="B4" s="124" t="s">
        <v>47</v>
      </c>
      <c r="C4" s="125"/>
      <c r="D4" s="124" t="s">
        <v>79</v>
      </c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5"/>
      <c r="R4" s="143" t="s">
        <v>432</v>
      </c>
      <c r="S4" s="144"/>
    </row>
    <row r="5" spans="1:21" s="39" customFormat="1" ht="15.75" customHeight="1" x14ac:dyDescent="0.2">
      <c r="A5" s="123"/>
      <c r="B5" s="126" t="s">
        <v>41</v>
      </c>
      <c r="C5" s="126" t="s">
        <v>21</v>
      </c>
      <c r="D5" s="126" t="s">
        <v>80</v>
      </c>
      <c r="E5" s="126" t="s">
        <v>21</v>
      </c>
      <c r="F5" s="124" t="s">
        <v>81</v>
      </c>
      <c r="G5" s="128"/>
      <c r="H5" s="128"/>
      <c r="I5" s="125"/>
      <c r="J5" s="132" t="s">
        <v>600</v>
      </c>
      <c r="K5" s="133"/>
      <c r="L5" s="132" t="s">
        <v>82</v>
      </c>
      <c r="M5" s="133"/>
      <c r="N5" s="132" t="s">
        <v>83</v>
      </c>
      <c r="O5" s="133"/>
      <c r="P5" s="132" t="s">
        <v>84</v>
      </c>
      <c r="Q5" s="133"/>
      <c r="R5" s="145"/>
      <c r="S5" s="146"/>
      <c r="U5"/>
    </row>
    <row r="6" spans="1:21" s="39" customFormat="1" ht="15.75" customHeight="1" x14ac:dyDescent="0.2">
      <c r="A6" s="123"/>
      <c r="B6" s="149"/>
      <c r="C6" s="149"/>
      <c r="D6" s="149"/>
      <c r="E6" s="149"/>
      <c r="F6" s="124" t="s">
        <v>85</v>
      </c>
      <c r="G6" s="125"/>
      <c r="H6" s="124" t="s">
        <v>86</v>
      </c>
      <c r="I6" s="125"/>
      <c r="J6" s="136"/>
      <c r="K6" s="137"/>
      <c r="L6" s="136"/>
      <c r="M6" s="137"/>
      <c r="N6" s="136"/>
      <c r="O6" s="137"/>
      <c r="P6" s="136"/>
      <c r="Q6" s="137"/>
      <c r="R6" s="147"/>
      <c r="S6" s="148"/>
      <c r="U6"/>
    </row>
    <row r="7" spans="1:21" s="39" customFormat="1" ht="28.5" customHeight="1" x14ac:dyDescent="0.2">
      <c r="A7" s="123"/>
      <c r="B7" s="149"/>
      <c r="C7" s="149"/>
      <c r="D7" s="149"/>
      <c r="E7" s="149"/>
      <c r="F7" s="33" t="s">
        <v>41</v>
      </c>
      <c r="G7" s="33" t="s">
        <v>21</v>
      </c>
      <c r="H7" s="33" t="s">
        <v>41</v>
      </c>
      <c r="I7" s="33" t="s">
        <v>21</v>
      </c>
      <c r="J7" s="33" t="s">
        <v>41</v>
      </c>
      <c r="K7" s="33" t="s">
        <v>21</v>
      </c>
      <c r="L7" s="33" t="s">
        <v>41</v>
      </c>
      <c r="M7" s="33" t="s">
        <v>21</v>
      </c>
      <c r="N7" s="33" t="s">
        <v>41</v>
      </c>
      <c r="O7" s="33" t="s">
        <v>21</v>
      </c>
      <c r="P7" s="33" t="s">
        <v>41</v>
      </c>
      <c r="Q7" s="33" t="s">
        <v>21</v>
      </c>
      <c r="R7" s="33" t="s">
        <v>41</v>
      </c>
      <c r="S7" s="33" t="s">
        <v>21</v>
      </c>
      <c r="U7"/>
    </row>
    <row r="8" spans="1:21" s="38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25969.968011856079</v>
      </c>
      <c r="E8" s="50">
        <v>1314.0336619296797</v>
      </c>
      <c r="F8" s="49">
        <v>6852.1841727495193</v>
      </c>
      <c r="G8" s="50">
        <v>394.98210562875283</v>
      </c>
      <c r="H8" s="49">
        <v>1673.9432511329651</v>
      </c>
      <c r="I8" s="50">
        <v>272.42411857388765</v>
      </c>
      <c r="J8" s="49">
        <v>483.57627165317535</v>
      </c>
      <c r="K8" s="50">
        <v>89.234947192415817</v>
      </c>
      <c r="L8" s="49">
        <v>11008.357464551926</v>
      </c>
      <c r="M8" s="50">
        <v>408.89196163198574</v>
      </c>
      <c r="N8" s="49">
        <v>5761.177098274231</v>
      </c>
      <c r="O8" s="50">
        <v>116.8823454777166</v>
      </c>
      <c r="P8" s="49">
        <v>589.80264520645142</v>
      </c>
      <c r="Q8" s="50">
        <v>31.618183424919042</v>
      </c>
      <c r="R8" s="49">
        <v>20315.191268205643</v>
      </c>
      <c r="S8" s="50">
        <v>1080.9087260532754</v>
      </c>
      <c r="U8"/>
    </row>
    <row r="9" spans="1:21" s="38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2863136.3721477985</v>
      </c>
      <c r="E9" s="52">
        <v>1207951.4900675432</v>
      </c>
      <c r="F9" s="51">
        <v>1135304.1721613407</v>
      </c>
      <c r="G9" s="52">
        <v>341106.30289313657</v>
      </c>
      <c r="H9" s="51">
        <v>425473.94989395142</v>
      </c>
      <c r="I9" s="52">
        <v>155087.15544501209</v>
      </c>
      <c r="J9" s="51">
        <v>258767.90079212189</v>
      </c>
      <c r="K9" s="52">
        <v>91259.037668617064</v>
      </c>
      <c r="L9" s="51">
        <v>1041323.904998064</v>
      </c>
      <c r="M9" s="52">
        <v>503485.81059318839</v>
      </c>
      <c r="N9" s="51">
        <v>357243.6492357254</v>
      </c>
      <c r="O9" s="52">
        <v>76116.088523149068</v>
      </c>
      <c r="P9" s="51">
        <v>120769.62867426872</v>
      </c>
      <c r="Q9" s="52">
        <v>40897.094944427728</v>
      </c>
      <c r="R9" s="51">
        <v>2154001.2251224518</v>
      </c>
      <c r="S9" s="52">
        <v>878489.05599176011</v>
      </c>
      <c r="U9"/>
    </row>
    <row r="10" spans="1:21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266725.8349763155</v>
      </c>
      <c r="E10" s="54">
        <v>10951.757560473834</v>
      </c>
      <c r="F10" s="53">
        <v>73996.634386539459</v>
      </c>
      <c r="G10" s="54">
        <v>3131.5360065121536</v>
      </c>
      <c r="H10" s="53">
        <v>24065.756781816483</v>
      </c>
      <c r="I10" s="54">
        <v>1008.2682736983519</v>
      </c>
      <c r="J10" s="53">
        <v>13059.751517534256</v>
      </c>
      <c r="K10" s="54">
        <v>543.3439879686216</v>
      </c>
      <c r="L10" s="53">
        <v>107505.71791696548</v>
      </c>
      <c r="M10" s="54">
        <v>4341.6479918758951</v>
      </c>
      <c r="N10" s="53">
        <v>46413.672454357147</v>
      </c>
      <c r="O10" s="54">
        <v>1549.251833213001</v>
      </c>
      <c r="P10" s="53">
        <v>9555.7883826494217</v>
      </c>
      <c r="Q10" s="54">
        <v>377.70946720578934</v>
      </c>
      <c r="R10" s="53">
        <v>203031.20027661324</v>
      </c>
      <c r="S10" s="54">
        <v>8198.5260104265362</v>
      </c>
      <c r="U10"/>
    </row>
    <row r="11" spans="1:21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413974.00984787941</v>
      </c>
      <c r="E11" s="54">
        <v>44511.871999720199</v>
      </c>
      <c r="F11" s="53">
        <v>164324.25757586956</v>
      </c>
      <c r="G11" s="54">
        <v>15140.832334714436</v>
      </c>
      <c r="H11" s="53">
        <v>52528.659103512764</v>
      </c>
      <c r="I11" s="54">
        <v>5238.1728206246671</v>
      </c>
      <c r="J11" s="53">
        <v>33005.462471604347</v>
      </c>
      <c r="K11" s="54">
        <v>3270.0497536446696</v>
      </c>
      <c r="L11" s="53">
        <v>131476.27295923233</v>
      </c>
      <c r="M11" s="54">
        <v>15577.070574411899</v>
      </c>
      <c r="N11" s="53">
        <v>49711.973127603531</v>
      </c>
      <c r="O11" s="54">
        <v>3901.0065704922026</v>
      </c>
      <c r="P11" s="53">
        <v>14309.294547796249</v>
      </c>
      <c r="Q11" s="54">
        <v>1384.7399458323507</v>
      </c>
      <c r="R11" s="53">
        <v>306484.53698480129</v>
      </c>
      <c r="S11" s="54">
        <v>32193.090515056068</v>
      </c>
      <c r="U11"/>
    </row>
    <row r="12" spans="1:21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1013144.5127578974</v>
      </c>
      <c r="E12" s="54">
        <v>241130.39941594377</v>
      </c>
      <c r="F12" s="53">
        <v>427644.77395880222</v>
      </c>
      <c r="G12" s="54">
        <v>82449.134759446737</v>
      </c>
      <c r="H12" s="53">
        <v>145792.49917900562</v>
      </c>
      <c r="I12" s="54">
        <v>29940.956462441856</v>
      </c>
      <c r="J12" s="53">
        <v>98301.996520757675</v>
      </c>
      <c r="K12" s="54">
        <v>20483.973390436673</v>
      </c>
      <c r="L12" s="53">
        <v>321681.72892582417</v>
      </c>
      <c r="M12" s="54">
        <v>82520.734597687828</v>
      </c>
      <c r="N12" s="53">
        <v>120156.39950978756</v>
      </c>
      <c r="O12" s="54">
        <v>17761.790536817483</v>
      </c>
      <c r="P12" s="53">
        <v>40234.179860472679</v>
      </c>
      <c r="Q12" s="54">
        <v>7973.8096691163473</v>
      </c>
      <c r="R12" s="53">
        <v>749475.15868651867</v>
      </c>
      <c r="S12" s="54">
        <v>171123.14061739738</v>
      </c>
      <c r="U12"/>
    </row>
    <row r="13" spans="1:21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722946.24092268944</v>
      </c>
      <c r="E13" s="54">
        <v>357783.7767455827</v>
      </c>
      <c r="F13" s="53">
        <v>298458.25838398933</v>
      </c>
      <c r="G13" s="54">
        <v>109467.58639505092</v>
      </c>
      <c r="H13" s="53">
        <v>119944.52264738083</v>
      </c>
      <c r="I13" s="54">
        <v>46804.328213998888</v>
      </c>
      <c r="J13" s="53">
        <v>72818.775034070015</v>
      </c>
      <c r="K13" s="54">
        <v>29129.754399386711</v>
      </c>
      <c r="L13" s="53">
        <v>271889.11922812462</v>
      </c>
      <c r="M13" s="54">
        <v>137603.67085208953</v>
      </c>
      <c r="N13" s="53">
        <v>86314.170736312866</v>
      </c>
      <c r="O13" s="54">
        <v>23030.326204360532</v>
      </c>
      <c r="P13" s="53">
        <v>32365.840552330017</v>
      </c>
      <c r="Q13" s="54">
        <v>11748.110680696655</v>
      </c>
      <c r="R13" s="53">
        <v>544825.19199454784</v>
      </c>
      <c r="S13" s="54">
        <v>255365.8170501705</v>
      </c>
      <c r="U13"/>
    </row>
    <row r="14" spans="1:21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342912.31355285645</v>
      </c>
      <c r="E14" s="54">
        <v>325637.46712575591</v>
      </c>
      <c r="F14" s="53">
        <v>134894.48094534874</v>
      </c>
      <c r="G14" s="54">
        <v>86615.516534865135</v>
      </c>
      <c r="H14" s="53">
        <v>61843.939787387848</v>
      </c>
      <c r="I14" s="54">
        <v>41974.983592291384</v>
      </c>
      <c r="J14" s="53">
        <v>32017.656749248505</v>
      </c>
      <c r="K14" s="54">
        <v>23295.973715458746</v>
      </c>
      <c r="L14" s="53">
        <v>151038.1335337162</v>
      </c>
      <c r="M14" s="54">
        <v>142502.62009290955</v>
      </c>
      <c r="N14" s="53">
        <v>42850.116895794868</v>
      </c>
      <c r="O14" s="54">
        <v>19884.019581757424</v>
      </c>
      <c r="P14" s="53">
        <v>18148.496771335602</v>
      </c>
      <c r="Q14" s="54">
        <v>11364.35360847359</v>
      </c>
      <c r="R14" s="53">
        <v>265186.86564683914</v>
      </c>
      <c r="S14" s="54">
        <v>237052.36632254391</v>
      </c>
      <c r="U14"/>
    </row>
    <row r="15" spans="1:21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68001.30856859684</v>
      </c>
      <c r="E15" s="54">
        <v>114811.76536233292</v>
      </c>
      <c r="F15" s="53">
        <v>24911.629883766174</v>
      </c>
      <c r="G15" s="54">
        <v>25421.436757867607</v>
      </c>
      <c r="H15" s="53">
        <v>13582.185839414597</v>
      </c>
      <c r="I15" s="54">
        <v>15369.679263396749</v>
      </c>
      <c r="J15" s="53">
        <v>6323.5463988780975</v>
      </c>
      <c r="K15" s="54">
        <v>8048.3045223149229</v>
      </c>
      <c r="L15" s="53">
        <v>35993.41050362587</v>
      </c>
      <c r="M15" s="54">
        <v>55932.66314654021</v>
      </c>
      <c r="N15" s="53">
        <v>8310.8790464401245</v>
      </c>
      <c r="O15" s="54">
        <v>5985.6173744379612</v>
      </c>
      <c r="P15" s="53">
        <v>3950.3104195594788</v>
      </c>
      <c r="Q15" s="54">
        <v>4054.0642977755369</v>
      </c>
      <c r="R15" s="53">
        <v>55234.416968822479</v>
      </c>
      <c r="S15" s="54">
        <v>85809.961475092859</v>
      </c>
      <c r="U15"/>
    </row>
    <row r="16" spans="1:21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21968.686841249466</v>
      </c>
      <c r="E16" s="54">
        <v>53341.443914247815</v>
      </c>
      <c r="F16" s="53">
        <v>7317.9717581272125</v>
      </c>
      <c r="G16" s="54">
        <v>9927.9725067678555</v>
      </c>
      <c r="H16" s="53">
        <v>4530.9132869243622</v>
      </c>
      <c r="I16" s="54">
        <v>6969.8835404663378</v>
      </c>
      <c r="J16" s="53">
        <v>1988.749049782753</v>
      </c>
      <c r="K16" s="54">
        <v>2979.2221033999999</v>
      </c>
      <c r="L16" s="53">
        <v>13005.437485575676</v>
      </c>
      <c r="M16" s="54">
        <v>29242.362298464592</v>
      </c>
      <c r="N16" s="53">
        <v>2132.5496306419373</v>
      </c>
      <c r="O16" s="54">
        <v>2092.5811944509878</v>
      </c>
      <c r="P16" s="53">
        <v>1387.7153706550598</v>
      </c>
      <c r="Q16" s="54">
        <v>2129.4222706981304</v>
      </c>
      <c r="R16" s="53">
        <v>18506.79047369957</v>
      </c>
      <c r="S16" s="54">
        <v>41796.863571557456</v>
      </c>
      <c r="U16"/>
    </row>
    <row r="17" spans="1:21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6477.161504149437</v>
      </c>
      <c r="E17" s="54">
        <v>20276.793793056211</v>
      </c>
      <c r="F17" s="53">
        <v>1770.0940738916397</v>
      </c>
      <c r="G17" s="54">
        <v>3068.4845590332484</v>
      </c>
      <c r="H17" s="53">
        <v>1473.6191253662109</v>
      </c>
      <c r="I17" s="54">
        <v>2616.3477042698264</v>
      </c>
      <c r="J17" s="53">
        <v>574.86174821853638</v>
      </c>
      <c r="K17" s="54">
        <v>1034.5349635915586</v>
      </c>
      <c r="L17" s="53">
        <v>4084.06276512146</v>
      </c>
      <c r="M17" s="54">
        <v>12233.837273347934</v>
      </c>
      <c r="N17" s="53">
        <v>722.20237588882446</v>
      </c>
      <c r="O17" s="54">
        <v>730.45407923988012</v>
      </c>
      <c r="P17" s="53">
        <v>336.38431358337402</v>
      </c>
      <c r="Q17" s="54">
        <v>593.13521357377078</v>
      </c>
      <c r="R17" s="53">
        <v>5294.6717419624329</v>
      </c>
      <c r="S17" s="54">
        <v>15636.862657586289</v>
      </c>
      <c r="U17"/>
    </row>
    <row r="18" spans="1:21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6185.4998486042023</v>
      </c>
      <c r="E18" s="54">
        <v>30350.909336654506</v>
      </c>
      <c r="F18" s="53">
        <v>1733.2050451040268</v>
      </c>
      <c r="G18" s="54">
        <v>4243.7595112125418</v>
      </c>
      <c r="H18" s="53">
        <v>1532.993597984314</v>
      </c>
      <c r="I18" s="54">
        <v>4278.2887334194193</v>
      </c>
      <c r="J18" s="53">
        <v>580.7381671667099</v>
      </c>
      <c r="K18" s="54">
        <v>1806.6746958608883</v>
      </c>
      <c r="L18" s="53">
        <v>4105.0774841308594</v>
      </c>
      <c r="M18" s="54">
        <v>18222.583863766195</v>
      </c>
      <c r="N18" s="53">
        <v>541.00112557411194</v>
      </c>
      <c r="O18" s="54">
        <v>818.18646782885753</v>
      </c>
      <c r="P18" s="53">
        <v>426.77396488189697</v>
      </c>
      <c r="Q18" s="54">
        <v>981.41606456661191</v>
      </c>
      <c r="R18" s="53">
        <v>5292.5589278936386</v>
      </c>
      <c r="S18" s="54">
        <v>24513.082254514335</v>
      </c>
      <c r="U18"/>
    </row>
    <row r="19" spans="1:21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800.8033275604248</v>
      </c>
      <c r="E19" s="54">
        <v>9155.3048137620262</v>
      </c>
      <c r="F19" s="53">
        <v>252.86614990234375</v>
      </c>
      <c r="G19" s="54">
        <v>1640.0435276650639</v>
      </c>
      <c r="H19" s="53">
        <v>178.86054515838623</v>
      </c>
      <c r="I19" s="54">
        <v>886.24684040511511</v>
      </c>
      <c r="J19" s="53">
        <v>96.363134860992432</v>
      </c>
      <c r="K19" s="54">
        <v>667.20613655452473</v>
      </c>
      <c r="L19" s="53">
        <v>544.94419574737549</v>
      </c>
      <c r="M19" s="54">
        <v>5308.6199020975146</v>
      </c>
      <c r="N19" s="53">
        <v>90.684333324432373</v>
      </c>
      <c r="O19" s="54">
        <v>362.85468055077837</v>
      </c>
      <c r="P19" s="53">
        <v>54.844491004943848</v>
      </c>
      <c r="Q19" s="54">
        <v>290.33372648903037</v>
      </c>
      <c r="R19" s="53">
        <v>669.833420753479</v>
      </c>
      <c r="S19" s="54">
        <v>6799.3455173944885</v>
      </c>
    </row>
    <row r="20" spans="1:21" s="38" customFormat="1" ht="20.45" customHeight="1" x14ac:dyDescent="0.2">
      <c r="A20" s="31" t="s">
        <v>12</v>
      </c>
      <c r="B20" s="25">
        <f>B8+B9</f>
        <v>4130789.1689232588</v>
      </c>
      <c r="C20" s="26">
        <f t="shared" ref="C20:R20" si="0">C8+C9</f>
        <v>2218409.9185657408</v>
      </c>
      <c r="D20" s="25">
        <f t="shared" si="0"/>
        <v>2889106.3401596546</v>
      </c>
      <c r="E20" s="26">
        <f t="shared" si="0"/>
        <v>1209265.5237294729</v>
      </c>
      <c r="F20" s="25">
        <f t="shared" si="0"/>
        <v>1142156.3563340902</v>
      </c>
      <c r="G20" s="26">
        <f t="shared" si="0"/>
        <v>341501.28499876533</v>
      </c>
      <c r="H20" s="25">
        <f t="shared" si="0"/>
        <v>427147.89314508438</v>
      </c>
      <c r="I20" s="26">
        <f t="shared" si="0"/>
        <v>155359.57956358598</v>
      </c>
      <c r="J20" s="25">
        <f t="shared" si="0"/>
        <v>259251.47706377506</v>
      </c>
      <c r="K20" s="26">
        <f t="shared" si="0"/>
        <v>91348.272615809474</v>
      </c>
      <c r="L20" s="25">
        <f t="shared" si="0"/>
        <v>1052332.262462616</v>
      </c>
      <c r="M20" s="26">
        <f t="shared" si="0"/>
        <v>503894.7025548204</v>
      </c>
      <c r="N20" s="25">
        <f t="shared" si="0"/>
        <v>363004.82633399963</v>
      </c>
      <c r="O20" s="26">
        <f t="shared" si="0"/>
        <v>76232.970868626784</v>
      </c>
      <c r="P20" s="25">
        <f t="shared" si="0"/>
        <v>121359.43131947517</v>
      </c>
      <c r="Q20" s="26">
        <f t="shared" si="0"/>
        <v>40928.71312785265</v>
      </c>
      <c r="R20" s="25">
        <f t="shared" si="0"/>
        <v>2174316.4163906574</v>
      </c>
      <c r="S20" s="26">
        <f>S8+S9</f>
        <v>879569.96471781342</v>
      </c>
    </row>
    <row r="23" spans="1:21" ht="21" customHeight="1" x14ac:dyDescent="0.2"/>
    <row r="24" spans="1:21" ht="21" customHeight="1" x14ac:dyDescent="0.2"/>
  </sheetData>
  <mergeCells count="16">
    <mergeCell ref="J5:K6"/>
    <mergeCell ref="L5:M6"/>
    <mergeCell ref="N5:O6"/>
    <mergeCell ref="P5:Q6"/>
    <mergeCell ref="F6:G6"/>
    <mergeCell ref="H6:I6"/>
    <mergeCell ref="A1:Q1"/>
    <mergeCell ref="A4:A7"/>
    <mergeCell ref="B4:C4"/>
    <mergeCell ref="D4:Q4"/>
    <mergeCell ref="R4:S6"/>
    <mergeCell ref="B5:B7"/>
    <mergeCell ref="C5:C7"/>
    <mergeCell ref="D5:D7"/>
    <mergeCell ref="E5:E7"/>
    <mergeCell ref="F5:I5"/>
  </mergeCells>
  <conditionalFormatting sqref="B8:B20">
    <cfRule type="cellIs" dxfId="1311" priority="18" stopIfTrue="1" operator="equal">
      <formula>0</formula>
    </cfRule>
  </conditionalFormatting>
  <conditionalFormatting sqref="D8:D20">
    <cfRule type="cellIs" dxfId="1310" priority="17" stopIfTrue="1" operator="equal">
      <formula>0</formula>
    </cfRule>
  </conditionalFormatting>
  <conditionalFormatting sqref="F8:F20">
    <cfRule type="cellIs" dxfId="1309" priority="16" stopIfTrue="1" operator="equal">
      <formula>0</formula>
    </cfRule>
  </conditionalFormatting>
  <conditionalFormatting sqref="H8:H20">
    <cfRule type="cellIs" dxfId="1308" priority="15" stopIfTrue="1" operator="equal">
      <formula>0</formula>
    </cfRule>
  </conditionalFormatting>
  <conditionalFormatting sqref="J8:J20">
    <cfRule type="cellIs" dxfId="1307" priority="14" stopIfTrue="1" operator="equal">
      <formula>0</formula>
    </cfRule>
  </conditionalFormatting>
  <conditionalFormatting sqref="L8:L20">
    <cfRule type="cellIs" dxfId="1306" priority="13" stopIfTrue="1" operator="equal">
      <formula>0</formula>
    </cfRule>
  </conditionalFormatting>
  <conditionalFormatting sqref="N8:N20">
    <cfRule type="cellIs" dxfId="1305" priority="12" stopIfTrue="1" operator="equal">
      <formula>0</formula>
    </cfRule>
  </conditionalFormatting>
  <conditionalFormatting sqref="P8:P20">
    <cfRule type="cellIs" dxfId="1304" priority="11" stopIfTrue="1" operator="equal">
      <formula>0</formula>
    </cfRule>
  </conditionalFormatting>
  <conditionalFormatting sqref="R8:R20">
    <cfRule type="cellIs" dxfId="1303" priority="10" stopIfTrue="1" operator="equal">
      <formula>0</formula>
    </cfRule>
  </conditionalFormatting>
  <conditionalFormatting sqref="C8:C20">
    <cfRule type="cellIs" dxfId="1302" priority="9" stopIfTrue="1" operator="equal">
      <formula>0</formula>
    </cfRule>
  </conditionalFormatting>
  <conditionalFormatting sqref="E8:E20">
    <cfRule type="cellIs" dxfId="1301" priority="8" stopIfTrue="1" operator="equal">
      <formula>0</formula>
    </cfRule>
  </conditionalFormatting>
  <conditionalFormatting sqref="G8:G20">
    <cfRule type="cellIs" dxfId="1300" priority="7" stopIfTrue="1" operator="equal">
      <formula>0</formula>
    </cfRule>
  </conditionalFormatting>
  <conditionalFormatting sqref="I8:I20">
    <cfRule type="cellIs" dxfId="1299" priority="6" stopIfTrue="1" operator="equal">
      <formula>0</formula>
    </cfRule>
  </conditionalFormatting>
  <conditionalFormatting sqref="K8:K20">
    <cfRule type="cellIs" dxfId="1298" priority="5" stopIfTrue="1" operator="equal">
      <formula>0</formula>
    </cfRule>
  </conditionalFormatting>
  <conditionalFormatting sqref="M8:M20">
    <cfRule type="cellIs" dxfId="1297" priority="4" stopIfTrue="1" operator="equal">
      <formula>0</formula>
    </cfRule>
  </conditionalFormatting>
  <conditionalFormatting sqref="O8:O20">
    <cfRule type="cellIs" dxfId="1296" priority="3" stopIfTrue="1" operator="equal">
      <formula>0</formula>
    </cfRule>
  </conditionalFormatting>
  <conditionalFormatting sqref="Q8:Q20">
    <cfRule type="cellIs" dxfId="1295" priority="2" stopIfTrue="1" operator="equal">
      <formula>0</formula>
    </cfRule>
  </conditionalFormatting>
  <conditionalFormatting sqref="S8:S20">
    <cfRule type="cellIs" dxfId="1294" priority="1" stopIfTrue="1" operator="equal">
      <formula>0</formula>
    </cfRule>
  </conditionalFormatting>
  <pageMargins left="0.27559055118110237" right="0.11811023622047245" top="0.9" bottom="0.74803149606299213" header="0.31496062992125984" footer="0.31496062992125984"/>
  <pageSetup scale="6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8752-1F76-4C00-AA9F-300DFE6B4352}">
  <dimension ref="A1:O20"/>
  <sheetViews>
    <sheetView zoomScale="107" zoomScaleNormal="146" workbookViewId="0">
      <selection activeCell="C19" sqref="C19"/>
    </sheetView>
  </sheetViews>
  <sheetFormatPr defaultColWidth="8.85546875" defaultRowHeight="12.75" x14ac:dyDescent="0.2"/>
  <cols>
    <col min="1" max="1" width="23.42578125" style="27" bestFit="1" customWidth="1"/>
    <col min="2" max="2" width="22.42578125" style="27" customWidth="1"/>
    <col min="3" max="3" width="18.85546875" style="27" customWidth="1"/>
    <col min="4" max="4" width="21" style="27" customWidth="1"/>
    <col min="5" max="5" width="24.5703125" style="27" customWidth="1"/>
    <col min="6" max="6" width="8.42578125" style="27" customWidth="1"/>
    <col min="7" max="7" width="6.5703125" style="27" customWidth="1"/>
    <col min="8" max="8" width="8.140625" style="27" customWidth="1"/>
    <col min="9" max="9" width="6.85546875" style="27" customWidth="1"/>
    <col min="10" max="10" width="8.42578125" style="27" customWidth="1"/>
    <col min="11" max="11" width="6.42578125" style="27" customWidth="1"/>
    <col min="12" max="12" width="8.5703125" style="27" customWidth="1"/>
    <col min="13" max="13" width="5.5703125" style="27" customWidth="1"/>
    <col min="14" max="14" width="8.5703125" style="27" customWidth="1"/>
    <col min="15" max="15" width="6.140625" style="27" customWidth="1"/>
    <col min="16" max="16384" width="8.85546875" style="27"/>
  </cols>
  <sheetData>
    <row r="1" spans="1:15" x14ac:dyDescent="0.2">
      <c r="A1" s="119" t="s">
        <v>34</v>
      </c>
      <c r="B1" s="119"/>
      <c r="C1" s="119"/>
      <c r="D1" s="119"/>
      <c r="E1" s="119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x14ac:dyDescent="0.2">
      <c r="B2" s="28"/>
      <c r="C2" s="28"/>
      <c r="D2" s="28"/>
      <c r="E2" s="28" t="s">
        <v>32</v>
      </c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x14ac:dyDescent="0.2">
      <c r="A3" s="27" t="s">
        <v>591</v>
      </c>
    </row>
    <row r="4" spans="1:15" ht="15.75" customHeight="1" x14ac:dyDescent="0.2">
      <c r="A4" s="123" t="s">
        <v>30</v>
      </c>
      <c r="B4" s="124" t="s">
        <v>47</v>
      </c>
      <c r="C4" s="125"/>
      <c r="D4" s="120" t="s">
        <v>87</v>
      </c>
      <c r="E4" s="120"/>
    </row>
    <row r="5" spans="1:15" ht="41.25" customHeight="1" x14ac:dyDescent="0.2">
      <c r="A5" s="123"/>
      <c r="B5" s="37" t="s">
        <v>41</v>
      </c>
      <c r="C5" s="37" t="s">
        <v>21</v>
      </c>
      <c r="D5" s="37" t="s">
        <v>41</v>
      </c>
      <c r="E5" s="37" t="s">
        <v>21</v>
      </c>
    </row>
    <row r="6" spans="1:15" s="38" customFormat="1" ht="20.45" customHeight="1" x14ac:dyDescent="0.2">
      <c r="A6" s="69" t="s">
        <v>53</v>
      </c>
      <c r="B6" s="49">
        <v>131504.2034342289</v>
      </c>
      <c r="C6" s="50">
        <v>8412.8188185624476</v>
      </c>
      <c r="D6" s="49">
        <v>9904.6881912946701</v>
      </c>
      <c r="E6" s="50">
        <v>5621.2369317763341</v>
      </c>
    </row>
    <row r="7" spans="1:15" s="38" customFormat="1" ht="20.45" customHeight="1" x14ac:dyDescent="0.2">
      <c r="A7" s="29" t="s">
        <v>54</v>
      </c>
      <c r="B7" s="51">
        <v>3999284.9654890299</v>
      </c>
      <c r="C7" s="52">
        <v>2209997.0992301041</v>
      </c>
      <c r="D7" s="51">
        <v>290751.66209840775</v>
      </c>
      <c r="E7" s="52">
        <v>131828.59976578853</v>
      </c>
    </row>
    <row r="8" spans="1:15" ht="20.45" customHeight="1" x14ac:dyDescent="0.2">
      <c r="A8" s="30" t="s">
        <v>55</v>
      </c>
      <c r="B8" s="53">
        <v>425217.50214135647</v>
      </c>
      <c r="C8" s="54">
        <v>25509.30681455832</v>
      </c>
      <c r="D8" s="53">
        <v>41507.438851475716</v>
      </c>
      <c r="E8" s="54">
        <v>17202.106056881807</v>
      </c>
    </row>
    <row r="9" spans="1:15" ht="20.45" customHeight="1" x14ac:dyDescent="0.2">
      <c r="A9" s="30" t="s">
        <v>56</v>
      </c>
      <c r="B9" s="53">
        <v>648449.97284579277</v>
      </c>
      <c r="C9" s="54">
        <v>96299.252528078199</v>
      </c>
      <c r="D9" s="53">
        <v>44146.431488513947</v>
      </c>
      <c r="E9" s="54">
        <v>17374.780148167374</v>
      </c>
    </row>
    <row r="10" spans="1:15" ht="20.45" customHeight="1" x14ac:dyDescent="0.2">
      <c r="A10" s="30" t="s">
        <v>57</v>
      </c>
      <c r="B10" s="53">
        <v>1430113.6145436764</v>
      </c>
      <c r="C10" s="54">
        <v>478190.54056723299</v>
      </c>
      <c r="D10" s="53">
        <v>86816.596249699593</v>
      </c>
      <c r="E10" s="54">
        <v>32314.472435038395</v>
      </c>
    </row>
    <row r="11" spans="1:15" ht="20.45" customHeight="1" x14ac:dyDescent="0.2">
      <c r="A11" s="30" t="s">
        <v>58</v>
      </c>
      <c r="B11" s="53">
        <v>945303.95051133633</v>
      </c>
      <c r="C11" s="54">
        <v>660203.18678223237</v>
      </c>
      <c r="D11" s="53">
        <v>66412.350145101547</v>
      </c>
      <c r="E11" s="54">
        <v>28956.717000352084</v>
      </c>
    </row>
    <row r="12" spans="1:15" ht="20.45" customHeight="1" x14ac:dyDescent="0.2">
      <c r="A12" s="30" t="s">
        <v>59</v>
      </c>
      <c r="B12" s="53">
        <v>427038.72920608521</v>
      </c>
      <c r="C12" s="54">
        <v>576346.75972670107</v>
      </c>
      <c r="D12" s="53">
        <v>37021.151008486748</v>
      </c>
      <c r="E12" s="54">
        <v>21587.431469708088</v>
      </c>
    </row>
    <row r="13" spans="1:15" ht="20.45" customHeight="1" x14ac:dyDescent="0.2">
      <c r="A13" s="30" t="s">
        <v>60</v>
      </c>
      <c r="B13" s="53">
        <v>81947.948482036591</v>
      </c>
      <c r="C13" s="54">
        <v>194230.78163649273</v>
      </c>
      <c r="D13" s="53">
        <v>9346.1401287317276</v>
      </c>
      <c r="E13" s="54">
        <v>7518.9130856701458</v>
      </c>
    </row>
    <row r="14" spans="1:15" ht="20.45" customHeight="1" x14ac:dyDescent="0.2">
      <c r="A14" s="30" t="s">
        <v>61</v>
      </c>
      <c r="B14" s="53">
        <v>25962.588759422302</v>
      </c>
      <c r="C14" s="54">
        <v>88368.61308094667</v>
      </c>
      <c r="D14" s="53">
        <v>3153.3373882770538</v>
      </c>
      <c r="E14" s="54">
        <v>3102.6216913456651</v>
      </c>
    </row>
    <row r="15" spans="1:15" ht="20.45" customHeight="1" x14ac:dyDescent="0.2">
      <c r="A15" s="30" t="s">
        <v>62</v>
      </c>
      <c r="B15" s="53">
        <v>7396.839360833168</v>
      </c>
      <c r="C15" s="54">
        <v>32799.664009905689</v>
      </c>
      <c r="D15" s="53">
        <v>1029.220632314682</v>
      </c>
      <c r="E15" s="54">
        <v>1247.270424916062</v>
      </c>
    </row>
    <row r="16" spans="1:15" ht="20.45" customHeight="1" x14ac:dyDescent="0.2">
      <c r="A16" s="30" t="s">
        <v>63</v>
      </c>
      <c r="B16" s="53">
        <v>6978.5904805660248</v>
      </c>
      <c r="C16" s="54">
        <v>44892.868019330337</v>
      </c>
      <c r="D16" s="53">
        <v>1145.8612170219421</v>
      </c>
      <c r="E16" s="54">
        <v>2063.9171397652058</v>
      </c>
    </row>
    <row r="17" spans="1:5" ht="20.45" customHeight="1" x14ac:dyDescent="0.2">
      <c r="A17" s="30" t="s">
        <v>64</v>
      </c>
      <c r="B17" s="53">
        <v>875.2291579246521</v>
      </c>
      <c r="C17" s="54">
        <v>13156.126064608372</v>
      </c>
      <c r="D17" s="53">
        <v>173.13498878479004</v>
      </c>
      <c r="E17" s="54">
        <v>460.37031394346184</v>
      </c>
    </row>
    <row r="18" spans="1:5" s="38" customFormat="1" ht="20.45" customHeight="1" x14ac:dyDescent="0.2">
      <c r="A18" s="31" t="s">
        <v>65</v>
      </c>
      <c r="B18" s="25">
        <f>B6+B7</f>
        <v>4130789.1689232588</v>
      </c>
      <c r="C18" s="26">
        <f>C6+C7</f>
        <v>2218409.9180486668</v>
      </c>
      <c r="D18" s="25">
        <f>D6+D7</f>
        <v>300656.35028970242</v>
      </c>
      <c r="E18" s="26">
        <f>E6+E7</f>
        <v>137449.83669756487</v>
      </c>
    </row>
    <row r="20" spans="1:5" ht="12" customHeight="1" x14ac:dyDescent="0.2"/>
  </sheetData>
  <mergeCells count="4">
    <mergeCell ref="A1:E1"/>
    <mergeCell ref="A4:A5"/>
    <mergeCell ref="B4:C4"/>
    <mergeCell ref="D4:E4"/>
  </mergeCells>
  <conditionalFormatting sqref="B6:B18">
    <cfRule type="cellIs" dxfId="1293" priority="4" stopIfTrue="1" operator="equal">
      <formula>0</formula>
    </cfRule>
  </conditionalFormatting>
  <conditionalFormatting sqref="D6:D18">
    <cfRule type="cellIs" dxfId="1292" priority="3" stopIfTrue="1" operator="equal">
      <formula>0</formula>
    </cfRule>
  </conditionalFormatting>
  <conditionalFormatting sqref="C6:C18">
    <cfRule type="cellIs" dxfId="1291" priority="2" stopIfTrue="1" operator="equal">
      <formula>0</formula>
    </cfRule>
  </conditionalFormatting>
  <conditionalFormatting sqref="E6:E18">
    <cfRule type="cellIs" dxfId="129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AC3A-6903-41DB-B978-6653585B6625}">
  <dimension ref="A1:O20"/>
  <sheetViews>
    <sheetView zoomScale="109" zoomScaleNormal="131" workbookViewId="0">
      <selection activeCell="C19" sqref="C19"/>
    </sheetView>
  </sheetViews>
  <sheetFormatPr defaultColWidth="8.85546875" defaultRowHeight="12.75" x14ac:dyDescent="0.2"/>
  <cols>
    <col min="1" max="1" width="23.85546875" style="27" bestFit="1" customWidth="1"/>
    <col min="2" max="2" width="10.42578125" style="27" customWidth="1"/>
    <col min="3" max="3" width="12" style="27" customWidth="1"/>
    <col min="4" max="4" width="10.5703125" style="27" customWidth="1"/>
    <col min="5" max="5" width="12.140625" style="27" customWidth="1"/>
    <col min="6" max="6" width="9.85546875" style="27" customWidth="1"/>
    <col min="7" max="7" width="11" style="27" customWidth="1"/>
    <col min="8" max="8" width="11.140625" style="27" customWidth="1"/>
    <col min="9" max="9" width="11" style="27" customWidth="1"/>
    <col min="10" max="10" width="9.5703125" style="27" customWidth="1"/>
    <col min="11" max="11" width="10.140625" style="27" customWidth="1"/>
    <col min="12" max="12" width="8.5703125" style="27" customWidth="1"/>
    <col min="13" max="13" width="9.42578125" style="27" customWidth="1"/>
    <col min="14" max="14" width="8.140625" style="27" customWidth="1"/>
    <col min="15" max="15" width="6" style="27" customWidth="1"/>
    <col min="16" max="16384" width="8.85546875" style="27"/>
  </cols>
  <sheetData>
    <row r="1" spans="1:1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3"/>
      <c r="O1" s="43"/>
    </row>
    <row r="2" spans="1:15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 t="s">
        <v>32</v>
      </c>
      <c r="N2" s="28"/>
      <c r="O2" s="28"/>
    </row>
    <row r="3" spans="1:15" x14ac:dyDescent="0.2">
      <c r="A3" s="27" t="s">
        <v>88</v>
      </c>
    </row>
    <row r="4" spans="1:15" ht="12.75" customHeight="1" x14ac:dyDescent="0.2">
      <c r="A4" s="123" t="s">
        <v>30</v>
      </c>
      <c r="B4" s="122" t="s">
        <v>47</v>
      </c>
      <c r="C4" s="122"/>
      <c r="D4" s="142" t="s">
        <v>89</v>
      </c>
      <c r="E4" s="142"/>
      <c r="F4" s="142"/>
      <c r="G4" s="142"/>
      <c r="H4" s="142" t="s">
        <v>90</v>
      </c>
      <c r="I4" s="142"/>
      <c r="J4" s="142"/>
      <c r="K4" s="142"/>
      <c r="L4" s="120" t="s">
        <v>91</v>
      </c>
      <c r="M4" s="120"/>
    </row>
    <row r="5" spans="1:15" s="39" customFormat="1" ht="12.75" customHeight="1" x14ac:dyDescent="0.2">
      <c r="A5" s="123"/>
      <c r="B5" s="121" t="s">
        <v>41</v>
      </c>
      <c r="C5" s="121" t="s">
        <v>21</v>
      </c>
      <c r="D5" s="122" t="s">
        <v>92</v>
      </c>
      <c r="E5" s="122"/>
      <c r="F5" s="122" t="s">
        <v>93</v>
      </c>
      <c r="G5" s="122"/>
      <c r="H5" s="120" t="s">
        <v>92</v>
      </c>
      <c r="I5" s="120"/>
      <c r="J5" s="120" t="s">
        <v>93</v>
      </c>
      <c r="K5" s="120"/>
      <c r="L5" s="120"/>
      <c r="M5" s="120"/>
    </row>
    <row r="6" spans="1:15" s="39" customFormat="1" ht="28.5" customHeight="1" x14ac:dyDescent="0.2">
      <c r="A6" s="123"/>
      <c r="B6" s="121"/>
      <c r="C6" s="121"/>
      <c r="D6" s="34" t="s">
        <v>41</v>
      </c>
      <c r="E6" s="34" t="s">
        <v>21</v>
      </c>
      <c r="F6" s="34" t="s">
        <v>41</v>
      </c>
      <c r="G6" s="34" t="s">
        <v>21</v>
      </c>
      <c r="H6" s="34" t="s">
        <v>41</v>
      </c>
      <c r="I6" s="34" t="s">
        <v>21</v>
      </c>
      <c r="J6" s="34" t="s">
        <v>41</v>
      </c>
      <c r="K6" s="34" t="s">
        <v>21</v>
      </c>
      <c r="L6" s="34" t="s">
        <v>41</v>
      </c>
      <c r="M6" s="34" t="s">
        <v>21</v>
      </c>
    </row>
    <row r="7" spans="1:15" s="38" customFormat="1" ht="20.45" customHeight="1" x14ac:dyDescent="0.2">
      <c r="A7" s="69" t="s">
        <v>0</v>
      </c>
      <c r="B7" s="70">
        <v>131504.2034342289</v>
      </c>
      <c r="C7" s="71">
        <v>8412.8188356442006</v>
      </c>
      <c r="D7" s="70">
        <v>35015.320859789848</v>
      </c>
      <c r="E7" s="71">
        <v>711.59809338991386</v>
      </c>
      <c r="F7" s="70">
        <v>1926.0935788154602</v>
      </c>
      <c r="G7" s="71">
        <v>10.382683041119726</v>
      </c>
      <c r="H7" s="70">
        <v>12120.982333064079</v>
      </c>
      <c r="I7" s="71">
        <v>216.50653039533466</v>
      </c>
      <c r="J7" s="70">
        <v>350.59204721450806</v>
      </c>
      <c r="K7" s="71">
        <v>2.238401825671489</v>
      </c>
      <c r="L7" s="70">
        <v>45.597519874572754</v>
      </c>
      <c r="M7" s="71">
        <v>0.79369880488325772</v>
      </c>
    </row>
    <row r="8" spans="1:15" s="38" customFormat="1" ht="20.45" customHeight="1" x14ac:dyDescent="0.2">
      <c r="A8" s="29" t="s">
        <v>1</v>
      </c>
      <c r="B8" s="51">
        <v>3999284.9654890299</v>
      </c>
      <c r="C8" s="52">
        <v>2209997.0997300968</v>
      </c>
      <c r="D8" s="51">
        <v>3915428.0461770296</v>
      </c>
      <c r="E8" s="52">
        <v>3024243.5326682939</v>
      </c>
      <c r="F8" s="51">
        <v>842864.02399885654</v>
      </c>
      <c r="G8" s="52">
        <v>125675.62342471413</v>
      </c>
      <c r="H8" s="51">
        <v>1019018.3967736959</v>
      </c>
      <c r="I8" s="52">
        <v>270145.03909939848</v>
      </c>
      <c r="J8" s="51">
        <v>139603.24849843979</v>
      </c>
      <c r="K8" s="52">
        <v>17686.625645744469</v>
      </c>
      <c r="L8" s="51">
        <v>25050.641803264618</v>
      </c>
      <c r="M8" s="52">
        <v>5476.2475485716413</v>
      </c>
    </row>
    <row r="9" spans="1:15" ht="20.45" customHeight="1" x14ac:dyDescent="0.2">
      <c r="A9" s="30" t="s">
        <v>2</v>
      </c>
      <c r="B9" s="53">
        <v>425217.50214135647</v>
      </c>
      <c r="C9" s="54">
        <v>25509.306759483829</v>
      </c>
      <c r="D9" s="53">
        <v>398013.81664609909</v>
      </c>
      <c r="E9" s="54">
        <v>32338.823902101612</v>
      </c>
      <c r="F9" s="53">
        <v>29245.833482027054</v>
      </c>
      <c r="G9" s="54">
        <v>432.87628950424016</v>
      </c>
      <c r="H9" s="53">
        <v>93788.69219994545</v>
      </c>
      <c r="I9" s="54">
        <v>4061.1261359132741</v>
      </c>
      <c r="J9" s="53">
        <v>4569.905263543129</v>
      </c>
      <c r="K9" s="54">
        <v>73.323329973309697</v>
      </c>
      <c r="L9" s="53">
        <v>1165.2536607980728</v>
      </c>
      <c r="M9" s="54">
        <v>58.596048444044015</v>
      </c>
    </row>
    <row r="10" spans="1:15" ht="20.45" customHeight="1" x14ac:dyDescent="0.2">
      <c r="A10" s="30" t="s">
        <v>3</v>
      </c>
      <c r="B10" s="53">
        <v>648449.97284579277</v>
      </c>
      <c r="C10" s="54">
        <v>96299.338873014785</v>
      </c>
      <c r="D10" s="53">
        <v>632189.59837019444</v>
      </c>
      <c r="E10" s="54">
        <v>141388.11895618116</v>
      </c>
      <c r="F10" s="53">
        <v>80828.93957233429</v>
      </c>
      <c r="G10" s="54">
        <v>2579.8402865203029</v>
      </c>
      <c r="H10" s="53">
        <v>149833.10082828999</v>
      </c>
      <c r="I10" s="54">
        <v>14816.244100471396</v>
      </c>
      <c r="J10" s="53">
        <v>12065.486650109291</v>
      </c>
      <c r="K10" s="54">
        <v>357.2630266800432</v>
      </c>
      <c r="L10" s="53">
        <v>3163.7897093296051</v>
      </c>
      <c r="M10" s="54">
        <v>254.20189209393016</v>
      </c>
    </row>
    <row r="11" spans="1:15" ht="20.45" customHeight="1" x14ac:dyDescent="0.2">
      <c r="A11" s="30" t="s">
        <v>4</v>
      </c>
      <c r="B11" s="53">
        <v>1430113.6145436764</v>
      </c>
      <c r="C11" s="54">
        <v>478190.54053741047</v>
      </c>
      <c r="D11" s="53">
        <v>1407273.6528658867</v>
      </c>
      <c r="E11" s="54">
        <v>703573.33871913771</v>
      </c>
      <c r="F11" s="53">
        <v>279232.8240197897</v>
      </c>
      <c r="G11" s="54">
        <v>18550.003633613735</v>
      </c>
      <c r="H11" s="53">
        <v>369967.46484184265</v>
      </c>
      <c r="I11" s="54">
        <v>71596.415386875509</v>
      </c>
      <c r="J11" s="53">
        <v>44652.228731274605</v>
      </c>
      <c r="K11" s="54">
        <v>2631.0916028640668</v>
      </c>
      <c r="L11" s="53">
        <v>10903.753831624985</v>
      </c>
      <c r="M11" s="54">
        <v>1595.5493749140103</v>
      </c>
    </row>
    <row r="12" spans="1:15" ht="20.45" customHeight="1" x14ac:dyDescent="0.2">
      <c r="A12" s="30" t="s">
        <v>5</v>
      </c>
      <c r="B12" s="53">
        <v>945303.95051133633</v>
      </c>
      <c r="C12" s="54">
        <v>660203.10200041207</v>
      </c>
      <c r="D12" s="53">
        <v>933567.63347280025</v>
      </c>
      <c r="E12" s="54">
        <v>930370.44734850689</v>
      </c>
      <c r="F12" s="53">
        <v>258714.7048459053</v>
      </c>
      <c r="G12" s="54">
        <v>34500.325688524637</v>
      </c>
      <c r="H12" s="53">
        <v>257142.66782784462</v>
      </c>
      <c r="I12" s="54">
        <v>87943.733414718619</v>
      </c>
      <c r="J12" s="53">
        <v>43113.806690096855</v>
      </c>
      <c r="K12" s="54">
        <v>4696.0992296078184</v>
      </c>
      <c r="L12" s="53">
        <v>6396.3556923866272</v>
      </c>
      <c r="M12" s="54">
        <v>1713.3750924003359</v>
      </c>
    </row>
    <row r="13" spans="1:15" ht="20.45" customHeight="1" x14ac:dyDescent="0.2">
      <c r="A13" s="30" t="s">
        <v>6</v>
      </c>
      <c r="B13" s="53">
        <v>427038.72920608521</v>
      </c>
      <c r="C13" s="54">
        <v>576346.75913770939</v>
      </c>
      <c r="D13" s="53">
        <v>422535.83202683926</v>
      </c>
      <c r="E13" s="54">
        <v>754345.04723687703</v>
      </c>
      <c r="F13" s="53">
        <v>147225.60258328915</v>
      </c>
      <c r="G13" s="54">
        <v>40924.133182217549</v>
      </c>
      <c r="H13" s="53">
        <v>116907.29480731487</v>
      </c>
      <c r="I13" s="54">
        <v>62427.436916826955</v>
      </c>
      <c r="J13" s="53">
        <v>26048.395275592804</v>
      </c>
      <c r="K13" s="54">
        <v>5318.7221108244476</v>
      </c>
      <c r="L13" s="53">
        <v>2695.4266984462738</v>
      </c>
      <c r="M13" s="54">
        <v>1276.0755373218565</v>
      </c>
    </row>
    <row r="14" spans="1:15" ht="20.45" customHeight="1" x14ac:dyDescent="0.2">
      <c r="A14" s="30" t="s">
        <v>7</v>
      </c>
      <c r="B14" s="53">
        <v>81947.948482036591</v>
      </c>
      <c r="C14" s="54">
        <v>194230.78136854045</v>
      </c>
      <c r="D14" s="53">
        <v>80987.49019753933</v>
      </c>
      <c r="E14" s="54">
        <v>242737.44113796746</v>
      </c>
      <c r="F14" s="53">
        <v>31148.866221427917</v>
      </c>
      <c r="G14" s="54">
        <v>15054.781279858587</v>
      </c>
      <c r="H14" s="53">
        <v>21617.996867060661</v>
      </c>
      <c r="I14" s="54">
        <v>17462.057118723995</v>
      </c>
      <c r="J14" s="53">
        <v>5688.8356318473816</v>
      </c>
      <c r="K14" s="54">
        <v>2132.4025344539841</v>
      </c>
      <c r="L14" s="53">
        <v>487.16501247882843</v>
      </c>
      <c r="M14" s="54">
        <v>373.59413777984639</v>
      </c>
    </row>
    <row r="15" spans="1:15" ht="20.45" customHeight="1" x14ac:dyDescent="0.2">
      <c r="A15" s="30" t="s">
        <v>8</v>
      </c>
      <c r="B15" s="53">
        <v>25962.588759422302</v>
      </c>
      <c r="C15" s="54">
        <v>88368.61314559725</v>
      </c>
      <c r="D15" s="53">
        <v>25749.06732416153</v>
      </c>
      <c r="E15" s="54">
        <v>108505.84823089348</v>
      </c>
      <c r="F15" s="53">
        <v>10017.82778263092</v>
      </c>
      <c r="G15" s="54">
        <v>6960.062534122254</v>
      </c>
      <c r="H15" s="53">
        <v>6101.3633180856705</v>
      </c>
      <c r="I15" s="54">
        <v>5998.7782261301018</v>
      </c>
      <c r="J15" s="53">
        <v>2161.2189652919769</v>
      </c>
      <c r="K15" s="54">
        <v>1101.4909084187682</v>
      </c>
      <c r="L15" s="53">
        <v>175.26530599594116</v>
      </c>
      <c r="M15" s="54">
        <v>127.89922929739198</v>
      </c>
    </row>
    <row r="16" spans="1:15" ht="20.45" customHeight="1" x14ac:dyDescent="0.2">
      <c r="A16" s="30" t="s">
        <v>9</v>
      </c>
      <c r="B16" s="53">
        <v>7396.839360833168</v>
      </c>
      <c r="C16" s="54">
        <v>32799.663934678501</v>
      </c>
      <c r="D16" s="53">
        <v>7366.9652582406998</v>
      </c>
      <c r="E16" s="54">
        <v>39657.039458079082</v>
      </c>
      <c r="F16" s="53">
        <v>3228.4306788444519</v>
      </c>
      <c r="G16" s="54">
        <v>2763.9671254030341</v>
      </c>
      <c r="H16" s="53">
        <v>1950.70911693573</v>
      </c>
      <c r="I16" s="54">
        <v>2525.1246235204135</v>
      </c>
      <c r="J16" s="53">
        <v>620.44580268859863</v>
      </c>
      <c r="K16" s="54">
        <v>265.33670253857724</v>
      </c>
      <c r="L16" s="53">
        <v>17.653441905975342</v>
      </c>
      <c r="M16" s="54">
        <v>24.677345094495891</v>
      </c>
    </row>
    <row r="17" spans="1:13" ht="20.45" customHeight="1" x14ac:dyDescent="0.2">
      <c r="A17" s="30" t="s">
        <v>10</v>
      </c>
      <c r="B17" s="53">
        <v>6978.5904805660248</v>
      </c>
      <c r="C17" s="54">
        <v>44892.867958983035</v>
      </c>
      <c r="D17" s="53">
        <v>6902.910799741745</v>
      </c>
      <c r="E17" s="54">
        <v>55907.225988690006</v>
      </c>
      <c r="F17" s="53">
        <v>2853.655776143074</v>
      </c>
      <c r="G17" s="54">
        <v>3046.5164362484943</v>
      </c>
      <c r="H17" s="53">
        <v>1505.8470867872238</v>
      </c>
      <c r="I17" s="54">
        <v>2684.9494708410894</v>
      </c>
      <c r="J17" s="53">
        <v>649.6913046836853</v>
      </c>
      <c r="K17" s="54">
        <v>742.17067057039048</v>
      </c>
      <c r="L17" s="53">
        <v>45.978450298309326</v>
      </c>
      <c r="M17" s="54">
        <v>52.278891225732814</v>
      </c>
    </row>
    <row r="18" spans="1:13" ht="20.45" customHeight="1" x14ac:dyDescent="0.2">
      <c r="A18" s="30" t="s">
        <v>11</v>
      </c>
      <c r="B18" s="53">
        <v>875.2291579246521</v>
      </c>
      <c r="C18" s="54">
        <v>13156.126014231626</v>
      </c>
      <c r="D18" s="53">
        <v>841.07921552658081</v>
      </c>
      <c r="E18" s="54">
        <v>15420.20168988484</v>
      </c>
      <c r="F18" s="53">
        <v>367.33903646469116</v>
      </c>
      <c r="G18" s="54">
        <v>863.11696870152014</v>
      </c>
      <c r="H18" s="53">
        <v>203.25987958908081</v>
      </c>
      <c r="I18" s="54">
        <v>629.17370537262752</v>
      </c>
      <c r="J18" s="53">
        <v>33.234183311462402</v>
      </c>
      <c r="K18" s="54">
        <v>368.72552981297332</v>
      </c>
      <c r="L18" s="53">
        <v>0</v>
      </c>
      <c r="M18" s="54"/>
    </row>
    <row r="19" spans="1:13" s="38" customFormat="1" ht="20.45" customHeight="1" x14ac:dyDescent="0.2">
      <c r="A19" s="31" t="s">
        <v>12</v>
      </c>
      <c r="B19" s="25">
        <f>B7+B8</f>
        <v>4130789.1689232588</v>
      </c>
      <c r="C19" s="26">
        <f>C7+C8</f>
        <v>2218409.9185657408</v>
      </c>
      <c r="D19" s="25">
        <f t="shared" ref="D19:M19" si="0">D7+D8</f>
        <v>3950443.3670368195</v>
      </c>
      <c r="E19" s="26">
        <f t="shared" si="0"/>
        <v>3024955.1307616839</v>
      </c>
      <c r="F19" s="25">
        <f t="shared" si="0"/>
        <v>844790.117577672</v>
      </c>
      <c r="G19" s="26">
        <f t="shared" si="0"/>
        <v>125686.00610775524</v>
      </c>
      <c r="H19" s="25">
        <f t="shared" si="0"/>
        <v>1031139.37910676</v>
      </c>
      <c r="I19" s="26">
        <f t="shared" si="0"/>
        <v>270361.54562979384</v>
      </c>
      <c r="J19" s="25">
        <f t="shared" si="0"/>
        <v>139953.8405456543</v>
      </c>
      <c r="K19" s="26">
        <f t="shared" si="0"/>
        <v>17688.86404757014</v>
      </c>
      <c r="L19" s="25">
        <f t="shared" si="0"/>
        <v>25096.239323139191</v>
      </c>
      <c r="M19" s="26">
        <f t="shared" si="0"/>
        <v>5477.0412473765246</v>
      </c>
    </row>
    <row r="20" spans="1:13" ht="12" customHeight="1" x14ac:dyDescent="0.2"/>
  </sheetData>
  <mergeCells count="12">
    <mergeCell ref="H5:I5"/>
    <mergeCell ref="J5:K5"/>
    <mergeCell ref="A1:M1"/>
    <mergeCell ref="A4:A6"/>
    <mergeCell ref="B4:C4"/>
    <mergeCell ref="D4:G4"/>
    <mergeCell ref="H4:K4"/>
    <mergeCell ref="L4:M5"/>
    <mergeCell ref="B5:B6"/>
    <mergeCell ref="C5:C6"/>
    <mergeCell ref="D5:E5"/>
    <mergeCell ref="F5:G5"/>
  </mergeCells>
  <conditionalFormatting sqref="B7:B19">
    <cfRule type="cellIs" dxfId="1289" priority="13" stopIfTrue="1" operator="equal">
      <formula>0</formula>
    </cfRule>
  </conditionalFormatting>
  <conditionalFormatting sqref="C7:C19">
    <cfRule type="cellIs" dxfId="1288" priority="12" stopIfTrue="1" operator="equal">
      <formula>0</formula>
    </cfRule>
  </conditionalFormatting>
  <conditionalFormatting sqref="D7:D19">
    <cfRule type="cellIs" dxfId="1287" priority="11" stopIfTrue="1" operator="equal">
      <formula>0</formula>
    </cfRule>
  </conditionalFormatting>
  <conditionalFormatting sqref="F7:F19">
    <cfRule type="cellIs" dxfId="1286" priority="10" stopIfTrue="1" operator="equal">
      <formula>0</formula>
    </cfRule>
  </conditionalFormatting>
  <conditionalFormatting sqref="H7:H19">
    <cfRule type="cellIs" dxfId="1285" priority="9" stopIfTrue="1" operator="equal">
      <formula>0</formula>
    </cfRule>
  </conditionalFormatting>
  <conditionalFormatting sqref="J7:J19">
    <cfRule type="cellIs" dxfId="1284" priority="8" stopIfTrue="1" operator="equal">
      <formula>0</formula>
    </cfRule>
  </conditionalFormatting>
  <conditionalFormatting sqref="L7:L19">
    <cfRule type="cellIs" dxfId="1283" priority="7" stopIfTrue="1" operator="equal">
      <formula>0</formula>
    </cfRule>
  </conditionalFormatting>
  <conditionalFormatting sqref="E7:E19">
    <cfRule type="cellIs" dxfId="1282" priority="6" stopIfTrue="1" operator="equal">
      <formula>0</formula>
    </cfRule>
  </conditionalFormatting>
  <conditionalFormatting sqref="G7:G19">
    <cfRule type="cellIs" dxfId="1281" priority="5" stopIfTrue="1" operator="equal">
      <formula>0</formula>
    </cfRule>
  </conditionalFormatting>
  <conditionalFormatting sqref="I7:I19">
    <cfRule type="cellIs" dxfId="1280" priority="4" stopIfTrue="1" operator="equal">
      <formula>0</formula>
    </cfRule>
  </conditionalFormatting>
  <conditionalFormatting sqref="K7:K19">
    <cfRule type="cellIs" dxfId="1279" priority="3" stopIfTrue="1" operator="equal">
      <formula>0</formula>
    </cfRule>
  </conditionalFormatting>
  <conditionalFormatting sqref="M7:M19">
    <cfRule type="cellIs" dxfId="1278" priority="2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635E-A2FE-49A2-8EAA-126B475BFD90}">
  <sheetPr>
    <pageSetUpPr fitToPage="1"/>
  </sheetPr>
  <dimension ref="A1:T20"/>
  <sheetViews>
    <sheetView zoomScale="83" zoomScaleNormal="117" workbookViewId="0">
      <selection activeCell="C19" sqref="C19"/>
    </sheetView>
  </sheetViews>
  <sheetFormatPr defaultColWidth="8.85546875" defaultRowHeight="12.75" x14ac:dyDescent="0.2"/>
  <cols>
    <col min="1" max="1" width="20.85546875" style="27" customWidth="1"/>
    <col min="2" max="2" width="9.5703125" style="27" customWidth="1"/>
    <col min="3" max="3" width="11.140625" style="27" customWidth="1"/>
    <col min="4" max="4" width="10.140625" style="27" customWidth="1"/>
    <col min="5" max="5" width="10.42578125" style="27" customWidth="1"/>
    <col min="6" max="6" width="9.85546875" style="27" customWidth="1"/>
    <col min="7" max="7" width="10.140625" style="27" customWidth="1"/>
    <col min="8" max="9" width="9.85546875" style="27" customWidth="1"/>
    <col min="10" max="11" width="9.140625" style="27" customWidth="1"/>
    <col min="12" max="12" width="10.42578125" style="27" customWidth="1"/>
    <col min="13" max="14" width="9.5703125" style="27" customWidth="1"/>
    <col min="15" max="15" width="9.85546875" style="27" customWidth="1"/>
    <col min="16" max="16" width="8.42578125" style="27" customWidth="1"/>
    <col min="17" max="17" width="8.85546875" style="27" customWidth="1"/>
    <col min="18" max="18" width="7.140625" style="27" customWidth="1"/>
    <col min="19" max="19" width="7.85546875" style="27" customWidth="1"/>
    <col min="20" max="20" width="12.5703125" style="27" bestFit="1" customWidth="1"/>
    <col min="21" max="16384" width="8.85546875" style="27"/>
  </cols>
  <sheetData>
    <row r="1" spans="1:19" ht="15" customHeight="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</row>
    <row r="2" spans="1:19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S2" s="28" t="s">
        <v>32</v>
      </c>
    </row>
    <row r="3" spans="1:19" x14ac:dyDescent="0.2">
      <c r="A3" s="27" t="s">
        <v>94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9" s="39" customFormat="1" ht="25.5" customHeight="1" x14ac:dyDescent="0.2">
      <c r="A4" s="123" t="s">
        <v>30</v>
      </c>
      <c r="B4" s="122" t="s">
        <v>471</v>
      </c>
      <c r="C4" s="122"/>
      <c r="D4" s="122" t="s">
        <v>95</v>
      </c>
      <c r="E4" s="122"/>
      <c r="F4" s="120" t="s">
        <v>96</v>
      </c>
      <c r="G4" s="120"/>
      <c r="H4" s="120" t="s">
        <v>97</v>
      </c>
      <c r="I4" s="120"/>
      <c r="J4" s="120" t="s">
        <v>98</v>
      </c>
      <c r="K4" s="120"/>
      <c r="L4" s="120" t="s">
        <v>99</v>
      </c>
      <c r="M4" s="120"/>
      <c r="N4" s="120" t="s">
        <v>100</v>
      </c>
      <c r="O4" s="120"/>
      <c r="P4" s="120" t="s">
        <v>601</v>
      </c>
      <c r="Q4" s="120"/>
      <c r="R4" s="120" t="s">
        <v>148</v>
      </c>
      <c r="S4" s="120"/>
    </row>
    <row r="5" spans="1:19" s="39" customFormat="1" ht="27" customHeight="1" x14ac:dyDescent="0.2">
      <c r="A5" s="123"/>
      <c r="B5" s="34" t="s">
        <v>41</v>
      </c>
      <c r="C5" s="34" t="s">
        <v>21</v>
      </c>
      <c r="D5" s="34" t="s">
        <v>41</v>
      </c>
      <c r="E5" s="34" t="s">
        <v>21</v>
      </c>
      <c r="F5" s="34" t="s">
        <v>41</v>
      </c>
      <c r="G5" s="34" t="s">
        <v>21</v>
      </c>
      <c r="H5" s="34" t="s">
        <v>41</v>
      </c>
      <c r="I5" s="34" t="s">
        <v>21</v>
      </c>
      <c r="J5" s="34" t="s">
        <v>41</v>
      </c>
      <c r="K5" s="34" t="s">
        <v>21</v>
      </c>
      <c r="L5" s="34" t="s">
        <v>41</v>
      </c>
      <c r="M5" s="34" t="s">
        <v>21</v>
      </c>
      <c r="N5" s="34" t="s">
        <v>41</v>
      </c>
      <c r="O5" s="34" t="s">
        <v>21</v>
      </c>
      <c r="P5" s="34" t="s">
        <v>41</v>
      </c>
      <c r="Q5" s="34" t="s">
        <v>21</v>
      </c>
      <c r="R5" s="34" t="s">
        <v>41</v>
      </c>
      <c r="S5" s="34" t="s">
        <v>21</v>
      </c>
    </row>
    <row r="6" spans="1:19" s="38" customFormat="1" ht="20.45" customHeight="1" x14ac:dyDescent="0.2">
      <c r="A6" s="69" t="s">
        <v>0</v>
      </c>
      <c r="B6" s="70">
        <v>19659.369420289993</v>
      </c>
      <c r="C6" s="71">
        <v>207.99413376210748</v>
      </c>
      <c r="D6" s="70">
        <v>13142.405098438263</v>
      </c>
      <c r="E6" s="71">
        <v>76.412365820176419</v>
      </c>
      <c r="F6" s="70">
        <v>10247.386163949966</v>
      </c>
      <c r="G6" s="71">
        <v>72.566849031275993</v>
      </c>
      <c r="H6" s="70">
        <v>1052.8244895935059</v>
      </c>
      <c r="I6" s="71">
        <v>7.525707557397582</v>
      </c>
      <c r="J6" s="70">
        <v>386.08844661712646</v>
      </c>
      <c r="K6" s="71">
        <v>1.4262299470219986</v>
      </c>
      <c r="L6" s="70">
        <v>23994.274132370949</v>
      </c>
      <c r="M6" s="71">
        <v>201.74447842340496</v>
      </c>
      <c r="N6" s="70">
        <v>29460.630241274834</v>
      </c>
      <c r="O6" s="71">
        <v>345.26124614871253</v>
      </c>
      <c r="P6" s="70">
        <v>766.84027290344238</v>
      </c>
      <c r="Q6" s="71">
        <v>6.8723473481856807</v>
      </c>
      <c r="R6" s="70">
        <v>1561.0806345939636</v>
      </c>
      <c r="S6" s="71">
        <v>8.8093557840838468</v>
      </c>
    </row>
    <row r="7" spans="1:19" s="38" customFormat="1" ht="20.45" customHeight="1" x14ac:dyDescent="0.2">
      <c r="A7" s="29" t="s">
        <v>1</v>
      </c>
      <c r="B7" s="51">
        <v>3854194.7754571438</v>
      </c>
      <c r="C7" s="52">
        <v>2585974.9590515341</v>
      </c>
      <c r="D7" s="51">
        <v>1810767.2243810892</v>
      </c>
      <c r="E7" s="52">
        <v>199768.36270166925</v>
      </c>
      <c r="F7" s="51">
        <v>1885119.7717876434</v>
      </c>
      <c r="G7" s="52">
        <v>104665.25367269517</v>
      </c>
      <c r="H7" s="51">
        <v>1218302.8244441748</v>
      </c>
      <c r="I7" s="52">
        <v>180133.54983026756</v>
      </c>
      <c r="J7" s="51">
        <v>119493.49339210987</v>
      </c>
      <c r="K7" s="52">
        <v>44607.922277038379</v>
      </c>
      <c r="L7" s="51">
        <v>1800099.954742074</v>
      </c>
      <c r="M7" s="52">
        <v>56691.760953229001</v>
      </c>
      <c r="N7" s="51">
        <v>1948109.9079669714</v>
      </c>
      <c r="O7" s="52">
        <v>107388.51387168215</v>
      </c>
      <c r="P7" s="51">
        <v>175673.26443243027</v>
      </c>
      <c r="Q7" s="52">
        <v>16429.41176568202</v>
      </c>
      <c r="R7" s="51">
        <v>26652.544518470764</v>
      </c>
      <c r="S7" s="52">
        <v>2217.343382837963</v>
      </c>
    </row>
    <row r="8" spans="1:19" ht="20.45" customHeight="1" x14ac:dyDescent="0.2">
      <c r="A8" s="30" t="s">
        <v>2</v>
      </c>
      <c r="B8" s="53">
        <v>348421.22766757011</v>
      </c>
      <c r="C8" s="54">
        <v>20798.381244235308</v>
      </c>
      <c r="D8" s="53">
        <v>138781.28374195099</v>
      </c>
      <c r="E8" s="54">
        <v>2230.4226568305976</v>
      </c>
      <c r="F8" s="53">
        <v>173308.26796853542</v>
      </c>
      <c r="G8" s="54">
        <v>2921.7895543199024</v>
      </c>
      <c r="H8" s="53">
        <v>54974.608386039734</v>
      </c>
      <c r="I8" s="54">
        <v>1533.4418922864265</v>
      </c>
      <c r="J8" s="53">
        <v>4034.5292251110077</v>
      </c>
      <c r="K8" s="54">
        <v>52.226460690170825</v>
      </c>
      <c r="L8" s="53">
        <v>208450.69159030914</v>
      </c>
      <c r="M8" s="54">
        <v>2751.3078458924033</v>
      </c>
      <c r="N8" s="53">
        <v>247692.00142347813</v>
      </c>
      <c r="O8" s="54">
        <v>5916.7594746441919</v>
      </c>
      <c r="P8" s="53">
        <v>9895.1954920291901</v>
      </c>
      <c r="Q8" s="54">
        <v>181.77412710898506</v>
      </c>
      <c r="R8" s="53">
        <v>3242.9079895019531</v>
      </c>
      <c r="S8" s="54">
        <v>54.758552210199994</v>
      </c>
    </row>
    <row r="9" spans="1:19" ht="20.45" customHeight="1" x14ac:dyDescent="0.2">
      <c r="A9" s="30" t="s">
        <v>3</v>
      </c>
      <c r="B9" s="53">
        <v>624599.5497225523</v>
      </c>
      <c r="C9" s="54">
        <v>112761.69709489173</v>
      </c>
      <c r="D9" s="53">
        <v>256319.47255408764</v>
      </c>
      <c r="E9" s="54">
        <v>9664.4662311991342</v>
      </c>
      <c r="F9" s="53">
        <v>273973.45186412334</v>
      </c>
      <c r="G9" s="54">
        <v>7957.2244918711485</v>
      </c>
      <c r="H9" s="53">
        <v>160648.44709420204</v>
      </c>
      <c r="I9" s="54">
        <v>9529.8696168582519</v>
      </c>
      <c r="J9" s="53">
        <v>7541.8134036064148</v>
      </c>
      <c r="K9" s="54">
        <v>350.81452940457046</v>
      </c>
      <c r="L9" s="53">
        <v>275069.48018360138</v>
      </c>
      <c r="M9" s="54">
        <v>5608.2844667337631</v>
      </c>
      <c r="N9" s="53">
        <v>298197.05855607986</v>
      </c>
      <c r="O9" s="54">
        <v>9718.0090438070783</v>
      </c>
      <c r="P9" s="53">
        <v>19514.280561327934</v>
      </c>
      <c r="Q9" s="54">
        <v>658.22619488043722</v>
      </c>
      <c r="R9" s="53">
        <v>3288.043851852417</v>
      </c>
      <c r="S9" s="54">
        <v>116.72224454095821</v>
      </c>
    </row>
    <row r="10" spans="1:19" ht="20.45" customHeight="1" x14ac:dyDescent="0.2">
      <c r="A10" s="30" t="s">
        <v>4</v>
      </c>
      <c r="B10" s="53">
        <v>1406373.0757759809</v>
      </c>
      <c r="C10" s="54">
        <v>598049.75040350994</v>
      </c>
      <c r="D10" s="53">
        <v>651088.01563203335</v>
      </c>
      <c r="E10" s="54">
        <v>47147.898162497106</v>
      </c>
      <c r="F10" s="53">
        <v>661365.4593193531</v>
      </c>
      <c r="G10" s="54">
        <v>29945.360288052882</v>
      </c>
      <c r="H10" s="53">
        <v>442151.49453651905</v>
      </c>
      <c r="I10" s="54">
        <v>47745.240804499728</v>
      </c>
      <c r="J10" s="53">
        <v>27637.731945037842</v>
      </c>
      <c r="K10" s="54">
        <v>2601.7450452513444</v>
      </c>
      <c r="L10" s="53">
        <v>625230.21701705456</v>
      </c>
      <c r="M10" s="54">
        <v>16429.036660639555</v>
      </c>
      <c r="N10" s="53">
        <v>662618.86134171486</v>
      </c>
      <c r="O10" s="54">
        <v>30347.606614013279</v>
      </c>
      <c r="P10" s="53">
        <v>55892.034706115723</v>
      </c>
      <c r="Q10" s="54">
        <v>3403.9454036825009</v>
      </c>
      <c r="R10" s="53">
        <v>7929.9214169979095</v>
      </c>
      <c r="S10" s="54">
        <v>503.79442981582673</v>
      </c>
    </row>
    <row r="11" spans="1:19" ht="20.45" customHeight="1" x14ac:dyDescent="0.2">
      <c r="A11" s="30" t="s">
        <v>5</v>
      </c>
      <c r="B11" s="53">
        <v>933167.69177556038</v>
      </c>
      <c r="C11" s="54">
        <v>802619.407793744</v>
      </c>
      <c r="D11" s="53">
        <v>475241.27527523041</v>
      </c>
      <c r="E11" s="54">
        <v>64538.475079603573</v>
      </c>
      <c r="F11" s="53">
        <v>479642.92445540428</v>
      </c>
      <c r="G11" s="54">
        <v>32337.252272148166</v>
      </c>
      <c r="H11" s="53">
        <v>344978.65679121017</v>
      </c>
      <c r="I11" s="54">
        <v>59688.420105696088</v>
      </c>
      <c r="J11" s="53">
        <v>34293.848369717598</v>
      </c>
      <c r="K11" s="54">
        <v>7456.4698630836674</v>
      </c>
      <c r="L11" s="53">
        <v>433841.5077047348</v>
      </c>
      <c r="M11" s="54">
        <v>16716.304867131465</v>
      </c>
      <c r="N11" s="53">
        <v>461329.18041265011</v>
      </c>
      <c r="O11" s="54">
        <v>30445.603127163398</v>
      </c>
      <c r="P11" s="53">
        <v>50956.739605307579</v>
      </c>
      <c r="Q11" s="54">
        <v>4908.3075931832636</v>
      </c>
      <c r="R11" s="53">
        <v>6939.5206800699234</v>
      </c>
      <c r="S11" s="54">
        <v>730.90751280013785</v>
      </c>
    </row>
    <row r="12" spans="1:19" ht="20.45" customHeight="1" x14ac:dyDescent="0.2">
      <c r="A12" s="30" t="s">
        <v>6</v>
      </c>
      <c r="B12" s="53">
        <v>420968.72938358784</v>
      </c>
      <c r="C12" s="54">
        <v>655466.87197736895</v>
      </c>
      <c r="D12" s="53">
        <v>225133.46627724171</v>
      </c>
      <c r="E12" s="54">
        <v>49671.966746046965</v>
      </c>
      <c r="F12" s="53">
        <v>230612.13745284081</v>
      </c>
      <c r="G12" s="54">
        <v>21634.159862209563</v>
      </c>
      <c r="H12" s="53">
        <v>166637.11719965935</v>
      </c>
      <c r="I12" s="54">
        <v>41321.844699568377</v>
      </c>
      <c r="J12" s="53">
        <v>29593.868326663971</v>
      </c>
      <c r="K12" s="54">
        <v>13167.6728023376</v>
      </c>
      <c r="L12" s="53">
        <v>202172.93106758595</v>
      </c>
      <c r="M12" s="54">
        <v>10616.197377906694</v>
      </c>
      <c r="N12" s="53">
        <v>217759.13080382347</v>
      </c>
      <c r="O12" s="54">
        <v>20464.498793295865</v>
      </c>
      <c r="P12" s="53">
        <v>30227.911415815353</v>
      </c>
      <c r="Q12" s="54">
        <v>4703.4138904150705</v>
      </c>
      <c r="R12" s="53">
        <v>3908.7100720405579</v>
      </c>
      <c r="S12" s="54">
        <v>534.08995346778659</v>
      </c>
    </row>
    <row r="13" spans="1:19" ht="20.45" customHeight="1" x14ac:dyDescent="0.2">
      <c r="A13" s="30" t="s">
        <v>7</v>
      </c>
      <c r="B13" s="53">
        <v>80385.540521621704</v>
      </c>
      <c r="C13" s="54">
        <v>210448.45391041003</v>
      </c>
      <c r="D13" s="53">
        <v>43567.119998216629</v>
      </c>
      <c r="E13" s="54">
        <v>15493.647075700343</v>
      </c>
      <c r="F13" s="53">
        <v>44808.739388346672</v>
      </c>
      <c r="G13" s="54">
        <v>5520.1162479147479</v>
      </c>
      <c r="H13" s="53">
        <v>32936.111084461212</v>
      </c>
      <c r="I13" s="54">
        <v>11877.833486367012</v>
      </c>
      <c r="J13" s="53">
        <v>9240.481912612915</v>
      </c>
      <c r="K13" s="54">
        <v>7521.2664400793929</v>
      </c>
      <c r="L13" s="53">
        <v>37762.564277172089</v>
      </c>
      <c r="M13" s="54">
        <v>2633.7480636988421</v>
      </c>
      <c r="N13" s="53">
        <v>41011.915825605392</v>
      </c>
      <c r="O13" s="54">
        <v>5487.2543160382065</v>
      </c>
      <c r="P13" s="53">
        <v>6016.4959185123444</v>
      </c>
      <c r="Q13" s="54">
        <v>1271.6640461220884</v>
      </c>
      <c r="R13" s="53">
        <v>842.21382582187653</v>
      </c>
      <c r="S13" s="54">
        <v>154.52846738491729</v>
      </c>
    </row>
    <row r="14" spans="1:19" ht="20.45" customHeight="1" x14ac:dyDescent="0.2">
      <c r="A14" s="30" t="s">
        <v>8</v>
      </c>
      <c r="B14" s="53">
        <v>25353.601805686951</v>
      </c>
      <c r="C14" s="54">
        <v>92865.215575260387</v>
      </c>
      <c r="D14" s="53">
        <v>12826.04484295845</v>
      </c>
      <c r="E14" s="54">
        <v>5896.7248972960133</v>
      </c>
      <c r="F14" s="53">
        <v>13563.526739954948</v>
      </c>
      <c r="G14" s="54">
        <v>2331.4248562952157</v>
      </c>
      <c r="H14" s="53">
        <v>9700.1843276023865</v>
      </c>
      <c r="I14" s="54">
        <v>4286.6202324375063</v>
      </c>
      <c r="J14" s="53">
        <v>3935.7079737186432</v>
      </c>
      <c r="K14" s="54">
        <v>4999.271967404532</v>
      </c>
      <c r="L14" s="53">
        <v>11140.270956397057</v>
      </c>
      <c r="M14" s="54">
        <v>1018.8734393359324</v>
      </c>
      <c r="N14" s="53">
        <v>12457.092740893364</v>
      </c>
      <c r="O14" s="54">
        <v>2601.3461563647006</v>
      </c>
      <c r="P14" s="53">
        <v>1836.6159605979919</v>
      </c>
      <c r="Q14" s="54">
        <v>498.17067222387158</v>
      </c>
      <c r="R14" s="53">
        <v>337.68776988983154</v>
      </c>
      <c r="S14" s="54">
        <v>96.971514474602557</v>
      </c>
    </row>
    <row r="15" spans="1:19" ht="20.45" customHeight="1" x14ac:dyDescent="0.2">
      <c r="A15" s="30" t="s">
        <v>9</v>
      </c>
      <c r="B15" s="53">
        <v>7318.0268865823746</v>
      </c>
      <c r="C15" s="54">
        <v>33975.010811182707</v>
      </c>
      <c r="D15" s="53">
        <v>3977.2622116804123</v>
      </c>
      <c r="E15" s="54">
        <v>1778.230301673977</v>
      </c>
      <c r="F15" s="53">
        <v>4114.3490411043167</v>
      </c>
      <c r="G15" s="54">
        <v>982.04854361345042</v>
      </c>
      <c r="H15" s="53">
        <v>3074.1100764274597</v>
      </c>
      <c r="I15" s="54">
        <v>1639.6569716622525</v>
      </c>
      <c r="J15" s="53">
        <v>1356.6686506271362</v>
      </c>
      <c r="K15" s="54">
        <v>2024.0190453637792</v>
      </c>
      <c r="L15" s="53">
        <v>3399.2144210338593</v>
      </c>
      <c r="M15" s="54">
        <v>437.76107762765525</v>
      </c>
      <c r="N15" s="53">
        <v>3621.8164894580841</v>
      </c>
      <c r="O15" s="54">
        <v>1040.5734312255581</v>
      </c>
      <c r="P15" s="53">
        <v>782.60864019393921</v>
      </c>
      <c r="Q15" s="54">
        <v>302.75615634741257</v>
      </c>
      <c r="R15" s="53">
        <v>87.591653823852539</v>
      </c>
      <c r="S15" s="54">
        <v>18.048302345401087</v>
      </c>
    </row>
    <row r="16" spans="1:19" ht="20.45" customHeight="1" x14ac:dyDescent="0.2">
      <c r="A16" s="30" t="s">
        <v>10</v>
      </c>
      <c r="B16" s="53">
        <v>6769.9704120159149</v>
      </c>
      <c r="C16" s="54">
        <v>46656.385323124254</v>
      </c>
      <c r="D16" s="53">
        <v>3443.7629145383835</v>
      </c>
      <c r="E16" s="54">
        <v>2530.1404526351312</v>
      </c>
      <c r="F16" s="53">
        <v>3351.9798828363419</v>
      </c>
      <c r="G16" s="54">
        <v>859.53560187176993</v>
      </c>
      <c r="H16" s="53">
        <v>2804.0745899677277</v>
      </c>
      <c r="I16" s="54">
        <v>1815.0399027718602</v>
      </c>
      <c r="J16" s="53">
        <v>1591.6422476768494</v>
      </c>
      <c r="K16" s="54">
        <v>4911.3192295613935</v>
      </c>
      <c r="L16" s="53">
        <v>2693.4006762504578</v>
      </c>
      <c r="M16" s="54">
        <v>397.30542549734139</v>
      </c>
      <c r="N16" s="53">
        <v>3044.299042224884</v>
      </c>
      <c r="O16" s="54">
        <v>1265.7220708933996</v>
      </c>
      <c r="P16" s="53">
        <v>435.81989908218384</v>
      </c>
      <c r="Q16" s="54">
        <v>181.07796546231637</v>
      </c>
      <c r="R16" s="53">
        <v>75.947258472442627</v>
      </c>
      <c r="S16" s="54">
        <v>7.5224057981329819</v>
      </c>
    </row>
    <row r="17" spans="1:20" ht="20.45" customHeight="1" x14ac:dyDescent="0.2">
      <c r="A17" s="30" t="s">
        <v>11</v>
      </c>
      <c r="B17" s="53">
        <v>837.36150598526001</v>
      </c>
      <c r="C17" s="54">
        <v>12333.784917776928</v>
      </c>
      <c r="D17" s="53">
        <v>389.52093315124512</v>
      </c>
      <c r="E17" s="54">
        <v>816.3910981891421</v>
      </c>
      <c r="F17" s="53">
        <v>378.93567514419556</v>
      </c>
      <c r="G17" s="54">
        <v>176.34195440057755</v>
      </c>
      <c r="H17" s="53">
        <v>398.02035808563232</v>
      </c>
      <c r="I17" s="54">
        <v>695.58211811993124</v>
      </c>
      <c r="J17" s="53">
        <v>267.2013373374939</v>
      </c>
      <c r="K17" s="54">
        <v>1523.1168938619739</v>
      </c>
      <c r="L17" s="53">
        <v>339.6768479347229</v>
      </c>
      <c r="M17" s="54">
        <v>82.941728766208954</v>
      </c>
      <c r="N17" s="53">
        <v>378.55133104324341</v>
      </c>
      <c r="O17" s="54">
        <v>101.14084423645663</v>
      </c>
      <c r="P17" s="53">
        <v>115.56223344802856</v>
      </c>
      <c r="Q17" s="54">
        <v>320.07571625608233</v>
      </c>
      <c r="R17" s="53">
        <v>0</v>
      </c>
      <c r="S17" s="54"/>
    </row>
    <row r="18" spans="1:20" s="38" customFormat="1" ht="20.45" customHeight="1" x14ac:dyDescent="0.2">
      <c r="A18" s="31" t="s">
        <v>12</v>
      </c>
      <c r="B18" s="25">
        <f>B6+B7</f>
        <v>3873854.1448774338</v>
      </c>
      <c r="C18" s="26">
        <f t="shared" ref="C18:S18" si="0">C6+C7</f>
        <v>2586182.9531852962</v>
      </c>
      <c r="D18" s="25">
        <f t="shared" si="0"/>
        <v>1823909.6294795275</v>
      </c>
      <c r="E18" s="26">
        <f t="shared" si="0"/>
        <v>199844.77506748942</v>
      </c>
      <c r="F18" s="25">
        <f t="shared" si="0"/>
        <v>1895367.1579515934</v>
      </c>
      <c r="G18" s="26">
        <f t="shared" si="0"/>
        <v>104737.82052172645</v>
      </c>
      <c r="H18" s="25">
        <f t="shared" si="0"/>
        <v>1219355.6489337683</v>
      </c>
      <c r="I18" s="26">
        <f t="shared" si="0"/>
        <v>180141.07553782495</v>
      </c>
      <c r="J18" s="25">
        <f t="shared" si="0"/>
        <v>119879.581838727</v>
      </c>
      <c r="K18" s="26">
        <f t="shared" si="0"/>
        <v>44609.3485069854</v>
      </c>
      <c r="L18" s="25">
        <f t="shared" si="0"/>
        <v>1824094.228874445</v>
      </c>
      <c r="M18" s="26">
        <f t="shared" si="0"/>
        <v>56893.505431652404</v>
      </c>
      <c r="N18" s="25">
        <f t="shared" si="0"/>
        <v>1977570.5382082462</v>
      </c>
      <c r="O18" s="26">
        <f t="shared" si="0"/>
        <v>107733.77511783087</v>
      </c>
      <c r="P18" s="25">
        <f t="shared" si="0"/>
        <v>176440.10470533371</v>
      </c>
      <c r="Q18" s="26">
        <f t="shared" si="0"/>
        <v>16436.284113030204</v>
      </c>
      <c r="R18" s="25">
        <f t="shared" si="0"/>
        <v>28213.625153064728</v>
      </c>
      <c r="S18" s="26">
        <f t="shared" si="0"/>
        <v>2226.1527386220469</v>
      </c>
      <c r="T18" s="48"/>
    </row>
    <row r="20" spans="1:20" ht="12" customHeight="1" x14ac:dyDescent="0.2"/>
  </sheetData>
  <mergeCells count="11">
    <mergeCell ref="R4:S4"/>
    <mergeCell ref="A1:S1"/>
    <mergeCell ref="A4:A5"/>
    <mergeCell ref="B4:C4"/>
    <mergeCell ref="D4:E4"/>
    <mergeCell ref="F4:G4"/>
    <mergeCell ref="H4:I4"/>
    <mergeCell ref="J4:K4"/>
    <mergeCell ref="L4:M4"/>
    <mergeCell ref="N4:O4"/>
    <mergeCell ref="P4:Q4"/>
  </mergeCells>
  <conditionalFormatting sqref="B6:B18">
    <cfRule type="cellIs" dxfId="1277" priority="19" stopIfTrue="1" operator="equal">
      <formula>0</formula>
    </cfRule>
  </conditionalFormatting>
  <conditionalFormatting sqref="D6:D18">
    <cfRule type="cellIs" dxfId="1276" priority="18" stopIfTrue="1" operator="equal">
      <formula>0</formula>
    </cfRule>
  </conditionalFormatting>
  <conditionalFormatting sqref="F6:F18">
    <cfRule type="cellIs" dxfId="1275" priority="17" stopIfTrue="1" operator="equal">
      <formula>0</formula>
    </cfRule>
  </conditionalFormatting>
  <conditionalFormatting sqref="H6:H18">
    <cfRule type="cellIs" dxfId="1274" priority="16" stopIfTrue="1" operator="equal">
      <formula>0</formula>
    </cfRule>
  </conditionalFormatting>
  <conditionalFormatting sqref="J6:J18">
    <cfRule type="cellIs" dxfId="1273" priority="15" stopIfTrue="1" operator="equal">
      <formula>0</formula>
    </cfRule>
  </conditionalFormatting>
  <conditionalFormatting sqref="L6:L18">
    <cfRule type="cellIs" dxfId="1272" priority="14" stopIfTrue="1" operator="equal">
      <formula>0</formula>
    </cfRule>
  </conditionalFormatting>
  <conditionalFormatting sqref="N6:N18">
    <cfRule type="cellIs" dxfId="1271" priority="13" stopIfTrue="1" operator="equal">
      <formula>0</formula>
    </cfRule>
  </conditionalFormatting>
  <conditionalFormatting sqref="P6:P18">
    <cfRule type="cellIs" dxfId="1270" priority="12" stopIfTrue="1" operator="equal">
      <formula>0</formula>
    </cfRule>
  </conditionalFormatting>
  <conditionalFormatting sqref="R6:R18">
    <cfRule type="cellIs" dxfId="1269" priority="11" stopIfTrue="1" operator="equal">
      <formula>0</formula>
    </cfRule>
  </conditionalFormatting>
  <conditionalFormatting sqref="C6:C18">
    <cfRule type="cellIs" dxfId="1268" priority="10" stopIfTrue="1" operator="equal">
      <formula>0</formula>
    </cfRule>
  </conditionalFormatting>
  <conditionalFormatting sqref="E6:E18">
    <cfRule type="cellIs" dxfId="1267" priority="9" stopIfTrue="1" operator="equal">
      <formula>0</formula>
    </cfRule>
  </conditionalFormatting>
  <conditionalFormatting sqref="G6:G18">
    <cfRule type="cellIs" dxfId="1266" priority="8" stopIfTrue="1" operator="equal">
      <formula>0</formula>
    </cfRule>
  </conditionalFormatting>
  <conditionalFormatting sqref="I6:I18">
    <cfRule type="cellIs" dxfId="1265" priority="7" stopIfTrue="1" operator="equal">
      <formula>0</formula>
    </cfRule>
  </conditionalFormatting>
  <conditionalFormatting sqref="K6:K18">
    <cfRule type="cellIs" dxfId="1264" priority="6" stopIfTrue="1" operator="equal">
      <formula>0</formula>
    </cfRule>
  </conditionalFormatting>
  <conditionalFormatting sqref="M6:M18">
    <cfRule type="cellIs" dxfId="1263" priority="5" stopIfTrue="1" operator="equal">
      <formula>0</formula>
    </cfRule>
  </conditionalFormatting>
  <conditionalFormatting sqref="O6:O18">
    <cfRule type="cellIs" dxfId="1262" priority="4" stopIfTrue="1" operator="equal">
      <formula>0</formula>
    </cfRule>
  </conditionalFormatting>
  <conditionalFormatting sqref="Q6:Q18">
    <cfRule type="cellIs" dxfId="1261" priority="3" stopIfTrue="1" operator="equal">
      <formula>0</formula>
    </cfRule>
  </conditionalFormatting>
  <conditionalFormatting sqref="S6:S18">
    <cfRule type="cellIs" dxfId="1260" priority="2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C24C-8009-465A-9BA5-0D08ADFB4BFF}">
  <dimension ref="A1:O20"/>
  <sheetViews>
    <sheetView zoomScale="91" zoomScaleNormal="122" workbookViewId="0">
      <selection activeCell="C19" sqref="C19"/>
    </sheetView>
  </sheetViews>
  <sheetFormatPr defaultColWidth="8.85546875" defaultRowHeight="21" customHeight="1" x14ac:dyDescent="0.2"/>
  <cols>
    <col min="1" max="1" width="22.85546875" style="27" customWidth="1"/>
    <col min="2" max="2" width="8.5703125" style="27" customWidth="1"/>
    <col min="3" max="3" width="10.42578125" style="27" bestFit="1" customWidth="1"/>
    <col min="4" max="4" width="9.5703125" style="27" customWidth="1"/>
    <col min="5" max="5" width="11" style="27" customWidth="1"/>
    <col min="6" max="6" width="8.42578125" style="27" customWidth="1"/>
    <col min="7" max="7" width="9.140625" style="27" customWidth="1"/>
    <col min="8" max="8" width="9.5703125" style="27" customWidth="1"/>
    <col min="9" max="9" width="10.42578125" style="27" customWidth="1"/>
    <col min="10" max="10" width="9.42578125" style="27" customWidth="1"/>
    <col min="11" max="11" width="10.140625" style="27" customWidth="1"/>
    <col min="12" max="12" width="10.85546875" style="27" customWidth="1"/>
    <col min="13" max="13" width="9.42578125" style="27" customWidth="1"/>
    <col min="14" max="14" width="9" style="27" bestFit="1" customWidth="1"/>
    <col min="15" max="15" width="9.140625" style="27" bestFit="1" customWidth="1"/>
    <col min="16" max="16384" width="8.85546875" style="27"/>
  </cols>
  <sheetData>
    <row r="1" spans="1:15" ht="18" customHeight="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ht="13.5" customHeight="1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O2" s="28" t="s">
        <v>32</v>
      </c>
    </row>
    <row r="3" spans="1:15" ht="21" customHeight="1" x14ac:dyDescent="0.2">
      <c r="A3" s="27" t="s">
        <v>585</v>
      </c>
    </row>
    <row r="4" spans="1:15" s="39" customFormat="1" ht="21" customHeight="1" x14ac:dyDescent="0.2">
      <c r="A4" s="123" t="s">
        <v>30</v>
      </c>
      <c r="B4" s="122" t="s">
        <v>101</v>
      </c>
      <c r="C4" s="122"/>
      <c r="D4" s="122" t="s">
        <v>102</v>
      </c>
      <c r="E4" s="122"/>
      <c r="F4" s="120" t="s">
        <v>103</v>
      </c>
      <c r="G4" s="120"/>
      <c r="H4" s="120" t="s">
        <v>104</v>
      </c>
      <c r="I4" s="120"/>
      <c r="J4" s="120" t="s">
        <v>105</v>
      </c>
      <c r="K4" s="120"/>
      <c r="L4" s="120" t="s">
        <v>106</v>
      </c>
      <c r="M4" s="120"/>
      <c r="N4" s="120" t="s">
        <v>107</v>
      </c>
      <c r="O4" s="120"/>
    </row>
    <row r="5" spans="1:15" s="39" customFormat="1" ht="32.25" customHeight="1" x14ac:dyDescent="0.2">
      <c r="A5" s="123"/>
      <c r="B5" s="34" t="s">
        <v>41</v>
      </c>
      <c r="C5" s="34" t="s">
        <v>21</v>
      </c>
      <c r="D5" s="34" t="s">
        <v>41</v>
      </c>
      <c r="E5" s="34" t="s">
        <v>21</v>
      </c>
      <c r="F5" s="34" t="s">
        <v>41</v>
      </c>
      <c r="G5" s="34" t="s">
        <v>21</v>
      </c>
      <c r="H5" s="34" t="s">
        <v>41</v>
      </c>
      <c r="I5" s="34" t="s">
        <v>21</v>
      </c>
      <c r="J5" s="34" t="s">
        <v>41</v>
      </c>
      <c r="K5" s="34" t="s">
        <v>21</v>
      </c>
      <c r="L5" s="34" t="s">
        <v>41</v>
      </c>
      <c r="M5" s="34" t="s">
        <v>21</v>
      </c>
      <c r="N5" s="34" t="s">
        <v>41</v>
      </c>
      <c r="O5" s="34" t="s">
        <v>21</v>
      </c>
    </row>
    <row r="6" spans="1:15" s="38" customFormat="1" ht="20.45" customHeight="1" x14ac:dyDescent="0.2">
      <c r="A6" s="69" t="s">
        <v>0</v>
      </c>
      <c r="B6" s="49">
        <v>286.99919748306274</v>
      </c>
      <c r="C6" s="50">
        <v>1.9840495438018422</v>
      </c>
      <c r="D6" s="49">
        <v>3263.6116156578064</v>
      </c>
      <c r="E6" s="50">
        <v>29.473582484544622</v>
      </c>
      <c r="F6" s="49">
        <v>97.204026222229004</v>
      </c>
      <c r="G6" s="50">
        <v>0.61559783432022563</v>
      </c>
      <c r="H6" s="49">
        <v>2547.811194896698</v>
      </c>
      <c r="I6" s="50">
        <v>23.559832596327201</v>
      </c>
      <c r="J6" s="49">
        <v>1810.3860702514648</v>
      </c>
      <c r="K6" s="50">
        <v>15.354084172667484</v>
      </c>
      <c r="L6" s="49">
        <v>12271.863675117493</v>
      </c>
      <c r="M6" s="50">
        <v>104.15575892762247</v>
      </c>
      <c r="N6" s="49">
        <v>2625.59175157547</v>
      </c>
      <c r="O6" s="50">
        <v>21.929855951127241</v>
      </c>
    </row>
    <row r="7" spans="1:15" s="38" customFormat="1" ht="20.45" customHeight="1" x14ac:dyDescent="0.2">
      <c r="A7" s="29" t="s">
        <v>1</v>
      </c>
      <c r="B7" s="51">
        <v>261585.77462923527</v>
      </c>
      <c r="C7" s="52">
        <v>71583.798505688173</v>
      </c>
      <c r="D7" s="51">
        <v>2677691.1190880537</v>
      </c>
      <c r="E7" s="52">
        <v>1130331.051416314</v>
      </c>
      <c r="F7" s="51">
        <v>86474.711311936378</v>
      </c>
      <c r="G7" s="52">
        <v>14440.795424920509</v>
      </c>
      <c r="H7" s="51">
        <v>2046543.3208190203</v>
      </c>
      <c r="I7" s="52">
        <v>654170.78646632249</v>
      </c>
      <c r="J7" s="51">
        <v>576537.09666490555</v>
      </c>
      <c r="K7" s="52">
        <v>133680.20007322478</v>
      </c>
      <c r="L7" s="51">
        <v>2033855.5124002695</v>
      </c>
      <c r="M7" s="52">
        <v>414077.77066935523</v>
      </c>
      <c r="N7" s="51">
        <v>109798.46803939342</v>
      </c>
      <c r="O7" s="52">
        <v>12009.856256052113</v>
      </c>
    </row>
    <row r="8" spans="1:15" ht="20.45" customHeight="1" x14ac:dyDescent="0.2">
      <c r="A8" s="30" t="s">
        <v>2</v>
      </c>
      <c r="B8" s="53">
        <v>10372.133591175079</v>
      </c>
      <c r="C8" s="54">
        <v>399.00074537541184</v>
      </c>
      <c r="D8" s="53">
        <v>158624.32878351212</v>
      </c>
      <c r="E8" s="54">
        <v>6777.9109814852163</v>
      </c>
      <c r="F8" s="53">
        <v>3670.4917304515839</v>
      </c>
      <c r="G8" s="54">
        <v>102.23162040105649</v>
      </c>
      <c r="H8" s="53">
        <v>111282.78655898571</v>
      </c>
      <c r="I8" s="54">
        <v>4417.6954224186911</v>
      </c>
      <c r="J8" s="53">
        <v>45883.981320858002</v>
      </c>
      <c r="K8" s="54">
        <v>1340.9989438333225</v>
      </c>
      <c r="L8" s="53">
        <v>186127.15219759941</v>
      </c>
      <c r="M8" s="54">
        <v>5529.7025180516321</v>
      </c>
      <c r="N8" s="53">
        <v>23251.239921092987</v>
      </c>
      <c r="O8" s="54">
        <v>505.02570494709198</v>
      </c>
    </row>
    <row r="9" spans="1:15" ht="20.45" customHeight="1" x14ac:dyDescent="0.2">
      <c r="A9" s="30" t="s">
        <v>3</v>
      </c>
      <c r="B9" s="53">
        <v>32156.215931892395</v>
      </c>
      <c r="C9" s="54">
        <v>2769.1678446280998</v>
      </c>
      <c r="D9" s="53">
        <v>381247.96492683887</v>
      </c>
      <c r="E9" s="54">
        <v>39338.682739589305</v>
      </c>
      <c r="F9" s="53">
        <v>12808.818951964378</v>
      </c>
      <c r="G9" s="54">
        <v>758.96901101834953</v>
      </c>
      <c r="H9" s="53">
        <v>305766.20089292526</v>
      </c>
      <c r="I9" s="54">
        <v>27040.644724405542</v>
      </c>
      <c r="J9" s="53">
        <v>78989.295190095901</v>
      </c>
      <c r="K9" s="54">
        <v>6198.1283949874596</v>
      </c>
      <c r="L9" s="53">
        <v>342732.15365839005</v>
      </c>
      <c r="M9" s="54">
        <v>25470.77361016539</v>
      </c>
      <c r="N9" s="53">
        <v>18754.510303139687</v>
      </c>
      <c r="O9" s="54">
        <v>970.89170838217206</v>
      </c>
    </row>
    <row r="10" spans="1:15" ht="20.45" customHeight="1" x14ac:dyDescent="0.2">
      <c r="A10" s="30" t="s">
        <v>4</v>
      </c>
      <c r="B10" s="53">
        <v>94828.931062579155</v>
      </c>
      <c r="C10" s="54">
        <v>16221.6924889042</v>
      </c>
      <c r="D10" s="53">
        <v>990723.47605407238</v>
      </c>
      <c r="E10" s="54">
        <v>229469.94058129014</v>
      </c>
      <c r="F10" s="53">
        <v>32605.093013048172</v>
      </c>
      <c r="G10" s="54">
        <v>3429.5325609734832</v>
      </c>
      <c r="H10" s="53">
        <v>766715.26393246651</v>
      </c>
      <c r="I10" s="54">
        <v>144473.49331008986</v>
      </c>
      <c r="J10" s="53">
        <v>203226.47971439362</v>
      </c>
      <c r="K10" s="54">
        <v>33097.162420650602</v>
      </c>
      <c r="L10" s="53">
        <v>774277.67754590511</v>
      </c>
      <c r="M10" s="54">
        <v>120725.75056560138</v>
      </c>
      <c r="N10" s="53">
        <v>34031.368286132813</v>
      </c>
      <c r="O10" s="54">
        <v>3344.1064793605938</v>
      </c>
    </row>
    <row r="11" spans="1:15" ht="20.45" customHeight="1" x14ac:dyDescent="0.2">
      <c r="A11" s="30" t="s">
        <v>5</v>
      </c>
      <c r="B11" s="53">
        <v>74376.085752367973</v>
      </c>
      <c r="C11" s="54">
        <v>22065.572174472869</v>
      </c>
      <c r="D11" s="53">
        <v>713917.6153717041</v>
      </c>
      <c r="E11" s="54">
        <v>344667.92258876411</v>
      </c>
      <c r="F11" s="53">
        <v>24076.119199037552</v>
      </c>
      <c r="G11" s="54">
        <v>4549.2402129200855</v>
      </c>
      <c r="H11" s="53">
        <v>530500.98020780087</v>
      </c>
      <c r="I11" s="54">
        <v>194458.00026395413</v>
      </c>
      <c r="J11" s="53">
        <v>152671.72288775444</v>
      </c>
      <c r="K11" s="54">
        <v>42814.894285232644</v>
      </c>
      <c r="L11" s="53">
        <v>483342.47677695751</v>
      </c>
      <c r="M11" s="54">
        <v>138159.71246276007</v>
      </c>
      <c r="N11" s="53">
        <v>21675.504431009293</v>
      </c>
      <c r="O11" s="54">
        <v>3582.5676980352209</v>
      </c>
    </row>
    <row r="12" spans="1:15" ht="20.45" customHeight="1" x14ac:dyDescent="0.2">
      <c r="A12" s="30" t="s">
        <v>6</v>
      </c>
      <c r="B12" s="53">
        <v>37478.131331562996</v>
      </c>
      <c r="C12" s="54">
        <v>18512.366186730185</v>
      </c>
      <c r="D12" s="53">
        <v>333392.62930929661</v>
      </c>
      <c r="E12" s="54">
        <v>308563.95081210177</v>
      </c>
      <c r="F12" s="53">
        <v>10199.500694990158</v>
      </c>
      <c r="G12" s="54">
        <v>3356.2336388003255</v>
      </c>
      <c r="H12" s="53">
        <v>252145.77346718311</v>
      </c>
      <c r="I12" s="54">
        <v>168213.75613185411</v>
      </c>
      <c r="J12" s="53">
        <v>73504.970170021057</v>
      </c>
      <c r="K12" s="54">
        <v>31829.456718121797</v>
      </c>
      <c r="L12" s="53">
        <v>199427.93213415146</v>
      </c>
      <c r="M12" s="54">
        <v>89323.97330605585</v>
      </c>
      <c r="N12" s="53">
        <v>9413.6383590698242</v>
      </c>
      <c r="O12" s="54">
        <v>2230.1413048129307</v>
      </c>
    </row>
    <row r="13" spans="1:15" ht="20.45" customHeight="1" x14ac:dyDescent="0.2">
      <c r="A13" s="30" t="s">
        <v>7</v>
      </c>
      <c r="B13" s="53">
        <v>8319.7103855609894</v>
      </c>
      <c r="C13" s="54">
        <v>6525.4920573311711</v>
      </c>
      <c r="D13" s="53">
        <v>65923.808082818985</v>
      </c>
      <c r="E13" s="54">
        <v>106068.09487019233</v>
      </c>
      <c r="F13" s="53">
        <v>1999.0811994075775</v>
      </c>
      <c r="G13" s="54">
        <v>1198.8094897416354</v>
      </c>
      <c r="H13" s="53">
        <v>51912.595196127892</v>
      </c>
      <c r="I13" s="54">
        <v>57772.433495199999</v>
      </c>
      <c r="J13" s="53">
        <v>14725.819878578186</v>
      </c>
      <c r="K13" s="54">
        <v>9717.3898153740047</v>
      </c>
      <c r="L13" s="53">
        <v>33513.973687291145</v>
      </c>
      <c r="M13" s="54">
        <v>21723.998848448093</v>
      </c>
      <c r="N13" s="53">
        <v>1739.4882664680481</v>
      </c>
      <c r="O13" s="54">
        <v>624.69459906630959</v>
      </c>
    </row>
    <row r="14" spans="1:15" ht="20.45" customHeight="1" x14ac:dyDescent="0.2">
      <c r="A14" s="30" t="s">
        <v>8</v>
      </c>
      <c r="B14" s="53">
        <v>2537.871461391449</v>
      </c>
      <c r="C14" s="54">
        <v>2690.2645304070611</v>
      </c>
      <c r="D14" s="53">
        <v>20987.457188010216</v>
      </c>
      <c r="E14" s="54">
        <v>47226.216130840403</v>
      </c>
      <c r="F14" s="53">
        <v>675.91292190551758</v>
      </c>
      <c r="G14" s="54">
        <v>504.87724128301954</v>
      </c>
      <c r="H14" s="53">
        <v>17299.391703605652</v>
      </c>
      <c r="I14" s="54">
        <v>27814.274468732081</v>
      </c>
      <c r="J14" s="53">
        <v>4787.5232915878296</v>
      </c>
      <c r="K14" s="54">
        <v>4630.9275878254202</v>
      </c>
      <c r="L14" s="53">
        <v>9412.2133578062057</v>
      </c>
      <c r="M14" s="54">
        <v>7296.0063931319219</v>
      </c>
      <c r="N14" s="53">
        <v>429.38155031204224</v>
      </c>
      <c r="O14" s="54">
        <v>199.0921263387757</v>
      </c>
    </row>
    <row r="15" spans="1:15" ht="20.45" customHeight="1" x14ac:dyDescent="0.2">
      <c r="A15" s="30" t="s">
        <v>9</v>
      </c>
      <c r="B15" s="53">
        <v>780.58333778381348</v>
      </c>
      <c r="C15" s="54">
        <v>926.83852587347724</v>
      </c>
      <c r="D15" s="53">
        <v>6183.8383640050888</v>
      </c>
      <c r="E15" s="54">
        <v>17718.177819332657</v>
      </c>
      <c r="F15" s="53">
        <v>238.52863740921021</v>
      </c>
      <c r="G15" s="54">
        <v>281.75066388526966</v>
      </c>
      <c r="H15" s="53">
        <v>4970.2492879629135</v>
      </c>
      <c r="I15" s="54">
        <v>9856.9827532254749</v>
      </c>
      <c r="J15" s="53">
        <v>1343.9104943275452</v>
      </c>
      <c r="K15" s="54">
        <v>1415.4536716489729</v>
      </c>
      <c r="L15" s="53">
        <v>2843.5002360343933</v>
      </c>
      <c r="M15" s="54">
        <v>2774.2045833382408</v>
      </c>
      <c r="N15" s="53">
        <v>297.95093536376953</v>
      </c>
      <c r="O15" s="54">
        <v>244.25695965950064</v>
      </c>
    </row>
    <row r="16" spans="1:15" ht="20.45" customHeight="1" x14ac:dyDescent="0.2">
      <c r="A16" s="30" t="s">
        <v>10</v>
      </c>
      <c r="B16" s="53">
        <v>620.58996820449829</v>
      </c>
      <c r="C16" s="54">
        <v>1024.6490352665908</v>
      </c>
      <c r="D16" s="53">
        <v>5932.9459946155548</v>
      </c>
      <c r="E16" s="54">
        <v>24245.733052249987</v>
      </c>
      <c r="F16" s="53">
        <v>184.90406513214111</v>
      </c>
      <c r="G16" s="54">
        <v>246.74261841765926</v>
      </c>
      <c r="H16" s="53">
        <v>5255.1834528446198</v>
      </c>
      <c r="I16" s="54">
        <v>16096.657983184916</v>
      </c>
      <c r="J16" s="53">
        <v>1322.2346882820129</v>
      </c>
      <c r="K16" s="54">
        <v>2209.725903939654</v>
      </c>
      <c r="L16" s="53">
        <v>1923.3467222452164</v>
      </c>
      <c r="M16" s="54">
        <v>2114.0709076128906</v>
      </c>
      <c r="N16" s="53">
        <v>168.7331976890564</v>
      </c>
      <c r="O16" s="54">
        <v>242.73369378394159</v>
      </c>
    </row>
    <row r="17" spans="1:15" ht="20.45" customHeight="1" x14ac:dyDescent="0.2">
      <c r="A17" s="30" t="s">
        <v>11</v>
      </c>
      <c r="B17" s="53">
        <v>115.52180671691895</v>
      </c>
      <c r="C17" s="54">
        <v>448.75491669972899</v>
      </c>
      <c r="D17" s="53">
        <v>757.05501317977905</v>
      </c>
      <c r="E17" s="54">
        <v>6254.4218404754938</v>
      </c>
      <c r="F17" s="53">
        <v>16.260898590087891</v>
      </c>
      <c r="G17" s="54">
        <v>12.408367479616345</v>
      </c>
      <c r="H17" s="53">
        <v>694.89611911773682</v>
      </c>
      <c r="I17" s="54">
        <v>4026.8479132503135</v>
      </c>
      <c r="J17" s="53">
        <v>81.159029006958008</v>
      </c>
      <c r="K17" s="54">
        <v>426.06233161068769</v>
      </c>
      <c r="L17" s="53">
        <v>255.08608388900757</v>
      </c>
      <c r="M17" s="54">
        <v>959.57747419226621</v>
      </c>
      <c r="N17" s="53">
        <v>36.652789115905762</v>
      </c>
      <c r="O17" s="54">
        <v>66.34598166554072</v>
      </c>
    </row>
    <row r="18" spans="1:15" s="38" customFormat="1" ht="20.45" customHeight="1" x14ac:dyDescent="0.2">
      <c r="A18" s="31" t="s">
        <v>12</v>
      </c>
      <c r="B18" s="25">
        <f>B6+B7</f>
        <v>261872.77382671833</v>
      </c>
      <c r="C18" s="26">
        <f t="shared" ref="C18:O18" si="0">C6+C7</f>
        <v>71585.78255523197</v>
      </c>
      <c r="D18" s="25">
        <f t="shared" si="0"/>
        <v>2680954.7307037115</v>
      </c>
      <c r="E18" s="26">
        <f t="shared" si="0"/>
        <v>1130360.5249987985</v>
      </c>
      <c r="F18" s="25">
        <f t="shared" si="0"/>
        <v>86571.915338158607</v>
      </c>
      <c r="G18" s="26">
        <f t="shared" si="0"/>
        <v>14441.411022754828</v>
      </c>
      <c r="H18" s="25">
        <f t="shared" si="0"/>
        <v>2049091.132013917</v>
      </c>
      <c r="I18" s="26">
        <f t="shared" si="0"/>
        <v>654194.34629891883</v>
      </c>
      <c r="J18" s="25">
        <f t="shared" si="0"/>
        <v>578347.48273515701</v>
      </c>
      <c r="K18" s="26">
        <f t="shared" si="0"/>
        <v>133695.55415739745</v>
      </c>
      <c r="L18" s="25">
        <f t="shared" si="0"/>
        <v>2046127.376075387</v>
      </c>
      <c r="M18" s="26">
        <f t="shared" si="0"/>
        <v>414181.92642828287</v>
      </c>
      <c r="N18" s="25">
        <f t="shared" si="0"/>
        <v>112424.05979096889</v>
      </c>
      <c r="O18" s="26">
        <f t="shared" si="0"/>
        <v>12031.786112003241</v>
      </c>
    </row>
    <row r="19" spans="1:15" ht="12.75" x14ac:dyDescent="0.2"/>
    <row r="20" spans="1:15" ht="12" customHeight="1" x14ac:dyDescent="0.2"/>
  </sheetData>
  <mergeCells count="9">
    <mergeCell ref="A1:O1"/>
    <mergeCell ref="A4:A5"/>
    <mergeCell ref="B4:C4"/>
    <mergeCell ref="D4:E4"/>
    <mergeCell ref="F4:G4"/>
    <mergeCell ref="H4:I4"/>
    <mergeCell ref="J4:K4"/>
    <mergeCell ref="L4:M4"/>
    <mergeCell ref="N4:O4"/>
  </mergeCells>
  <conditionalFormatting sqref="B6:B18">
    <cfRule type="cellIs" dxfId="1259" priority="14" stopIfTrue="1" operator="equal">
      <formula>0</formula>
    </cfRule>
  </conditionalFormatting>
  <conditionalFormatting sqref="D6:D18">
    <cfRule type="cellIs" dxfId="1258" priority="13" stopIfTrue="1" operator="equal">
      <formula>0</formula>
    </cfRule>
  </conditionalFormatting>
  <conditionalFormatting sqref="F6:F18">
    <cfRule type="cellIs" dxfId="1257" priority="12" stopIfTrue="1" operator="equal">
      <formula>0</formula>
    </cfRule>
  </conditionalFormatting>
  <conditionalFormatting sqref="H6:H18">
    <cfRule type="cellIs" dxfId="1256" priority="11" stopIfTrue="1" operator="equal">
      <formula>0</formula>
    </cfRule>
  </conditionalFormatting>
  <conditionalFormatting sqref="J6:J18">
    <cfRule type="cellIs" dxfId="1255" priority="10" stopIfTrue="1" operator="equal">
      <formula>0</formula>
    </cfRule>
  </conditionalFormatting>
  <conditionalFormatting sqref="L6:L18">
    <cfRule type="cellIs" dxfId="1254" priority="9" stopIfTrue="1" operator="equal">
      <formula>0</formula>
    </cfRule>
  </conditionalFormatting>
  <conditionalFormatting sqref="N6:N18">
    <cfRule type="cellIs" dxfId="1253" priority="8" stopIfTrue="1" operator="equal">
      <formula>0</formula>
    </cfRule>
  </conditionalFormatting>
  <conditionalFormatting sqref="C6:C18">
    <cfRule type="cellIs" dxfId="1252" priority="7" stopIfTrue="1" operator="equal">
      <formula>0</formula>
    </cfRule>
  </conditionalFormatting>
  <conditionalFormatting sqref="E6:E18">
    <cfRule type="cellIs" dxfId="1251" priority="6" stopIfTrue="1" operator="equal">
      <formula>0</formula>
    </cfRule>
  </conditionalFormatting>
  <conditionalFormatting sqref="G6:G18">
    <cfRule type="cellIs" dxfId="1250" priority="5" stopIfTrue="1" operator="equal">
      <formula>0</formula>
    </cfRule>
  </conditionalFormatting>
  <conditionalFormatting sqref="I6:I18">
    <cfRule type="cellIs" dxfId="1249" priority="4" stopIfTrue="1" operator="equal">
      <formula>0</formula>
    </cfRule>
  </conditionalFormatting>
  <conditionalFormatting sqref="K6:K18">
    <cfRule type="cellIs" dxfId="1248" priority="3" stopIfTrue="1" operator="equal">
      <formula>0</formula>
    </cfRule>
  </conditionalFormatting>
  <conditionalFormatting sqref="M6:M18">
    <cfRule type="cellIs" dxfId="1247" priority="2" stopIfTrue="1" operator="equal">
      <formula>0</formula>
    </cfRule>
  </conditionalFormatting>
  <conditionalFormatting sqref="O6:O18">
    <cfRule type="cellIs" dxfId="1246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66B4-6A73-437F-909C-73EE16DD4303}">
  <dimension ref="A1:Q20"/>
  <sheetViews>
    <sheetView zoomScale="88" zoomScaleNormal="136" workbookViewId="0">
      <selection activeCell="C19" sqref="C19"/>
    </sheetView>
  </sheetViews>
  <sheetFormatPr defaultColWidth="8.85546875" defaultRowHeight="12.75" x14ac:dyDescent="0.2"/>
  <cols>
    <col min="1" max="1" width="21.140625" style="27" customWidth="1"/>
    <col min="2" max="2" width="9" style="27" bestFit="1" customWidth="1"/>
    <col min="3" max="3" width="10" style="27" customWidth="1"/>
    <col min="4" max="4" width="9.42578125" style="27" customWidth="1"/>
    <col min="5" max="5" width="9.140625" style="27" bestFit="1" customWidth="1"/>
    <col min="6" max="6" width="8.5703125" style="27" customWidth="1"/>
    <col min="7" max="7" width="8.140625" style="27" bestFit="1" customWidth="1"/>
    <col min="8" max="8" width="7.42578125" style="27" customWidth="1"/>
    <col min="9" max="9" width="7.85546875" style="27" customWidth="1"/>
    <col min="10" max="10" width="9.5703125" style="27" customWidth="1"/>
    <col min="11" max="11" width="8.85546875" style="27" customWidth="1"/>
    <col min="12" max="12" width="8.5703125" style="27" customWidth="1"/>
    <col min="13" max="13" width="9.5703125" style="27" customWidth="1"/>
    <col min="14" max="14" width="8.140625" style="27" customWidth="1"/>
    <col min="15" max="15" width="8.140625" style="27" bestFit="1" customWidth="1"/>
    <col min="16" max="16" width="9" style="27" bestFit="1" customWidth="1"/>
    <col min="17" max="17" width="9.140625" style="27" bestFit="1" customWidth="1"/>
    <col min="18" max="16384" width="8.85546875" style="27"/>
  </cols>
  <sheetData>
    <row r="1" spans="1:17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7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Q2" s="28" t="s">
        <v>32</v>
      </c>
    </row>
    <row r="3" spans="1:17" x14ac:dyDescent="0.2">
      <c r="A3" s="27" t="s">
        <v>584</v>
      </c>
    </row>
    <row r="4" spans="1:17" s="39" customFormat="1" ht="24.75" customHeight="1" x14ac:dyDescent="0.2">
      <c r="A4" s="123" t="s">
        <v>30</v>
      </c>
      <c r="B4" s="122" t="s">
        <v>108</v>
      </c>
      <c r="C4" s="122"/>
      <c r="D4" s="122" t="s">
        <v>109</v>
      </c>
      <c r="E4" s="122"/>
      <c r="F4" s="122" t="s">
        <v>110</v>
      </c>
      <c r="G4" s="122"/>
      <c r="H4" s="120" t="s">
        <v>111</v>
      </c>
      <c r="I4" s="120"/>
      <c r="J4" s="120" t="s">
        <v>112</v>
      </c>
      <c r="K4" s="120"/>
      <c r="L4" s="120" t="s">
        <v>113</v>
      </c>
      <c r="M4" s="120"/>
      <c r="N4" s="120" t="s">
        <v>114</v>
      </c>
      <c r="O4" s="120"/>
      <c r="P4" s="122" t="s">
        <v>115</v>
      </c>
      <c r="Q4" s="122"/>
    </row>
    <row r="5" spans="1:17" s="39" customFormat="1" ht="31.5" customHeight="1" x14ac:dyDescent="0.2">
      <c r="A5" s="123"/>
      <c r="B5" s="34" t="s">
        <v>41</v>
      </c>
      <c r="C5" s="34" t="s">
        <v>21</v>
      </c>
      <c r="D5" s="34" t="s">
        <v>41</v>
      </c>
      <c r="E5" s="34" t="s">
        <v>21</v>
      </c>
      <c r="F5" s="34" t="s">
        <v>41</v>
      </c>
      <c r="G5" s="34" t="s">
        <v>21</v>
      </c>
      <c r="H5" s="34" t="s">
        <v>41</v>
      </c>
      <c r="I5" s="34" t="s">
        <v>21</v>
      </c>
      <c r="J5" s="34" t="s">
        <v>41</v>
      </c>
      <c r="K5" s="34" t="s">
        <v>21</v>
      </c>
      <c r="L5" s="34" t="s">
        <v>41</v>
      </c>
      <c r="M5" s="34" t="s">
        <v>21</v>
      </c>
      <c r="N5" s="34" t="s">
        <v>41</v>
      </c>
      <c r="O5" s="34" t="s">
        <v>21</v>
      </c>
      <c r="P5" s="34" t="s">
        <v>41</v>
      </c>
      <c r="Q5" s="34" t="s">
        <v>21</v>
      </c>
    </row>
    <row r="6" spans="1:17" s="38" customFormat="1" ht="20.45" customHeight="1" x14ac:dyDescent="0.2">
      <c r="A6" s="69" t="s">
        <v>0</v>
      </c>
      <c r="B6" s="49">
        <v>1025.7647585868835</v>
      </c>
      <c r="C6" s="50">
        <v>8.6094879097259209</v>
      </c>
      <c r="D6" s="49">
        <v>341.33753633499146</v>
      </c>
      <c r="E6" s="50">
        <v>1.9731575405539761</v>
      </c>
      <c r="F6" s="49">
        <v>31.501482486724854</v>
      </c>
      <c r="G6" s="50">
        <v>0.1369580207374857</v>
      </c>
      <c r="H6" s="49">
        <v>30.74579906463623</v>
      </c>
      <c r="I6" s="50">
        <v>0.20176878067896054</v>
      </c>
      <c r="J6" s="49">
        <v>2746.7214772701263</v>
      </c>
      <c r="K6" s="50">
        <v>12.237424339080217</v>
      </c>
      <c r="L6" s="49">
        <v>260.09948253631592</v>
      </c>
      <c r="M6" s="50">
        <v>1.5172511399412636</v>
      </c>
      <c r="N6" s="49">
        <v>98.341658592224121</v>
      </c>
      <c r="O6" s="50">
        <v>0.26923175992914294</v>
      </c>
      <c r="P6" s="49">
        <v>58.501889944076538</v>
      </c>
      <c r="Q6" s="50">
        <v>0.42051808008318003</v>
      </c>
    </row>
    <row r="7" spans="1:17" s="38" customFormat="1" ht="20.45" customHeight="1" x14ac:dyDescent="0.2">
      <c r="A7" s="29" t="s">
        <v>1</v>
      </c>
      <c r="B7" s="51">
        <v>868073.92875123024</v>
      </c>
      <c r="C7" s="52">
        <v>122104.9404567156</v>
      </c>
      <c r="D7" s="51">
        <v>296478.38392984867</v>
      </c>
      <c r="E7" s="52">
        <v>23268.818432322383</v>
      </c>
      <c r="F7" s="51">
        <v>85351.265213012695</v>
      </c>
      <c r="G7" s="52">
        <v>8089.3705893649094</v>
      </c>
      <c r="H7" s="51">
        <v>24130.136143922806</v>
      </c>
      <c r="I7" s="52">
        <v>2217.5707612240903</v>
      </c>
      <c r="J7" s="51">
        <v>337247.54286575317</v>
      </c>
      <c r="K7" s="52">
        <v>12355.920506840122</v>
      </c>
      <c r="L7" s="51">
        <v>231525.47551047802</v>
      </c>
      <c r="M7" s="52">
        <v>14914.697556026118</v>
      </c>
      <c r="N7" s="51">
        <v>70071.871466159821</v>
      </c>
      <c r="O7" s="52">
        <v>5017.0752400089432</v>
      </c>
      <c r="P7" s="51">
        <v>96462.112916231155</v>
      </c>
      <c r="Q7" s="52">
        <v>15640.740662277069</v>
      </c>
    </row>
    <row r="8" spans="1:17" ht="20.45" customHeight="1" x14ac:dyDescent="0.2">
      <c r="A8" s="30" t="s">
        <v>2</v>
      </c>
      <c r="B8" s="53">
        <v>46589.523042678833</v>
      </c>
      <c r="C8" s="54">
        <v>1394.2383587070376</v>
      </c>
      <c r="D8" s="53">
        <v>14631.841131925583</v>
      </c>
      <c r="E8" s="54">
        <v>259.94938309208976</v>
      </c>
      <c r="F8" s="53">
        <v>2570.487144947052</v>
      </c>
      <c r="G8" s="54">
        <v>54.350441365696426</v>
      </c>
      <c r="H8" s="53">
        <v>1015.9038901329041</v>
      </c>
      <c r="I8" s="54">
        <v>17.277124558114188</v>
      </c>
      <c r="J8" s="53">
        <v>27671.731245279312</v>
      </c>
      <c r="K8" s="54">
        <v>308.79622380090217</v>
      </c>
      <c r="L8" s="53">
        <v>9849.1470217704773</v>
      </c>
      <c r="M8" s="54">
        <v>174.93385952886865</v>
      </c>
      <c r="N8" s="53">
        <v>2642.4931635856628</v>
      </c>
      <c r="O8" s="54">
        <v>39.00546556915323</v>
      </c>
      <c r="P8" s="53">
        <v>2190.0437397956848</v>
      </c>
      <c r="Q8" s="54">
        <v>51.723165050729556</v>
      </c>
    </row>
    <row r="9" spans="1:17" ht="20.45" customHeight="1" x14ac:dyDescent="0.2">
      <c r="A9" s="30" t="s">
        <v>3</v>
      </c>
      <c r="B9" s="53">
        <v>135123.54660594463</v>
      </c>
      <c r="C9" s="54">
        <v>8145.9508790441359</v>
      </c>
      <c r="D9" s="53">
        <v>47048.701287746429</v>
      </c>
      <c r="E9" s="54">
        <v>1612.8364504571311</v>
      </c>
      <c r="F9" s="53">
        <v>8444.7829148769379</v>
      </c>
      <c r="G9" s="54">
        <v>344.01460668438688</v>
      </c>
      <c r="H9" s="53">
        <v>3386.6229757070541</v>
      </c>
      <c r="I9" s="54">
        <v>111.63712552911008</v>
      </c>
      <c r="J9" s="53">
        <v>55312.988325476646</v>
      </c>
      <c r="K9" s="54">
        <v>1064.7552552752161</v>
      </c>
      <c r="L9" s="53">
        <v>30305.574793338776</v>
      </c>
      <c r="M9" s="54">
        <v>922.45096226417968</v>
      </c>
      <c r="N9" s="53">
        <v>6991.0005946159363</v>
      </c>
      <c r="O9" s="54">
        <v>184.57391614581383</v>
      </c>
      <c r="P9" s="53">
        <v>5774.927218914032</v>
      </c>
      <c r="Q9" s="54">
        <v>331.75100043879706</v>
      </c>
    </row>
    <row r="10" spans="1:17" ht="20.45" customHeight="1" x14ac:dyDescent="0.2">
      <c r="A10" s="30" t="s">
        <v>4</v>
      </c>
      <c r="B10" s="53">
        <v>343505.41738033295</v>
      </c>
      <c r="C10" s="54">
        <v>37316.069095261519</v>
      </c>
      <c r="D10" s="53">
        <v>122135.1119273901</v>
      </c>
      <c r="E10" s="54">
        <v>7492.2976552230639</v>
      </c>
      <c r="F10" s="53">
        <v>28138.928240656853</v>
      </c>
      <c r="G10" s="54">
        <v>1930.4874256949813</v>
      </c>
      <c r="H10" s="53">
        <v>8425.8211125135422</v>
      </c>
      <c r="I10" s="54">
        <v>549.21782046072701</v>
      </c>
      <c r="J10" s="53">
        <v>130269.40275061131</v>
      </c>
      <c r="K10" s="54">
        <v>3884.3489679702957</v>
      </c>
      <c r="L10" s="53">
        <v>88307.19162607193</v>
      </c>
      <c r="M10" s="54">
        <v>4359.6419908616217</v>
      </c>
      <c r="N10" s="53">
        <v>21333.945080280304</v>
      </c>
      <c r="O10" s="54">
        <v>919.40214419431629</v>
      </c>
      <c r="P10" s="53">
        <v>25664.184167146683</v>
      </c>
      <c r="Q10" s="54">
        <v>2416.4831308594985</v>
      </c>
    </row>
    <row r="11" spans="1:17" ht="20.45" customHeight="1" x14ac:dyDescent="0.2">
      <c r="A11" s="30" t="s">
        <v>5</v>
      </c>
      <c r="B11" s="53">
        <v>227826.77906382084</v>
      </c>
      <c r="C11" s="54">
        <v>41644.721545690583</v>
      </c>
      <c r="D11" s="53">
        <v>74303.898295640945</v>
      </c>
      <c r="E11" s="54">
        <v>7361.9105450684428</v>
      </c>
      <c r="F11" s="53">
        <v>26778.155276298523</v>
      </c>
      <c r="G11" s="54">
        <v>2568.7847305064452</v>
      </c>
      <c r="H11" s="53">
        <v>7035.4844660758972</v>
      </c>
      <c r="I11" s="54">
        <v>746.08128634174807</v>
      </c>
      <c r="J11" s="53">
        <v>81734.415183544159</v>
      </c>
      <c r="K11" s="54">
        <v>4033.3728565184615</v>
      </c>
      <c r="L11" s="53">
        <v>66199.886988997459</v>
      </c>
      <c r="M11" s="54">
        <v>5007.965567126198</v>
      </c>
      <c r="N11" s="53">
        <v>21494.58132815361</v>
      </c>
      <c r="O11" s="54">
        <v>1488.7019290044445</v>
      </c>
      <c r="P11" s="53">
        <v>32078.996458292007</v>
      </c>
      <c r="Q11" s="54">
        <v>4669.6289613252748</v>
      </c>
    </row>
    <row r="12" spans="1:17" ht="20.45" customHeight="1" x14ac:dyDescent="0.2">
      <c r="A12" s="30" t="s">
        <v>6</v>
      </c>
      <c r="B12" s="53">
        <v>95296.102612614632</v>
      </c>
      <c r="C12" s="54">
        <v>25775.146989826695</v>
      </c>
      <c r="D12" s="53">
        <v>31488.544129610062</v>
      </c>
      <c r="E12" s="54">
        <v>4915.7400870359888</v>
      </c>
      <c r="F12" s="53">
        <v>14852.768596529961</v>
      </c>
      <c r="G12" s="54">
        <v>2196.2213461037404</v>
      </c>
      <c r="H12" s="53">
        <v>3416.758472442627</v>
      </c>
      <c r="I12" s="54">
        <v>549.88545592604942</v>
      </c>
      <c r="J12" s="53">
        <v>34632.696809887886</v>
      </c>
      <c r="K12" s="54">
        <v>2264.7765640125031</v>
      </c>
      <c r="L12" s="53">
        <v>29758.814736843109</v>
      </c>
      <c r="M12" s="54">
        <v>3296.4771783664901</v>
      </c>
      <c r="N12" s="53">
        <v>12690.274317264557</v>
      </c>
      <c r="O12" s="54">
        <v>1285.0239032743334</v>
      </c>
      <c r="P12" s="53">
        <v>21830.178928375244</v>
      </c>
      <c r="Q12" s="54">
        <v>4991.7407277935336</v>
      </c>
    </row>
    <row r="13" spans="1:17" ht="20.45" customHeight="1" x14ac:dyDescent="0.2">
      <c r="A13" s="30" t="s">
        <v>7</v>
      </c>
      <c r="B13" s="53">
        <v>13979.388053536415</v>
      </c>
      <c r="C13" s="54">
        <v>5006.7485811420756</v>
      </c>
      <c r="D13" s="53">
        <v>4781.3460428714752</v>
      </c>
      <c r="E13" s="54">
        <v>1110.2253055448857</v>
      </c>
      <c r="F13" s="53">
        <v>3010.5862994194031</v>
      </c>
      <c r="G13" s="54">
        <v>553.55130058576754</v>
      </c>
      <c r="H13" s="53">
        <v>576.79460287094116</v>
      </c>
      <c r="I13" s="54">
        <v>147.01554778316381</v>
      </c>
      <c r="J13" s="53">
        <v>5328.3303558826447</v>
      </c>
      <c r="K13" s="54">
        <v>515.9261728640646</v>
      </c>
      <c r="L13" s="53">
        <v>5014.5536508560181</v>
      </c>
      <c r="M13" s="54">
        <v>688.7169131844089</v>
      </c>
      <c r="N13" s="53">
        <v>2869.3021306991577</v>
      </c>
      <c r="O13" s="54">
        <v>519.41624715202295</v>
      </c>
      <c r="P13" s="53">
        <v>5969.4393298625946</v>
      </c>
      <c r="Q13" s="54">
        <v>1935.3358358746204</v>
      </c>
    </row>
    <row r="14" spans="1:17" ht="20.45" customHeight="1" x14ac:dyDescent="0.2">
      <c r="A14" s="30" t="s">
        <v>8</v>
      </c>
      <c r="B14" s="53">
        <v>4070.0408091545105</v>
      </c>
      <c r="C14" s="54">
        <v>1880.1717258058904</v>
      </c>
      <c r="D14" s="53">
        <v>1510.0786914825439</v>
      </c>
      <c r="E14" s="54">
        <v>327.95970415969265</v>
      </c>
      <c r="F14" s="53">
        <v>1072.4733357429504</v>
      </c>
      <c r="G14" s="54">
        <v>268.53597615946416</v>
      </c>
      <c r="H14" s="53">
        <v>145.45740222930908</v>
      </c>
      <c r="I14" s="54">
        <v>26.889690576614552</v>
      </c>
      <c r="J14" s="53">
        <v>1594.9706416130066</v>
      </c>
      <c r="K14" s="54">
        <v>206.68619090042574</v>
      </c>
      <c r="L14" s="53">
        <v>1367.2169351577759</v>
      </c>
      <c r="M14" s="54">
        <v>258.01312516269428</v>
      </c>
      <c r="N14" s="53">
        <v>1238.0501658916473</v>
      </c>
      <c r="O14" s="54">
        <v>207.21748168288201</v>
      </c>
      <c r="P14" s="53">
        <v>1846.7572841644287</v>
      </c>
      <c r="Q14" s="54">
        <v>662.05030217380386</v>
      </c>
    </row>
    <row r="15" spans="1:17" ht="20.45" customHeight="1" x14ac:dyDescent="0.2">
      <c r="A15" s="30" t="s">
        <v>9</v>
      </c>
      <c r="B15" s="53">
        <v>968.50682604312897</v>
      </c>
      <c r="C15" s="54">
        <v>507.46913742450823</v>
      </c>
      <c r="D15" s="53">
        <v>359.12791275978088</v>
      </c>
      <c r="E15" s="54">
        <v>104.67432066276675</v>
      </c>
      <c r="F15" s="53">
        <v>312.1611852645874</v>
      </c>
      <c r="G15" s="54">
        <v>80.335328972056303</v>
      </c>
      <c r="H15" s="53">
        <v>95.552570343017578</v>
      </c>
      <c r="I15" s="54">
        <v>64.867047159749291</v>
      </c>
      <c r="J15" s="53">
        <v>370.80768430233002</v>
      </c>
      <c r="K15" s="54">
        <v>25.892079494637791</v>
      </c>
      <c r="L15" s="53">
        <v>320.13353681564331</v>
      </c>
      <c r="M15" s="54">
        <v>75.818732799740886</v>
      </c>
      <c r="N15" s="53">
        <v>321.49891471862793</v>
      </c>
      <c r="O15" s="54">
        <v>63.369690739157377</v>
      </c>
      <c r="P15" s="53">
        <v>534.24056911468506</v>
      </c>
      <c r="Q15" s="54">
        <v>173.20279728860896</v>
      </c>
    </row>
    <row r="16" spans="1:17" ht="20.45" customHeight="1" x14ac:dyDescent="0.2">
      <c r="A16" s="30" t="s">
        <v>10</v>
      </c>
      <c r="B16" s="53">
        <v>622.75012767314911</v>
      </c>
      <c r="C16" s="54">
        <v>304.81964242761455</v>
      </c>
      <c r="D16" s="53">
        <v>191.50357580184937</v>
      </c>
      <c r="E16" s="54">
        <v>73.488774435856598</v>
      </c>
      <c r="F16" s="53">
        <v>170.92221927642822</v>
      </c>
      <c r="G16" s="54">
        <v>93.089433292413347</v>
      </c>
      <c r="H16" s="53">
        <v>23.756888389587402</v>
      </c>
      <c r="I16" s="54">
        <v>4.6742785127647473</v>
      </c>
      <c r="J16" s="53">
        <v>293.59181499481201</v>
      </c>
      <c r="K16" s="54">
        <v>40.54989512387295</v>
      </c>
      <c r="L16" s="53">
        <v>325.00103235244751</v>
      </c>
      <c r="M16" s="54">
        <v>83.489581831502093</v>
      </c>
      <c r="N16" s="53">
        <v>424.50131797790527</v>
      </c>
      <c r="O16" s="54">
        <v>142.22142122821199</v>
      </c>
      <c r="P16" s="53">
        <v>530.51939296722412</v>
      </c>
      <c r="Q16" s="54">
        <v>220.10062694559937</v>
      </c>
    </row>
    <row r="17" spans="1:17" ht="20.45" customHeight="1" x14ac:dyDescent="0.2">
      <c r="A17" s="30" t="s">
        <v>11</v>
      </c>
      <c r="B17" s="53">
        <v>91.874229431152344</v>
      </c>
      <c r="C17" s="54">
        <v>129.60450138499999</v>
      </c>
      <c r="D17" s="53">
        <v>28.230934619903564</v>
      </c>
      <c r="E17" s="54">
        <v>9.7362066422336699</v>
      </c>
      <c r="F17" s="53">
        <v>0</v>
      </c>
      <c r="G17" s="54"/>
      <c r="H17" s="53">
        <v>7.9837632179260254</v>
      </c>
      <c r="I17" s="54">
        <v>2.5384376048052659E-2</v>
      </c>
      <c r="J17" s="53">
        <v>38.608054161071777</v>
      </c>
      <c r="K17" s="54">
        <v>10.816300879837435</v>
      </c>
      <c r="L17" s="53">
        <v>77.955188274383545</v>
      </c>
      <c r="M17" s="54">
        <v>47.189644900626192</v>
      </c>
      <c r="N17" s="53">
        <v>66.224452972412109</v>
      </c>
      <c r="O17" s="54">
        <v>168.14304101861075</v>
      </c>
      <c r="P17" s="53">
        <v>42.825827598571777</v>
      </c>
      <c r="Q17" s="54">
        <v>188.72411452661709</v>
      </c>
    </row>
    <row r="18" spans="1:17" s="38" customFormat="1" ht="20.45" customHeight="1" x14ac:dyDescent="0.2">
      <c r="A18" s="31" t="s">
        <v>12</v>
      </c>
      <c r="B18" s="25">
        <f>B6+B7</f>
        <v>869099.69350981712</v>
      </c>
      <c r="C18" s="26">
        <f t="shared" ref="C18:Q18" si="0">C6+C7</f>
        <v>122113.54994462532</v>
      </c>
      <c r="D18" s="25">
        <f t="shared" si="0"/>
        <v>296819.72146618366</v>
      </c>
      <c r="E18" s="26">
        <f t="shared" si="0"/>
        <v>23270.791589862936</v>
      </c>
      <c r="F18" s="25">
        <f t="shared" si="0"/>
        <v>85382.76669549942</v>
      </c>
      <c r="G18" s="26">
        <f t="shared" si="0"/>
        <v>8089.5075473856468</v>
      </c>
      <c r="H18" s="25">
        <f t="shared" si="0"/>
        <v>24160.881942987442</v>
      </c>
      <c r="I18" s="26">
        <f t="shared" si="0"/>
        <v>2217.7725300047691</v>
      </c>
      <c r="J18" s="25">
        <f t="shared" si="0"/>
        <v>339994.2643430233</v>
      </c>
      <c r="K18" s="26">
        <f t="shared" si="0"/>
        <v>12368.157931179203</v>
      </c>
      <c r="L18" s="25">
        <f t="shared" si="0"/>
        <v>231785.57499301434</v>
      </c>
      <c r="M18" s="26">
        <f t="shared" si="0"/>
        <v>14916.214807166059</v>
      </c>
      <c r="N18" s="25">
        <f t="shared" si="0"/>
        <v>70170.213124752045</v>
      </c>
      <c r="O18" s="26">
        <f t="shared" si="0"/>
        <v>5017.3444717688726</v>
      </c>
      <c r="P18" s="25">
        <f t="shared" si="0"/>
        <v>96520.614806175232</v>
      </c>
      <c r="Q18" s="26">
        <f t="shared" si="0"/>
        <v>15641.161180357152</v>
      </c>
    </row>
    <row r="20" spans="1:17" ht="12" customHeight="1" x14ac:dyDescent="0.2"/>
  </sheetData>
  <mergeCells count="10">
    <mergeCell ref="P4:Q4"/>
    <mergeCell ref="A1:O1"/>
    <mergeCell ref="A4:A5"/>
    <mergeCell ref="B4:C4"/>
    <mergeCell ref="D4:E4"/>
    <mergeCell ref="F4:G4"/>
    <mergeCell ref="H4:I4"/>
    <mergeCell ref="J4:K4"/>
    <mergeCell ref="L4:M4"/>
    <mergeCell ref="N4:O4"/>
  </mergeCells>
  <conditionalFormatting sqref="B6:B18">
    <cfRule type="cellIs" dxfId="1245" priority="16" stopIfTrue="1" operator="equal">
      <formula>0</formula>
    </cfRule>
  </conditionalFormatting>
  <conditionalFormatting sqref="D6:D18">
    <cfRule type="cellIs" dxfId="1244" priority="15" stopIfTrue="1" operator="equal">
      <formula>0</formula>
    </cfRule>
  </conditionalFormatting>
  <conditionalFormatting sqref="F6:F18">
    <cfRule type="cellIs" dxfId="1243" priority="14" stopIfTrue="1" operator="equal">
      <formula>0</formula>
    </cfRule>
  </conditionalFormatting>
  <conditionalFormatting sqref="H6:H18">
    <cfRule type="cellIs" dxfId="1242" priority="13" stopIfTrue="1" operator="equal">
      <formula>0</formula>
    </cfRule>
  </conditionalFormatting>
  <conditionalFormatting sqref="J6:J18">
    <cfRule type="cellIs" dxfId="1241" priority="12" stopIfTrue="1" operator="equal">
      <formula>0</formula>
    </cfRule>
  </conditionalFormatting>
  <conditionalFormatting sqref="L6:L18">
    <cfRule type="cellIs" dxfId="1240" priority="11" stopIfTrue="1" operator="equal">
      <formula>0</formula>
    </cfRule>
  </conditionalFormatting>
  <conditionalFormatting sqref="N6:N18">
    <cfRule type="cellIs" dxfId="1239" priority="10" stopIfTrue="1" operator="equal">
      <formula>0</formula>
    </cfRule>
  </conditionalFormatting>
  <conditionalFormatting sqref="P6:P18">
    <cfRule type="cellIs" dxfId="1238" priority="9" stopIfTrue="1" operator="equal">
      <formula>0</formula>
    </cfRule>
  </conditionalFormatting>
  <conditionalFormatting sqref="C6:C18">
    <cfRule type="cellIs" dxfId="1237" priority="8" stopIfTrue="1" operator="equal">
      <formula>0</formula>
    </cfRule>
  </conditionalFormatting>
  <conditionalFormatting sqref="E6:E18">
    <cfRule type="cellIs" dxfId="1236" priority="7" stopIfTrue="1" operator="equal">
      <formula>0</formula>
    </cfRule>
  </conditionalFormatting>
  <conditionalFormatting sqref="G6:G18">
    <cfRule type="cellIs" dxfId="1235" priority="6" stopIfTrue="1" operator="equal">
      <formula>0</formula>
    </cfRule>
  </conditionalFormatting>
  <conditionalFormatting sqref="I6:I18">
    <cfRule type="cellIs" dxfId="1234" priority="5" stopIfTrue="1" operator="equal">
      <formula>0</formula>
    </cfRule>
  </conditionalFormatting>
  <conditionalFormatting sqref="K6:K18">
    <cfRule type="cellIs" dxfId="1233" priority="4" stopIfTrue="1" operator="equal">
      <formula>0</formula>
    </cfRule>
  </conditionalFormatting>
  <conditionalFormatting sqref="M6:M18">
    <cfRule type="cellIs" dxfId="1232" priority="3" stopIfTrue="1" operator="equal">
      <formula>0</formula>
    </cfRule>
  </conditionalFormatting>
  <conditionalFormatting sqref="O6:O18">
    <cfRule type="cellIs" dxfId="1231" priority="2" stopIfTrue="1" operator="equal">
      <formula>0</formula>
    </cfRule>
  </conditionalFormatting>
  <conditionalFormatting sqref="Q6:Q18">
    <cfRule type="cellIs" dxfId="123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D857-EF4E-4119-AC1E-222148731FB5}">
  <dimension ref="A1:Q20"/>
  <sheetViews>
    <sheetView zoomScale="116" zoomScaleNormal="100" workbookViewId="0">
      <selection activeCell="C19" sqref="C19"/>
    </sheetView>
  </sheetViews>
  <sheetFormatPr defaultColWidth="8.85546875" defaultRowHeight="12.75" x14ac:dyDescent="0.2"/>
  <cols>
    <col min="1" max="1" width="21.42578125" style="27" customWidth="1"/>
    <col min="2" max="2" width="9" style="27" bestFit="1" customWidth="1"/>
    <col min="3" max="3" width="9.140625" style="27" bestFit="1" customWidth="1"/>
    <col min="4" max="4" width="9.42578125" style="27" customWidth="1"/>
    <col min="5" max="5" width="8.42578125" style="27" customWidth="1"/>
    <col min="6" max="6" width="8.5703125" style="27" customWidth="1"/>
    <col min="7" max="7" width="9" style="27" customWidth="1"/>
    <col min="8" max="8" width="8.42578125" style="27" customWidth="1"/>
    <col min="9" max="9" width="8.140625" style="27" customWidth="1"/>
    <col min="10" max="11" width="8" style="27" customWidth="1"/>
    <col min="12" max="12" width="9" style="27" bestFit="1" customWidth="1"/>
    <col min="13" max="13" width="9.140625" style="27" bestFit="1" customWidth="1"/>
    <col min="14" max="14" width="8.5703125" style="27" customWidth="1"/>
    <col min="15" max="15" width="8" style="27" customWidth="1"/>
    <col min="16" max="16" width="9" style="27" customWidth="1"/>
    <col min="17" max="17" width="8" style="27" customWidth="1"/>
    <col min="18" max="16384" width="8.85546875" style="27"/>
  </cols>
  <sheetData>
    <row r="1" spans="1:17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 t="s">
        <v>32</v>
      </c>
    </row>
    <row r="3" spans="1:17" x14ac:dyDescent="0.2">
      <c r="A3" s="27" t="s">
        <v>586</v>
      </c>
    </row>
    <row r="4" spans="1:17" s="39" customFormat="1" ht="23.25" customHeight="1" x14ac:dyDescent="0.2">
      <c r="A4" s="123" t="s">
        <v>30</v>
      </c>
      <c r="B4" s="122" t="s">
        <v>116</v>
      </c>
      <c r="C4" s="122"/>
      <c r="D4" s="122" t="s">
        <v>117</v>
      </c>
      <c r="E4" s="122"/>
      <c r="F4" s="120" t="s">
        <v>118</v>
      </c>
      <c r="G4" s="120"/>
      <c r="H4" s="120" t="s">
        <v>119</v>
      </c>
      <c r="I4" s="120"/>
      <c r="J4" s="120" t="s">
        <v>120</v>
      </c>
      <c r="K4" s="120"/>
      <c r="L4" s="120" t="s">
        <v>121</v>
      </c>
      <c r="M4" s="120"/>
      <c r="N4" s="120" t="s">
        <v>525</v>
      </c>
      <c r="O4" s="120"/>
      <c r="P4" s="120" t="s">
        <v>122</v>
      </c>
      <c r="Q4" s="120"/>
    </row>
    <row r="5" spans="1:17" s="39" customFormat="1" ht="33.75" customHeight="1" x14ac:dyDescent="0.2">
      <c r="A5" s="123"/>
      <c r="B5" s="34" t="s">
        <v>41</v>
      </c>
      <c r="C5" s="34" t="s">
        <v>21</v>
      </c>
      <c r="D5" s="34" t="s">
        <v>41</v>
      </c>
      <c r="E5" s="34" t="s">
        <v>21</v>
      </c>
      <c r="F5" s="34" t="s">
        <v>41</v>
      </c>
      <c r="G5" s="34" t="s">
        <v>21</v>
      </c>
      <c r="H5" s="34" t="s">
        <v>41</v>
      </c>
      <c r="I5" s="34" t="s">
        <v>21</v>
      </c>
      <c r="J5" s="34" t="s">
        <v>41</v>
      </c>
      <c r="K5" s="34" t="s">
        <v>21</v>
      </c>
      <c r="L5" s="34" t="s">
        <v>41</v>
      </c>
      <c r="M5" s="34" t="s">
        <v>21</v>
      </c>
      <c r="N5" s="34" t="s">
        <v>41</v>
      </c>
      <c r="O5" s="34" t="s">
        <v>21</v>
      </c>
      <c r="P5" s="34" t="s">
        <v>41</v>
      </c>
      <c r="Q5" s="34" t="s">
        <v>21</v>
      </c>
    </row>
    <row r="6" spans="1:17" s="38" customFormat="1" ht="20.45" customHeight="1" x14ac:dyDescent="0.2">
      <c r="A6" s="69" t="s">
        <v>0</v>
      </c>
      <c r="B6" s="49">
        <v>303.53858470916748</v>
      </c>
      <c r="C6" s="50">
        <v>1.7386393978527774</v>
      </c>
      <c r="D6" s="49">
        <v>50.302700996398926</v>
      </c>
      <c r="E6" s="50">
        <v>0.42399903703389974</v>
      </c>
      <c r="F6" s="49">
        <v>1070.4402995109558</v>
      </c>
      <c r="G6" s="50">
        <v>4.4826230751203546</v>
      </c>
      <c r="H6" s="49">
        <v>176.99180221557617</v>
      </c>
      <c r="I6" s="50">
        <v>1.1057561351620235</v>
      </c>
      <c r="J6" s="49">
        <v>29.83177375793457</v>
      </c>
      <c r="K6" s="50">
        <v>0.26711136371760169</v>
      </c>
      <c r="L6" s="49">
        <v>6651.1529722213745</v>
      </c>
      <c r="M6" s="50">
        <v>23.019452839004096</v>
      </c>
      <c r="N6" s="49">
        <v>8158.7644572257996</v>
      </c>
      <c r="O6" s="50">
        <v>30.459202609776227</v>
      </c>
      <c r="P6" s="49">
        <v>120.5463695526123</v>
      </c>
      <c r="Q6" s="50">
        <v>0.47115604347561346</v>
      </c>
    </row>
    <row r="7" spans="1:17" s="38" customFormat="1" ht="20.45" customHeight="1" x14ac:dyDescent="0.2">
      <c r="A7" s="29" t="s">
        <v>1</v>
      </c>
      <c r="B7" s="51">
        <v>528913.41856527328</v>
      </c>
      <c r="C7" s="52">
        <v>75471.845418042692</v>
      </c>
      <c r="D7" s="51">
        <v>106457.1070227623</v>
      </c>
      <c r="E7" s="52">
        <v>7486.6911768122736</v>
      </c>
      <c r="F7" s="51">
        <v>374642.04018855095</v>
      </c>
      <c r="G7" s="52">
        <v>15993.722975403813</v>
      </c>
      <c r="H7" s="51">
        <v>56635.188368320465</v>
      </c>
      <c r="I7" s="52">
        <v>10295.75352950534</v>
      </c>
      <c r="J7" s="51">
        <v>67320.796979546547</v>
      </c>
      <c r="K7" s="52">
        <v>5634.5778715668675</v>
      </c>
      <c r="L7" s="51">
        <v>511568.03207194805</v>
      </c>
      <c r="M7" s="52">
        <v>12588.913443107895</v>
      </c>
      <c r="N7" s="51">
        <v>613987.54234921932</v>
      </c>
      <c r="O7" s="52">
        <v>17973.552305937905</v>
      </c>
      <c r="P7" s="51">
        <v>90777.188499093056</v>
      </c>
      <c r="Q7" s="52">
        <v>6394.8720161426609</v>
      </c>
    </row>
    <row r="8" spans="1:17" ht="20.45" customHeight="1" x14ac:dyDescent="0.2">
      <c r="A8" s="30" t="s">
        <v>2</v>
      </c>
      <c r="B8" s="53">
        <v>17967.191626548767</v>
      </c>
      <c r="C8" s="54">
        <v>426.10527365735442</v>
      </c>
      <c r="D8" s="53">
        <v>3195.1946592330933</v>
      </c>
      <c r="E8" s="54">
        <v>49.421291219781438</v>
      </c>
      <c r="F8" s="53">
        <v>20798.49024283886</v>
      </c>
      <c r="G8" s="54">
        <v>187.22752046531454</v>
      </c>
      <c r="H8" s="53">
        <v>2234.8706364631653</v>
      </c>
      <c r="I8" s="54">
        <v>91.314940664615037</v>
      </c>
      <c r="J8" s="53">
        <v>1652.2967982292175</v>
      </c>
      <c r="K8" s="54">
        <v>27.713373127539686</v>
      </c>
      <c r="L8" s="53">
        <v>56098.882928848267</v>
      </c>
      <c r="M8" s="54">
        <v>392.7660246942508</v>
      </c>
      <c r="N8" s="53">
        <v>57102.921010255814</v>
      </c>
      <c r="O8" s="54">
        <v>420.51940245232197</v>
      </c>
      <c r="P8" s="53">
        <v>4262.4773967266083</v>
      </c>
      <c r="Q8" s="54">
        <v>60.896116599763388</v>
      </c>
    </row>
    <row r="9" spans="1:17" ht="20.45" customHeight="1" x14ac:dyDescent="0.2">
      <c r="A9" s="30" t="s">
        <v>3</v>
      </c>
      <c r="B9" s="53">
        <v>56010.93280673027</v>
      </c>
      <c r="C9" s="54">
        <v>2544.2018242574004</v>
      </c>
      <c r="D9" s="53">
        <v>11953.176097869873</v>
      </c>
      <c r="E9" s="54">
        <v>335.30134320812147</v>
      </c>
      <c r="F9" s="53">
        <v>50114.101519107819</v>
      </c>
      <c r="G9" s="54">
        <v>863.68491753513376</v>
      </c>
      <c r="H9" s="53">
        <v>5257.7670736312866</v>
      </c>
      <c r="I9" s="54">
        <v>428.22196735854874</v>
      </c>
      <c r="J9" s="53">
        <v>6938.2441239356995</v>
      </c>
      <c r="K9" s="54">
        <v>199.31917302061484</v>
      </c>
      <c r="L9" s="53">
        <v>77051.794902563095</v>
      </c>
      <c r="M9" s="54">
        <v>1026.2948630512637</v>
      </c>
      <c r="N9" s="53">
        <v>96364.138574242592</v>
      </c>
      <c r="O9" s="54">
        <v>1515.9533832533309</v>
      </c>
      <c r="P9" s="53">
        <v>8988.2966070175171</v>
      </c>
      <c r="Q9" s="54">
        <v>247.95762539078913</v>
      </c>
    </row>
    <row r="10" spans="1:17" ht="20.45" customHeight="1" x14ac:dyDescent="0.2">
      <c r="A10" s="30" t="s">
        <v>4</v>
      </c>
      <c r="B10" s="53">
        <v>178246.86358118057</v>
      </c>
      <c r="C10" s="54">
        <v>14986.542567349801</v>
      </c>
      <c r="D10" s="53">
        <v>37801.23881149292</v>
      </c>
      <c r="E10" s="54">
        <v>1661.2943271434335</v>
      </c>
      <c r="F10" s="53">
        <v>136500.14479899406</v>
      </c>
      <c r="G10" s="54">
        <v>4170.7051440730947</v>
      </c>
      <c r="H10" s="53">
        <v>16070.5787525177</v>
      </c>
      <c r="I10" s="54">
        <v>2184.4464457427343</v>
      </c>
      <c r="J10" s="53">
        <v>24883.679242610931</v>
      </c>
      <c r="K10" s="54">
        <v>1367.4545129227829</v>
      </c>
      <c r="L10" s="53">
        <v>183669.71826326847</v>
      </c>
      <c r="M10" s="54">
        <v>3765.0269992595795</v>
      </c>
      <c r="N10" s="53">
        <v>228464.0524456501</v>
      </c>
      <c r="O10" s="54">
        <v>5932.3150339821032</v>
      </c>
      <c r="P10" s="53">
        <v>31985.090450882912</v>
      </c>
      <c r="Q10" s="54">
        <v>1500.2368981380989</v>
      </c>
    </row>
    <row r="11" spans="1:17" ht="20.45" customHeight="1" x14ac:dyDescent="0.2">
      <c r="A11" s="30" t="s">
        <v>5</v>
      </c>
      <c r="B11" s="53">
        <v>162709.57472217083</v>
      </c>
      <c r="C11" s="54">
        <v>24338.5199901698</v>
      </c>
      <c r="D11" s="53">
        <v>32505.351905345917</v>
      </c>
      <c r="E11" s="54">
        <v>2486.3362694316415</v>
      </c>
      <c r="F11" s="53">
        <v>101734.82825696468</v>
      </c>
      <c r="G11" s="54">
        <v>5205.6265952741742</v>
      </c>
      <c r="H11" s="53">
        <v>17440.693635702133</v>
      </c>
      <c r="I11" s="54">
        <v>3161.2319205826966</v>
      </c>
      <c r="J11" s="53">
        <v>21399.787661194801</v>
      </c>
      <c r="K11" s="54">
        <v>2013.0227257099796</v>
      </c>
      <c r="L11" s="53">
        <v>125779.4088537693</v>
      </c>
      <c r="M11" s="54">
        <v>4087.4598637851213</v>
      </c>
      <c r="N11" s="53">
        <v>148250.32395553589</v>
      </c>
      <c r="O11" s="54">
        <v>5771.2438843513301</v>
      </c>
      <c r="P11" s="53">
        <v>27347.754986524582</v>
      </c>
      <c r="Q11" s="54">
        <v>2275.3645163240853</v>
      </c>
    </row>
    <row r="12" spans="1:17" ht="20.45" customHeight="1" x14ac:dyDescent="0.2">
      <c r="A12" s="30" t="s">
        <v>6</v>
      </c>
      <c r="B12" s="53">
        <v>86021.562343835831</v>
      </c>
      <c r="C12" s="54">
        <v>20716.751569812477</v>
      </c>
      <c r="D12" s="53">
        <v>15667.125479698181</v>
      </c>
      <c r="E12" s="54">
        <v>1863.6161380508174</v>
      </c>
      <c r="F12" s="53">
        <v>49994.147582054138</v>
      </c>
      <c r="G12" s="54">
        <v>3641.1757666201725</v>
      </c>
      <c r="H12" s="53">
        <v>10813.466794967651</v>
      </c>
      <c r="I12" s="54">
        <v>2730.2539178937336</v>
      </c>
      <c r="J12" s="53">
        <v>9758.0173306465149</v>
      </c>
      <c r="K12" s="54">
        <v>1387.8786146691918</v>
      </c>
      <c r="L12" s="53">
        <v>56568.359493017197</v>
      </c>
      <c r="M12" s="54">
        <v>2521.7230013025865</v>
      </c>
      <c r="N12" s="53">
        <v>67431.085495829582</v>
      </c>
      <c r="O12" s="54">
        <v>3329.4502024733192</v>
      </c>
      <c r="P12" s="53">
        <v>14379.07503080368</v>
      </c>
      <c r="Q12" s="54">
        <v>1643.0991617774948</v>
      </c>
    </row>
    <row r="13" spans="1:17" ht="20.45" customHeight="1" x14ac:dyDescent="0.2">
      <c r="A13" s="30" t="s">
        <v>7</v>
      </c>
      <c r="B13" s="53">
        <v>18655.031388759613</v>
      </c>
      <c r="C13" s="54">
        <v>7046.6511502447911</v>
      </c>
      <c r="D13" s="53">
        <v>3614.8280034065247</v>
      </c>
      <c r="E13" s="54">
        <v>652.23202994647465</v>
      </c>
      <c r="F13" s="53">
        <v>10364.730647325516</v>
      </c>
      <c r="G13" s="54">
        <v>1091.7661318517225</v>
      </c>
      <c r="H13" s="53">
        <v>3053.2265295982361</v>
      </c>
      <c r="I13" s="54">
        <v>1024.8410333993477</v>
      </c>
      <c r="J13" s="53">
        <v>1793.2137351036072</v>
      </c>
      <c r="K13" s="54">
        <v>387.67565847419468</v>
      </c>
      <c r="L13" s="53">
        <v>8857.6942367553711</v>
      </c>
      <c r="M13" s="54">
        <v>488.50403744661998</v>
      </c>
      <c r="N13" s="53">
        <v>11484.238505363464</v>
      </c>
      <c r="O13" s="54">
        <v>675.62936570166403</v>
      </c>
      <c r="P13" s="53">
        <v>2846.9862871170044</v>
      </c>
      <c r="Q13" s="54">
        <v>466.95249956038487</v>
      </c>
    </row>
    <row r="14" spans="1:17" ht="20.45" customHeight="1" x14ac:dyDescent="0.2">
      <c r="A14" s="30" t="s">
        <v>8</v>
      </c>
      <c r="B14" s="53">
        <v>5571.7933312654495</v>
      </c>
      <c r="C14" s="54">
        <v>2858.3017644710849</v>
      </c>
      <c r="D14" s="53">
        <v>1048.7223100662231</v>
      </c>
      <c r="E14" s="54">
        <v>257.27392799767262</v>
      </c>
      <c r="F14" s="53">
        <v>3020.6319978237152</v>
      </c>
      <c r="G14" s="54">
        <v>415.44445108191252</v>
      </c>
      <c r="H14" s="53">
        <v>1115.1237757205963</v>
      </c>
      <c r="I14" s="54">
        <v>357.10746552114148</v>
      </c>
      <c r="J14" s="53">
        <v>613.16790342330933</v>
      </c>
      <c r="K14" s="54">
        <v>175.44152387086885</v>
      </c>
      <c r="L14" s="53">
        <v>2215.0907278060913</v>
      </c>
      <c r="M14" s="54">
        <v>199.43363135750545</v>
      </c>
      <c r="N14" s="53">
        <v>3235.9103606939316</v>
      </c>
      <c r="O14" s="54">
        <v>201.76378787622122</v>
      </c>
      <c r="P14" s="53">
        <v>618.64325284957886</v>
      </c>
      <c r="Q14" s="54">
        <v>97.991245199804794</v>
      </c>
    </row>
    <row r="15" spans="1:17" ht="20.45" customHeight="1" x14ac:dyDescent="0.2">
      <c r="A15" s="30" t="s">
        <v>9</v>
      </c>
      <c r="B15" s="53">
        <v>1706.5778925418854</v>
      </c>
      <c r="C15" s="54">
        <v>868.59579213340453</v>
      </c>
      <c r="D15" s="53">
        <v>327.50081872940063</v>
      </c>
      <c r="E15" s="54">
        <v>97.677711608054807</v>
      </c>
      <c r="F15" s="53">
        <v>960.82913970947266</v>
      </c>
      <c r="G15" s="54">
        <v>151.835820624045</v>
      </c>
      <c r="H15" s="53">
        <v>297.69746112823486</v>
      </c>
      <c r="I15" s="54">
        <v>119.15407525242632</v>
      </c>
      <c r="J15" s="53">
        <v>158.05824708938599</v>
      </c>
      <c r="K15" s="54">
        <v>40.777327295633839</v>
      </c>
      <c r="L15" s="53">
        <v>793.29068994522095</v>
      </c>
      <c r="M15" s="54">
        <v>46.17350430898388</v>
      </c>
      <c r="N15" s="53">
        <v>903.36049377918243</v>
      </c>
      <c r="O15" s="54">
        <v>64.818413876658795</v>
      </c>
      <c r="P15" s="53">
        <v>185.46542119979858</v>
      </c>
      <c r="Q15" s="54">
        <v>50.914356252623463</v>
      </c>
    </row>
    <row r="16" spans="1:17" ht="20.45" customHeight="1" x14ac:dyDescent="0.2">
      <c r="A16" s="30" t="s">
        <v>10</v>
      </c>
      <c r="B16" s="53">
        <v>1804.1463530063629</v>
      </c>
      <c r="C16" s="54">
        <v>1411.2170838231405</v>
      </c>
      <c r="D16" s="53">
        <v>326.16172695159912</v>
      </c>
      <c r="E16" s="54">
        <v>64.110136071809777</v>
      </c>
      <c r="F16" s="53">
        <v>1094.5249989032745</v>
      </c>
      <c r="G16" s="54">
        <v>241.75503703184103</v>
      </c>
      <c r="H16" s="53">
        <v>314.23926401138306</v>
      </c>
      <c r="I16" s="54">
        <v>167.14723673988181</v>
      </c>
      <c r="J16" s="53">
        <v>92.748891830444336</v>
      </c>
      <c r="K16" s="54">
        <v>18.493664265285737</v>
      </c>
      <c r="L16" s="53">
        <v>505.51836109161377</v>
      </c>
      <c r="M16" s="54">
        <v>42.312473199488871</v>
      </c>
      <c r="N16" s="53">
        <v>671.29367816448212</v>
      </c>
      <c r="O16" s="54">
        <v>58.992103927999381</v>
      </c>
      <c r="P16" s="53">
        <v>137.15659379959106</v>
      </c>
      <c r="Q16" s="54">
        <v>39.751192446498607</v>
      </c>
    </row>
    <row r="17" spans="1:17" ht="20.45" customHeight="1" x14ac:dyDescent="0.2">
      <c r="A17" s="30" t="s">
        <v>11</v>
      </c>
      <c r="B17" s="53">
        <v>219.74451923370361</v>
      </c>
      <c r="C17" s="54">
        <v>274.95840212307752</v>
      </c>
      <c r="D17" s="53">
        <v>17.807209968566895</v>
      </c>
      <c r="E17" s="54">
        <v>19.428002134477197</v>
      </c>
      <c r="F17" s="53">
        <v>59.611004829406738</v>
      </c>
      <c r="G17" s="54">
        <v>24.501590846520994</v>
      </c>
      <c r="H17" s="53">
        <v>37.524444580078125</v>
      </c>
      <c r="I17" s="54">
        <v>32.034526350218485</v>
      </c>
      <c r="J17" s="53">
        <v>31.583045482635498</v>
      </c>
      <c r="K17" s="54">
        <v>16.801298210763647</v>
      </c>
      <c r="L17" s="53">
        <v>28.273614883422852</v>
      </c>
      <c r="M17" s="54">
        <v>19.219044702441174</v>
      </c>
      <c r="N17" s="53">
        <v>80.217829704284668</v>
      </c>
      <c r="O17" s="54">
        <v>2.8667280428212019</v>
      </c>
      <c r="P17" s="53">
        <v>26.242472171783447</v>
      </c>
      <c r="Q17" s="54">
        <v>11.708404453130228</v>
      </c>
    </row>
    <row r="18" spans="1:17" s="38" customFormat="1" ht="20.45" customHeight="1" x14ac:dyDescent="0.2">
      <c r="A18" s="31" t="s">
        <v>12</v>
      </c>
      <c r="B18" s="25">
        <f>B6+B7</f>
        <v>529216.95714998245</v>
      </c>
      <c r="C18" s="26">
        <f t="shared" ref="C18:Q18" si="0">C6+C7</f>
        <v>75473.584057440545</v>
      </c>
      <c r="D18" s="25">
        <f t="shared" si="0"/>
        <v>106507.4097237587</v>
      </c>
      <c r="E18" s="26">
        <f t="shared" si="0"/>
        <v>7487.1151758493079</v>
      </c>
      <c r="F18" s="25">
        <f t="shared" si="0"/>
        <v>375712.4804880619</v>
      </c>
      <c r="G18" s="26">
        <f t="shared" si="0"/>
        <v>15998.205598478933</v>
      </c>
      <c r="H18" s="25">
        <f t="shared" si="0"/>
        <v>56812.180170536041</v>
      </c>
      <c r="I18" s="26">
        <f t="shared" si="0"/>
        <v>10296.859285640503</v>
      </c>
      <c r="J18" s="25">
        <f t="shared" si="0"/>
        <v>67350.628753304482</v>
      </c>
      <c r="K18" s="26">
        <f t="shared" si="0"/>
        <v>5634.8449829305855</v>
      </c>
      <c r="L18" s="25">
        <f t="shared" si="0"/>
        <v>518219.18504416943</v>
      </c>
      <c r="M18" s="26">
        <f t="shared" si="0"/>
        <v>12611.932895946898</v>
      </c>
      <c r="N18" s="25">
        <f t="shared" si="0"/>
        <v>622146.30680644512</v>
      </c>
      <c r="O18" s="26">
        <f t="shared" si="0"/>
        <v>18004.011508547683</v>
      </c>
      <c r="P18" s="25">
        <f t="shared" si="0"/>
        <v>90897.734868645668</v>
      </c>
      <c r="Q18" s="26">
        <f t="shared" si="0"/>
        <v>6395.3431721861361</v>
      </c>
    </row>
    <row r="20" spans="1:17" ht="12" customHeight="1" x14ac:dyDescent="0.2"/>
  </sheetData>
  <mergeCells count="10">
    <mergeCell ref="A1:Q1"/>
    <mergeCell ref="A4:A5"/>
    <mergeCell ref="B4:C4"/>
    <mergeCell ref="D4:E4"/>
    <mergeCell ref="F4:G4"/>
    <mergeCell ref="H4:I4"/>
    <mergeCell ref="J4:K4"/>
    <mergeCell ref="L4:M4"/>
    <mergeCell ref="P4:Q4"/>
    <mergeCell ref="N4:O4"/>
  </mergeCells>
  <conditionalFormatting sqref="B6:B18">
    <cfRule type="cellIs" dxfId="1229" priority="16" stopIfTrue="1" operator="equal">
      <formula>0</formula>
    </cfRule>
  </conditionalFormatting>
  <conditionalFormatting sqref="D6:D18">
    <cfRule type="cellIs" dxfId="1228" priority="15" stopIfTrue="1" operator="equal">
      <formula>0</formula>
    </cfRule>
  </conditionalFormatting>
  <conditionalFormatting sqref="F6:F18">
    <cfRule type="cellIs" dxfId="1227" priority="14" stopIfTrue="1" operator="equal">
      <formula>0</formula>
    </cfRule>
  </conditionalFormatting>
  <conditionalFormatting sqref="H6:H18">
    <cfRule type="cellIs" dxfId="1226" priority="13" stopIfTrue="1" operator="equal">
      <formula>0</formula>
    </cfRule>
  </conditionalFormatting>
  <conditionalFormatting sqref="J6:J18">
    <cfRule type="cellIs" dxfId="1225" priority="12" stopIfTrue="1" operator="equal">
      <formula>0</formula>
    </cfRule>
  </conditionalFormatting>
  <conditionalFormatting sqref="L6:L18">
    <cfRule type="cellIs" dxfId="1224" priority="11" stopIfTrue="1" operator="equal">
      <formula>0</formula>
    </cfRule>
  </conditionalFormatting>
  <conditionalFormatting sqref="N6:N18">
    <cfRule type="cellIs" dxfId="1223" priority="10" stopIfTrue="1" operator="equal">
      <formula>0</formula>
    </cfRule>
  </conditionalFormatting>
  <conditionalFormatting sqref="P6:P18">
    <cfRule type="cellIs" dxfId="1222" priority="9" stopIfTrue="1" operator="equal">
      <formula>0</formula>
    </cfRule>
  </conditionalFormatting>
  <conditionalFormatting sqref="C6:C18">
    <cfRule type="cellIs" dxfId="1221" priority="8" stopIfTrue="1" operator="equal">
      <formula>0</formula>
    </cfRule>
  </conditionalFormatting>
  <conditionalFormatting sqref="E6:E18">
    <cfRule type="cellIs" dxfId="1220" priority="7" stopIfTrue="1" operator="equal">
      <formula>0</formula>
    </cfRule>
  </conditionalFormatting>
  <conditionalFormatting sqref="G6:G18">
    <cfRule type="cellIs" dxfId="1219" priority="6" stopIfTrue="1" operator="equal">
      <formula>0</formula>
    </cfRule>
  </conditionalFormatting>
  <conditionalFormatting sqref="I6:I18">
    <cfRule type="cellIs" dxfId="1218" priority="5" stopIfTrue="1" operator="equal">
      <formula>0</formula>
    </cfRule>
  </conditionalFormatting>
  <conditionalFormatting sqref="K6:K18">
    <cfRule type="cellIs" dxfId="1217" priority="4" stopIfTrue="1" operator="equal">
      <formula>0</formula>
    </cfRule>
  </conditionalFormatting>
  <conditionalFormatting sqref="M6:M18">
    <cfRule type="cellIs" dxfId="1216" priority="3" stopIfTrue="1" operator="equal">
      <formula>0</formula>
    </cfRule>
  </conditionalFormatting>
  <conditionalFormatting sqref="O6:O18">
    <cfRule type="cellIs" dxfId="1215" priority="2" stopIfTrue="1" operator="equal">
      <formula>0</formula>
    </cfRule>
  </conditionalFormatting>
  <conditionalFormatting sqref="Q6:Q18">
    <cfRule type="cellIs" dxfId="121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6BCB-C962-4B63-ADC6-0C6507A10ADD}">
  <dimension ref="A1:Q20"/>
  <sheetViews>
    <sheetView zoomScale="94" zoomScaleNormal="100" workbookViewId="0">
      <selection activeCell="C19" sqref="C19"/>
    </sheetView>
  </sheetViews>
  <sheetFormatPr defaultColWidth="8.85546875" defaultRowHeight="12.75" x14ac:dyDescent="0.2"/>
  <cols>
    <col min="1" max="1" width="21.42578125" style="45" customWidth="1"/>
    <col min="2" max="2" width="10.42578125" style="45" customWidth="1"/>
    <col min="3" max="5" width="9.140625" style="45" customWidth="1"/>
    <col min="6" max="7" width="8.140625" style="45" customWidth="1"/>
    <col min="8" max="8" width="8" style="45" customWidth="1"/>
    <col min="9" max="9" width="8.140625" style="45" customWidth="1"/>
    <col min="10" max="10" width="8.42578125" style="45" customWidth="1"/>
    <col min="11" max="11" width="7.5703125" style="45" customWidth="1"/>
    <col min="12" max="12" width="9.140625" style="45" customWidth="1"/>
    <col min="13" max="13" width="7.140625" style="45" customWidth="1"/>
    <col min="14" max="14" width="10.5703125" style="45" customWidth="1"/>
    <col min="15" max="15" width="10.140625" style="45" customWidth="1"/>
    <col min="16" max="16" width="8" style="45" customWidth="1"/>
    <col min="17" max="17" width="7.5703125" style="45" customWidth="1"/>
    <col min="18" max="16384" width="8.85546875" style="45"/>
  </cols>
  <sheetData>
    <row r="1" spans="1:17" x14ac:dyDescent="0.2">
      <c r="A1" s="150" t="s">
        <v>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</row>
    <row r="2" spans="1:17" x14ac:dyDescent="0.2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 t="s">
        <v>32</v>
      </c>
    </row>
    <row r="3" spans="1:17" x14ac:dyDescent="0.2">
      <c r="A3" s="45" t="s">
        <v>587</v>
      </c>
    </row>
    <row r="4" spans="1:17" s="39" customFormat="1" ht="28.5" customHeight="1" x14ac:dyDescent="0.2">
      <c r="A4" s="123" t="s">
        <v>30</v>
      </c>
      <c r="B4" s="122" t="s">
        <v>123</v>
      </c>
      <c r="C4" s="122"/>
      <c r="D4" s="122" t="s">
        <v>124</v>
      </c>
      <c r="E4" s="122"/>
      <c r="F4" s="120" t="s">
        <v>125</v>
      </c>
      <c r="G4" s="120"/>
      <c r="H4" s="120" t="s">
        <v>126</v>
      </c>
      <c r="I4" s="120"/>
      <c r="J4" s="120" t="s">
        <v>602</v>
      </c>
      <c r="K4" s="120"/>
      <c r="L4" s="120" t="s">
        <v>127</v>
      </c>
      <c r="M4" s="120"/>
      <c r="N4" s="120" t="s">
        <v>128</v>
      </c>
      <c r="O4" s="120"/>
      <c r="P4" s="120" t="s">
        <v>129</v>
      </c>
      <c r="Q4" s="120"/>
    </row>
    <row r="5" spans="1:17" s="39" customFormat="1" ht="34.5" customHeight="1" x14ac:dyDescent="0.2">
      <c r="A5" s="123"/>
      <c r="B5" s="34" t="s">
        <v>41</v>
      </c>
      <c r="C5" s="34" t="s">
        <v>21</v>
      </c>
      <c r="D5" s="34" t="s">
        <v>41</v>
      </c>
      <c r="E5" s="34" t="s">
        <v>21</v>
      </c>
      <c r="F5" s="34" t="s">
        <v>41</v>
      </c>
      <c r="G5" s="34" t="s">
        <v>21</v>
      </c>
      <c r="H5" s="34" t="s">
        <v>41</v>
      </c>
      <c r="I5" s="34" t="s">
        <v>21</v>
      </c>
      <c r="J5" s="34" t="s">
        <v>41</v>
      </c>
      <c r="K5" s="34" t="s">
        <v>21</v>
      </c>
      <c r="L5" s="34" t="s">
        <v>41</v>
      </c>
      <c r="M5" s="34" t="s">
        <v>21</v>
      </c>
      <c r="N5" s="34" t="s">
        <v>41</v>
      </c>
      <c r="O5" s="34" t="s">
        <v>21</v>
      </c>
      <c r="P5" s="34" t="s">
        <v>41</v>
      </c>
      <c r="Q5" s="34" t="s">
        <v>21</v>
      </c>
    </row>
    <row r="6" spans="1:17" s="47" customFormat="1" ht="20.45" customHeight="1" x14ac:dyDescent="0.2">
      <c r="A6" s="69" t="s">
        <v>0</v>
      </c>
      <c r="B6" s="49">
        <v>7021.56569480896</v>
      </c>
      <c r="C6" s="50">
        <v>49.215680538186824</v>
      </c>
      <c r="D6" s="49">
        <v>2128.1216285228729</v>
      </c>
      <c r="E6" s="50">
        <v>16.987591394637974</v>
      </c>
      <c r="F6" s="49">
        <v>32.888812065124512</v>
      </c>
      <c r="G6" s="50">
        <v>8.3092240899189651E-2</v>
      </c>
      <c r="H6" s="49">
        <v>1726.7878785133362</v>
      </c>
      <c r="I6" s="50">
        <v>5.326557425091111</v>
      </c>
      <c r="J6" s="49">
        <v>198.58896398544312</v>
      </c>
      <c r="K6" s="50">
        <v>0.66282594058492306</v>
      </c>
      <c r="L6" s="49">
        <v>35.418465614318848</v>
      </c>
      <c r="M6" s="50">
        <v>0.29110149187598955</v>
      </c>
      <c r="N6" s="49">
        <v>901.37075996398926</v>
      </c>
      <c r="O6" s="50">
        <v>7.0219948440646789</v>
      </c>
      <c r="P6" s="49">
        <v>11.28402042388916</v>
      </c>
      <c r="Q6" s="56">
        <v>3.8747747951650924E-2</v>
      </c>
    </row>
    <row r="7" spans="1:17" s="47" customFormat="1" ht="20.45" customHeight="1" x14ac:dyDescent="0.2">
      <c r="A7" s="29" t="s">
        <v>1</v>
      </c>
      <c r="B7" s="51">
        <v>1329594.5441524982</v>
      </c>
      <c r="C7" s="52">
        <v>60984.164562118123</v>
      </c>
      <c r="D7" s="51">
        <v>481516.56123924255</v>
      </c>
      <c r="E7" s="52">
        <v>37680.961687049305</v>
      </c>
      <c r="F7" s="51">
        <v>34110.643068194389</v>
      </c>
      <c r="G7" s="52">
        <v>819.0664937443704</v>
      </c>
      <c r="H7" s="51">
        <v>258988.87464034557</v>
      </c>
      <c r="I7" s="52">
        <v>3941.550978825609</v>
      </c>
      <c r="J7" s="51">
        <v>59782.91260933876</v>
      </c>
      <c r="K7" s="52">
        <v>632.33085881388342</v>
      </c>
      <c r="L7" s="51">
        <v>10345.511401414871</v>
      </c>
      <c r="M7" s="52">
        <v>607.17909214584563</v>
      </c>
      <c r="N7" s="51">
        <v>1132587.8973921537</v>
      </c>
      <c r="O7" s="52">
        <v>162495.21288113069</v>
      </c>
      <c r="P7" s="51">
        <v>37793.292017579079</v>
      </c>
      <c r="Q7" s="52">
        <v>3254.1202382282727</v>
      </c>
    </row>
    <row r="8" spans="1:17" ht="20.45" customHeight="1" x14ac:dyDescent="0.2">
      <c r="A8" s="30" t="s">
        <v>2</v>
      </c>
      <c r="B8" s="53">
        <v>128490.15792250633</v>
      </c>
      <c r="C8" s="54">
        <v>2063.3339576423323</v>
      </c>
      <c r="D8" s="53">
        <v>36311.215182423592</v>
      </c>
      <c r="E8" s="54">
        <v>733.09873483189779</v>
      </c>
      <c r="F8" s="53">
        <v>1273.6850738525391</v>
      </c>
      <c r="G8" s="54">
        <v>10.562147857750551</v>
      </c>
      <c r="H8" s="53">
        <v>16120.684175014496</v>
      </c>
      <c r="I8" s="54">
        <v>89.318198722228757</v>
      </c>
      <c r="J8" s="53">
        <v>3824.1499147415161</v>
      </c>
      <c r="K8" s="54">
        <v>16.48859879337784</v>
      </c>
      <c r="L8" s="53">
        <v>769.76776027679443</v>
      </c>
      <c r="M8" s="54">
        <v>8.9879164723141827</v>
      </c>
      <c r="N8" s="53">
        <v>51393.832615375519</v>
      </c>
      <c r="O8" s="54">
        <v>1454.1411065667382</v>
      </c>
      <c r="P8" s="53">
        <v>902.91984128952026</v>
      </c>
      <c r="Q8" s="54">
        <v>15.234554288952674</v>
      </c>
    </row>
    <row r="9" spans="1:17" ht="20.45" customHeight="1" x14ac:dyDescent="0.2">
      <c r="A9" s="30" t="s">
        <v>3</v>
      </c>
      <c r="B9" s="53">
        <v>191467.33342087269</v>
      </c>
      <c r="C9" s="54">
        <v>4936.5931318649109</v>
      </c>
      <c r="D9" s="53">
        <v>70483.283476829529</v>
      </c>
      <c r="E9" s="54">
        <v>2602.7842873286918</v>
      </c>
      <c r="F9" s="53">
        <v>2784.7296718358994</v>
      </c>
      <c r="G9" s="54">
        <v>36.313119067820338</v>
      </c>
      <c r="H9" s="53">
        <v>33204.916929960251</v>
      </c>
      <c r="I9" s="54">
        <v>305.42706324195427</v>
      </c>
      <c r="J9" s="53">
        <v>6963.5618071556091</v>
      </c>
      <c r="K9" s="54">
        <v>48.368063946674674</v>
      </c>
      <c r="L9" s="53">
        <v>1117.2314593791962</v>
      </c>
      <c r="M9" s="54">
        <v>27.738826421088309</v>
      </c>
      <c r="N9" s="53">
        <v>151532.15281033516</v>
      </c>
      <c r="O9" s="54">
        <v>9001.0671150582912</v>
      </c>
      <c r="P9" s="53">
        <v>3114.0913848876953</v>
      </c>
      <c r="Q9" s="54">
        <v>86.709086158867805</v>
      </c>
    </row>
    <row r="10" spans="1:17" ht="20.45" customHeight="1" x14ac:dyDescent="0.2">
      <c r="A10" s="30" t="s">
        <v>4</v>
      </c>
      <c r="B10" s="53">
        <v>457937.11553490162</v>
      </c>
      <c r="C10" s="54">
        <v>17464.559290892947</v>
      </c>
      <c r="D10" s="53">
        <v>173014.58103883266</v>
      </c>
      <c r="E10" s="54">
        <v>10736.904086658375</v>
      </c>
      <c r="F10" s="53">
        <v>11342.760135173798</v>
      </c>
      <c r="G10" s="54">
        <v>189.30051029639756</v>
      </c>
      <c r="H10" s="53">
        <v>100160.59354627132</v>
      </c>
      <c r="I10" s="54">
        <v>1261.9956839581555</v>
      </c>
      <c r="J10" s="53">
        <v>20672.405552864075</v>
      </c>
      <c r="K10" s="54">
        <v>164.03679649033577</v>
      </c>
      <c r="L10" s="53">
        <v>3283.5485076904297</v>
      </c>
      <c r="M10" s="54">
        <v>128.56391975630464</v>
      </c>
      <c r="N10" s="53">
        <v>414151.66804158688</v>
      </c>
      <c r="O10" s="54">
        <v>44677.407694360583</v>
      </c>
      <c r="P10" s="53">
        <v>11968.425638198853</v>
      </c>
      <c r="Q10" s="54">
        <v>583.75761349444247</v>
      </c>
    </row>
    <row r="11" spans="1:17" ht="20.45" customHeight="1" x14ac:dyDescent="0.2">
      <c r="A11" s="30" t="s">
        <v>5</v>
      </c>
      <c r="B11" s="53">
        <v>340193.61409163475</v>
      </c>
      <c r="C11" s="54">
        <v>18948.009601720645</v>
      </c>
      <c r="D11" s="53">
        <v>122169.29677772522</v>
      </c>
      <c r="E11" s="54">
        <v>11495.343496676016</v>
      </c>
      <c r="F11" s="53">
        <v>10783.561352729797</v>
      </c>
      <c r="G11" s="54">
        <v>249.91709957825327</v>
      </c>
      <c r="H11" s="53">
        <v>70786.329065561295</v>
      </c>
      <c r="I11" s="54">
        <v>1289.9606949400306</v>
      </c>
      <c r="J11" s="53">
        <v>17049.649209260941</v>
      </c>
      <c r="K11" s="54">
        <v>205.56206673259544</v>
      </c>
      <c r="L11" s="53">
        <v>2575.8724613189697</v>
      </c>
      <c r="M11" s="54">
        <v>148.45931250067866</v>
      </c>
      <c r="N11" s="53">
        <v>318457.62998580933</v>
      </c>
      <c r="O11" s="54">
        <v>53955.414902773373</v>
      </c>
      <c r="P11" s="53">
        <v>12457.045836567879</v>
      </c>
      <c r="Q11" s="54">
        <v>1102.7603503687678</v>
      </c>
    </row>
    <row r="12" spans="1:17" ht="20.45" customHeight="1" x14ac:dyDescent="0.2">
      <c r="A12" s="30" t="s">
        <v>6</v>
      </c>
      <c r="B12" s="53">
        <v>164466.02747547626</v>
      </c>
      <c r="C12" s="54">
        <v>12157.106144060106</v>
      </c>
      <c r="D12" s="53">
        <v>61047.332218766212</v>
      </c>
      <c r="E12" s="54">
        <v>8256.3637195699357</v>
      </c>
      <c r="F12" s="53">
        <v>6288.6149144172668</v>
      </c>
      <c r="G12" s="54">
        <v>209.21681972073068</v>
      </c>
      <c r="H12" s="53">
        <v>31754.126670360565</v>
      </c>
      <c r="I12" s="54">
        <v>736.14779172131045</v>
      </c>
      <c r="J12" s="53">
        <v>8677.9459056854248</v>
      </c>
      <c r="K12" s="54">
        <v>131.12604329837578</v>
      </c>
      <c r="L12" s="53">
        <v>1838.5758311748505</v>
      </c>
      <c r="M12" s="54">
        <v>144.19934383914017</v>
      </c>
      <c r="N12" s="53">
        <v>152515.72034168243</v>
      </c>
      <c r="O12" s="54">
        <v>36186.181784376946</v>
      </c>
      <c r="P12" s="53">
        <v>7104.3477849960327</v>
      </c>
      <c r="Q12" s="54">
        <v>943.10716097602972</v>
      </c>
    </row>
    <row r="13" spans="1:17" ht="20.45" customHeight="1" x14ac:dyDescent="0.2">
      <c r="A13" s="30" t="s">
        <v>7</v>
      </c>
      <c r="B13" s="53">
        <v>32195.060619235039</v>
      </c>
      <c r="C13" s="54">
        <v>3086.6757599883931</v>
      </c>
      <c r="D13" s="53">
        <v>12067.159896612167</v>
      </c>
      <c r="E13" s="54">
        <v>2137.5509213458026</v>
      </c>
      <c r="F13" s="53">
        <v>1033.8782396316528</v>
      </c>
      <c r="G13" s="54">
        <v>55.136067506657028</v>
      </c>
      <c r="H13" s="53">
        <v>4767.6019763946533</v>
      </c>
      <c r="I13" s="54">
        <v>150.17087672103418</v>
      </c>
      <c r="J13" s="53">
        <v>1894.4872765541077</v>
      </c>
      <c r="K13" s="54">
        <v>44.071411793022385</v>
      </c>
      <c r="L13" s="53">
        <v>450.03104090690613</v>
      </c>
      <c r="M13" s="54">
        <v>46.511210559849026</v>
      </c>
      <c r="N13" s="53">
        <v>29974.938066959381</v>
      </c>
      <c r="O13" s="54">
        <v>10107.257469381168</v>
      </c>
      <c r="P13" s="53">
        <v>1425.2128252983093</v>
      </c>
      <c r="Q13" s="54">
        <v>305.29694407726168</v>
      </c>
    </row>
    <row r="14" spans="1:17" ht="20.45" customHeight="1" x14ac:dyDescent="0.2">
      <c r="A14" s="30" t="s">
        <v>8</v>
      </c>
      <c r="B14" s="53">
        <v>9280.0112662315369</v>
      </c>
      <c r="C14" s="54">
        <v>1173.6726218787849</v>
      </c>
      <c r="D14" s="53">
        <v>4070.5991100072861</v>
      </c>
      <c r="E14" s="54">
        <v>1001.312738817795</v>
      </c>
      <c r="F14" s="53">
        <v>377.33562660217285</v>
      </c>
      <c r="G14" s="54">
        <v>27.343383769395036</v>
      </c>
      <c r="H14" s="53">
        <v>1452.5146646499634</v>
      </c>
      <c r="I14" s="54">
        <v>73.323899146417546</v>
      </c>
      <c r="J14" s="53">
        <v>533.05586004257202</v>
      </c>
      <c r="K14" s="54">
        <v>20.66636234768896</v>
      </c>
      <c r="L14" s="53">
        <v>180.6593165397644</v>
      </c>
      <c r="M14" s="54">
        <v>35.105850335131478</v>
      </c>
      <c r="N14" s="53">
        <v>8849.7829160690308</v>
      </c>
      <c r="O14" s="54">
        <v>3667.1537270116223</v>
      </c>
      <c r="P14" s="53">
        <v>531.57602262496948</v>
      </c>
      <c r="Q14" s="54">
        <v>121.51729614231962</v>
      </c>
    </row>
    <row r="15" spans="1:17" ht="20.45" customHeight="1" x14ac:dyDescent="0.2">
      <c r="A15" s="30" t="s">
        <v>9</v>
      </c>
      <c r="B15" s="53">
        <v>2906.434144616127</v>
      </c>
      <c r="C15" s="54">
        <v>556.04773216566832</v>
      </c>
      <c r="D15" s="53">
        <v>1273.3627738952637</v>
      </c>
      <c r="E15" s="54">
        <v>401.11829509860752</v>
      </c>
      <c r="F15" s="53">
        <v>130.17169332504272</v>
      </c>
      <c r="G15" s="54">
        <v>4.9014309919927053</v>
      </c>
      <c r="H15" s="53">
        <v>354.45545434951782</v>
      </c>
      <c r="I15" s="54">
        <v>13.716929505973717</v>
      </c>
      <c r="J15" s="53">
        <v>145.85486650466919</v>
      </c>
      <c r="K15" s="54">
        <v>1.7171448966052709</v>
      </c>
      <c r="L15" s="53">
        <v>68.184358596801758</v>
      </c>
      <c r="M15" s="54">
        <v>4.5470109546036275</v>
      </c>
      <c r="N15" s="53">
        <v>2766.9601554870605</v>
      </c>
      <c r="O15" s="54">
        <v>1338.8140727611196</v>
      </c>
      <c r="P15" s="53">
        <v>156.64705467224121</v>
      </c>
      <c r="Q15" s="54">
        <v>53.895596722424834</v>
      </c>
    </row>
    <row r="16" spans="1:17" ht="20.45" customHeight="1" x14ac:dyDescent="0.2">
      <c r="A16" s="30" t="s">
        <v>10</v>
      </c>
      <c r="B16" s="53">
        <v>2391.0752538442612</v>
      </c>
      <c r="C16" s="54">
        <v>501.72830843828473</v>
      </c>
      <c r="D16" s="53">
        <v>980.81216979026794</v>
      </c>
      <c r="E16" s="54">
        <v>288.67318450888359</v>
      </c>
      <c r="F16" s="53">
        <v>86.063079833984375</v>
      </c>
      <c r="G16" s="54">
        <v>36.320832742125113</v>
      </c>
      <c r="H16" s="53">
        <v>336.52105474472046</v>
      </c>
      <c r="I16" s="54">
        <v>14.76792522922729</v>
      </c>
      <c r="J16" s="53">
        <v>21.802216529846191</v>
      </c>
      <c r="K16" s="54">
        <v>0.29437051520751006</v>
      </c>
      <c r="L16" s="53">
        <v>32.856485843658447</v>
      </c>
      <c r="M16" s="54">
        <v>17.750980438041882</v>
      </c>
      <c r="N16" s="53">
        <v>2603.5999777317047</v>
      </c>
      <c r="O16" s="54">
        <v>1549.8226998627624</v>
      </c>
      <c r="P16" s="53">
        <v>121.9088888168335</v>
      </c>
      <c r="Q16" s="54">
        <v>33.710570444209864</v>
      </c>
    </row>
    <row r="17" spans="1:17" ht="20.45" customHeight="1" x14ac:dyDescent="0.2">
      <c r="A17" s="30" t="s">
        <v>11</v>
      </c>
      <c r="B17" s="53">
        <v>267.71442317962646</v>
      </c>
      <c r="C17" s="54">
        <v>96.438013466071638</v>
      </c>
      <c r="D17" s="53">
        <v>98.918594360351563</v>
      </c>
      <c r="E17" s="54">
        <v>27.812222213282585</v>
      </c>
      <c r="F17" s="53">
        <v>9.8432807922363281</v>
      </c>
      <c r="G17" s="54">
        <v>5.508221324653384E-2</v>
      </c>
      <c r="H17" s="53">
        <v>51.131103038787842</v>
      </c>
      <c r="I17" s="54">
        <v>6.7219156392828356</v>
      </c>
      <c r="J17" s="53">
        <v>0</v>
      </c>
      <c r="K17" s="54"/>
      <c r="L17" s="53">
        <v>28.7841796875</v>
      </c>
      <c r="M17" s="54">
        <v>45.314720868693932</v>
      </c>
      <c r="N17" s="53">
        <v>341.61248111724854</v>
      </c>
      <c r="O17" s="54">
        <v>557.95230897674446</v>
      </c>
      <c r="P17" s="53">
        <v>11.116740226745605</v>
      </c>
      <c r="Q17" s="54">
        <v>8.131065555000248</v>
      </c>
    </row>
    <row r="18" spans="1:17" s="47" customFormat="1" ht="20.45" customHeight="1" x14ac:dyDescent="0.2">
      <c r="A18" s="31" t="s">
        <v>12</v>
      </c>
      <c r="B18" s="25">
        <f>B6+B7</f>
        <v>1336616.1098473072</v>
      </c>
      <c r="C18" s="26">
        <f t="shared" ref="C18:Q18" si="0">C6+C7</f>
        <v>61033.380242656312</v>
      </c>
      <c r="D18" s="25">
        <f t="shared" si="0"/>
        <v>483644.68286776543</v>
      </c>
      <c r="E18" s="26">
        <f t="shared" si="0"/>
        <v>37697.949278443943</v>
      </c>
      <c r="F18" s="25">
        <f t="shared" si="0"/>
        <v>34143.531880259514</v>
      </c>
      <c r="G18" s="26">
        <f t="shared" si="0"/>
        <v>819.1495859852696</v>
      </c>
      <c r="H18" s="25">
        <f t="shared" si="0"/>
        <v>260715.66251885891</v>
      </c>
      <c r="I18" s="26">
        <f t="shared" si="0"/>
        <v>3946.8775362507004</v>
      </c>
      <c r="J18" s="25">
        <f t="shared" si="0"/>
        <v>59981.501573324203</v>
      </c>
      <c r="K18" s="26">
        <f t="shared" si="0"/>
        <v>632.99368475446829</v>
      </c>
      <c r="L18" s="25">
        <f t="shared" si="0"/>
        <v>10380.92986702919</v>
      </c>
      <c r="M18" s="26">
        <f t="shared" si="0"/>
        <v>607.47019363772165</v>
      </c>
      <c r="N18" s="25">
        <f t="shared" si="0"/>
        <v>1133489.2681521177</v>
      </c>
      <c r="O18" s="26">
        <f t="shared" si="0"/>
        <v>162502.23487597477</v>
      </c>
      <c r="P18" s="25">
        <f t="shared" si="0"/>
        <v>37804.576038002968</v>
      </c>
      <c r="Q18" s="26">
        <f t="shared" si="0"/>
        <v>3254.1589859762244</v>
      </c>
    </row>
    <row r="20" spans="1:17" ht="12" customHeight="1" x14ac:dyDescent="0.2"/>
  </sheetData>
  <mergeCells count="10">
    <mergeCell ref="A1:Q1"/>
    <mergeCell ref="A4:A5"/>
    <mergeCell ref="B4:C4"/>
    <mergeCell ref="D4:E4"/>
    <mergeCell ref="F4:G4"/>
    <mergeCell ref="H4:I4"/>
    <mergeCell ref="L4:M4"/>
    <mergeCell ref="N4:O4"/>
    <mergeCell ref="P4:Q4"/>
    <mergeCell ref="J4:K4"/>
  </mergeCells>
  <conditionalFormatting sqref="B6:B18">
    <cfRule type="cellIs" dxfId="1213" priority="17" stopIfTrue="1" operator="equal">
      <formula>0</formula>
    </cfRule>
  </conditionalFormatting>
  <conditionalFormatting sqref="D6:D18">
    <cfRule type="cellIs" dxfId="1212" priority="16" stopIfTrue="1" operator="equal">
      <formula>0</formula>
    </cfRule>
  </conditionalFormatting>
  <conditionalFormatting sqref="F6:F18">
    <cfRule type="cellIs" dxfId="1211" priority="15" stopIfTrue="1" operator="equal">
      <formula>0</formula>
    </cfRule>
  </conditionalFormatting>
  <conditionalFormatting sqref="H6:H18">
    <cfRule type="cellIs" dxfId="1210" priority="14" stopIfTrue="1" operator="equal">
      <formula>0</formula>
    </cfRule>
  </conditionalFormatting>
  <conditionalFormatting sqref="J6:J18">
    <cfRule type="cellIs" dxfId="1209" priority="13" stopIfTrue="1" operator="equal">
      <formula>0</formula>
    </cfRule>
  </conditionalFormatting>
  <conditionalFormatting sqref="L6:L18">
    <cfRule type="cellIs" dxfId="1208" priority="12" stopIfTrue="1" operator="equal">
      <formula>0</formula>
    </cfRule>
  </conditionalFormatting>
  <conditionalFormatting sqref="N6:N18">
    <cfRule type="cellIs" dxfId="1207" priority="11" stopIfTrue="1" operator="equal">
      <formula>0</formula>
    </cfRule>
  </conditionalFormatting>
  <conditionalFormatting sqref="P6:P18">
    <cfRule type="cellIs" dxfId="1206" priority="9" stopIfTrue="1" operator="equal">
      <formula>0</formula>
    </cfRule>
  </conditionalFormatting>
  <conditionalFormatting sqref="C6:C18">
    <cfRule type="cellIs" dxfId="1205" priority="8" stopIfTrue="1" operator="equal">
      <formula>0</formula>
    </cfRule>
  </conditionalFormatting>
  <conditionalFormatting sqref="E6:E18">
    <cfRule type="cellIs" dxfId="1204" priority="7" stopIfTrue="1" operator="equal">
      <formula>0</formula>
    </cfRule>
  </conditionalFormatting>
  <conditionalFormatting sqref="G6:G18">
    <cfRule type="cellIs" dxfId="1203" priority="6" stopIfTrue="1" operator="equal">
      <formula>0</formula>
    </cfRule>
  </conditionalFormatting>
  <conditionalFormatting sqref="I6:I18">
    <cfRule type="cellIs" dxfId="1202" priority="5" stopIfTrue="1" operator="equal">
      <formula>0</formula>
    </cfRule>
  </conditionalFormatting>
  <conditionalFormatting sqref="K6:K18">
    <cfRule type="cellIs" dxfId="1201" priority="4" stopIfTrue="1" operator="equal">
      <formula>0</formula>
    </cfRule>
  </conditionalFormatting>
  <conditionalFormatting sqref="M6:M18">
    <cfRule type="cellIs" dxfId="1200" priority="3" stopIfTrue="1" operator="equal">
      <formula>0</formula>
    </cfRule>
  </conditionalFormatting>
  <conditionalFormatting sqref="O6:O18">
    <cfRule type="cellIs" dxfId="1199" priority="2" stopIfTrue="1" operator="equal">
      <formula>0</formula>
    </cfRule>
  </conditionalFormatting>
  <conditionalFormatting sqref="Q6:Q18">
    <cfRule type="cellIs" dxfId="1198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E661-B864-4B25-B6E3-24B4229AE233}">
  <dimension ref="A1:Q20"/>
  <sheetViews>
    <sheetView zoomScaleNormal="100" workbookViewId="0">
      <selection activeCell="C19" sqref="C19"/>
    </sheetView>
  </sheetViews>
  <sheetFormatPr defaultColWidth="8.85546875" defaultRowHeight="12.75" x14ac:dyDescent="0.2"/>
  <cols>
    <col min="1" max="1" width="21.140625" style="27" customWidth="1"/>
    <col min="2" max="2" width="9" style="27" bestFit="1" customWidth="1"/>
    <col min="3" max="5" width="8.5703125" style="27" customWidth="1"/>
    <col min="6" max="6" width="9.42578125" style="27" customWidth="1"/>
    <col min="7" max="7" width="8.5703125" style="27" bestFit="1" customWidth="1"/>
    <col min="8" max="8" width="8.5703125" style="27" customWidth="1"/>
    <col min="9" max="9" width="8.140625" style="27" bestFit="1" customWidth="1"/>
    <col min="10" max="10" width="8.42578125" style="27" customWidth="1"/>
    <col min="11" max="11" width="9.85546875" style="27" customWidth="1"/>
    <col min="12" max="12" width="8" style="27" customWidth="1"/>
    <col min="13" max="13" width="9.140625" style="27" customWidth="1"/>
    <col min="14" max="15" width="8.140625" style="27" bestFit="1" customWidth="1"/>
    <col min="16" max="16" width="8.140625" style="27" customWidth="1"/>
    <col min="17" max="17" width="8.140625" style="27" bestFit="1" customWidth="1"/>
    <col min="18" max="16384" width="8.85546875" style="27"/>
  </cols>
  <sheetData>
    <row r="1" spans="1:17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 t="s">
        <v>32</v>
      </c>
    </row>
    <row r="3" spans="1:17" x14ac:dyDescent="0.2">
      <c r="A3" s="27" t="s">
        <v>588</v>
      </c>
    </row>
    <row r="4" spans="1:17" s="39" customFormat="1" ht="23.25" customHeight="1" x14ac:dyDescent="0.2">
      <c r="A4" s="123" t="s">
        <v>30</v>
      </c>
      <c r="B4" s="122" t="s">
        <v>130</v>
      </c>
      <c r="C4" s="122"/>
      <c r="D4" s="122" t="s">
        <v>131</v>
      </c>
      <c r="E4" s="122"/>
      <c r="F4" s="120" t="s">
        <v>132</v>
      </c>
      <c r="G4" s="120"/>
      <c r="H4" s="120" t="s">
        <v>133</v>
      </c>
      <c r="I4" s="120"/>
      <c r="J4" s="120" t="s">
        <v>134</v>
      </c>
      <c r="K4" s="120"/>
      <c r="L4" s="120" t="s">
        <v>135</v>
      </c>
      <c r="M4" s="120"/>
      <c r="N4" s="120" t="s">
        <v>136</v>
      </c>
      <c r="O4" s="120"/>
      <c r="P4" s="120" t="s">
        <v>137</v>
      </c>
      <c r="Q4" s="120"/>
    </row>
    <row r="5" spans="1:17" s="39" customFormat="1" ht="36.75" customHeight="1" x14ac:dyDescent="0.2">
      <c r="A5" s="123"/>
      <c r="B5" s="34" t="s">
        <v>41</v>
      </c>
      <c r="C5" s="34" t="s">
        <v>21</v>
      </c>
      <c r="D5" s="34" t="s">
        <v>41</v>
      </c>
      <c r="E5" s="34" t="s">
        <v>21</v>
      </c>
      <c r="F5" s="34" t="s">
        <v>41</v>
      </c>
      <c r="G5" s="34" t="s">
        <v>21</v>
      </c>
      <c r="H5" s="34" t="s">
        <v>41</v>
      </c>
      <c r="I5" s="34" t="s">
        <v>21</v>
      </c>
      <c r="J5" s="34" t="s">
        <v>41</v>
      </c>
      <c r="K5" s="34" t="s">
        <v>21</v>
      </c>
      <c r="L5" s="34" t="s">
        <v>41</v>
      </c>
      <c r="M5" s="34" t="s">
        <v>21</v>
      </c>
      <c r="N5" s="34" t="s">
        <v>41</v>
      </c>
      <c r="O5" s="34" t="s">
        <v>21</v>
      </c>
      <c r="P5" s="34" t="s">
        <v>41</v>
      </c>
      <c r="Q5" s="34" t="s">
        <v>21</v>
      </c>
    </row>
    <row r="6" spans="1:17" s="38" customFormat="1" ht="20.45" customHeight="1" x14ac:dyDescent="0.2">
      <c r="A6" s="69" t="s">
        <v>0</v>
      </c>
      <c r="B6" s="49">
        <v>14.42673397064209</v>
      </c>
      <c r="C6" s="50">
        <v>8.4270073420423586E-2</v>
      </c>
      <c r="D6" s="49">
        <v>28.921525955200195</v>
      </c>
      <c r="E6" s="50">
        <v>0.1705720795626644</v>
      </c>
      <c r="F6" s="49">
        <v>96.821449279785156</v>
      </c>
      <c r="G6" s="50">
        <v>0.21012281239816755</v>
      </c>
      <c r="H6" s="49">
        <v>0</v>
      </c>
      <c r="I6" s="50"/>
      <c r="J6" s="49">
        <v>254.63681888580322</v>
      </c>
      <c r="K6" s="50">
        <v>0.80363490910471225</v>
      </c>
      <c r="L6" s="49">
        <v>131.45162773132324</v>
      </c>
      <c r="M6" s="50">
        <v>0.62259503791728621</v>
      </c>
      <c r="N6" s="49">
        <v>0</v>
      </c>
      <c r="O6" s="50"/>
      <c r="P6" s="49">
        <v>0</v>
      </c>
      <c r="Q6" s="50"/>
    </row>
    <row r="7" spans="1:17" s="38" customFormat="1" ht="20.45" customHeight="1" x14ac:dyDescent="0.2">
      <c r="A7" s="29" t="s">
        <v>1</v>
      </c>
      <c r="B7" s="51">
        <v>55545.514822244644</v>
      </c>
      <c r="C7" s="52">
        <v>8302.7095713061226</v>
      </c>
      <c r="D7" s="51">
        <v>51165.836476922035</v>
      </c>
      <c r="E7" s="52">
        <v>4259.4441273369584</v>
      </c>
      <c r="F7" s="51">
        <v>6181.2144737243652</v>
      </c>
      <c r="G7" s="52">
        <v>315.45126477930614</v>
      </c>
      <c r="H7" s="51">
        <v>17538.803354024887</v>
      </c>
      <c r="I7" s="52">
        <v>1506.6117474876319</v>
      </c>
      <c r="J7" s="51">
        <v>95949.277032017708</v>
      </c>
      <c r="K7" s="52">
        <v>40148.696049230522</v>
      </c>
      <c r="L7" s="51">
        <v>12998.052613735199</v>
      </c>
      <c r="M7" s="52">
        <v>2818.6943074504047</v>
      </c>
      <c r="N7" s="51">
        <v>7242.4497947692871</v>
      </c>
      <c r="O7" s="52">
        <v>1065.0063054822863</v>
      </c>
      <c r="P7" s="51">
        <v>4643.2201151847839</v>
      </c>
      <c r="Q7" s="52">
        <v>575.52561487528362</v>
      </c>
    </row>
    <row r="8" spans="1:17" ht="20.45" customHeight="1" x14ac:dyDescent="0.2">
      <c r="A8" s="30" t="s">
        <v>2</v>
      </c>
      <c r="B8" s="53">
        <v>622.46756649017334</v>
      </c>
      <c r="C8" s="54">
        <v>11.938431778230449</v>
      </c>
      <c r="D8" s="53">
        <v>2535.6370625495911</v>
      </c>
      <c r="E8" s="54">
        <v>43.035405725406967</v>
      </c>
      <c r="F8" s="53">
        <v>266.49821996688843</v>
      </c>
      <c r="G8" s="54">
        <v>2.0617928769185094</v>
      </c>
      <c r="H8" s="53">
        <v>648.66788911819458</v>
      </c>
      <c r="I8" s="54">
        <v>7.030601050177709</v>
      </c>
      <c r="J8" s="53">
        <v>3228.8789114952087</v>
      </c>
      <c r="K8" s="54">
        <v>34.066904628620662</v>
      </c>
      <c r="L8" s="53">
        <v>555.72734546661377</v>
      </c>
      <c r="M8" s="54">
        <v>9.3839402034848316</v>
      </c>
      <c r="N8" s="53">
        <v>135.77665209770203</v>
      </c>
      <c r="O8" s="54">
        <v>4.476968760328063</v>
      </c>
      <c r="P8" s="53">
        <v>143.80488348007202</v>
      </c>
      <c r="Q8" s="54">
        <v>4.2986470977372786</v>
      </c>
    </row>
    <row r="9" spans="1:17" ht="20.45" customHeight="1" x14ac:dyDescent="0.2">
      <c r="A9" s="30" t="s">
        <v>3</v>
      </c>
      <c r="B9" s="53">
        <v>2636.4191737174988</v>
      </c>
      <c r="C9" s="54">
        <v>120.2126405763106</v>
      </c>
      <c r="D9" s="53">
        <v>6684.7335257530212</v>
      </c>
      <c r="E9" s="54">
        <v>236.35814415870783</v>
      </c>
      <c r="F9" s="53">
        <v>584.80214548110962</v>
      </c>
      <c r="G9" s="54">
        <v>12.87290080471646</v>
      </c>
      <c r="H9" s="53">
        <v>1963.4441132545471</v>
      </c>
      <c r="I9" s="54">
        <v>72.649730101334356</v>
      </c>
      <c r="J9" s="53">
        <v>6105.8036346435547</v>
      </c>
      <c r="K9" s="54">
        <v>287.63608925961876</v>
      </c>
      <c r="L9" s="53">
        <v>529.03383636474609</v>
      </c>
      <c r="M9" s="54">
        <v>26.781656889687945</v>
      </c>
      <c r="N9" s="53">
        <v>502.84842920303345</v>
      </c>
      <c r="O9" s="54">
        <v>18.315196342872355</v>
      </c>
      <c r="P9" s="53">
        <v>512.68550872802734</v>
      </c>
      <c r="Q9" s="54">
        <v>18.081586912391064</v>
      </c>
    </row>
    <row r="10" spans="1:17" ht="20.45" customHeight="1" x14ac:dyDescent="0.2">
      <c r="A10" s="30" t="s">
        <v>4</v>
      </c>
      <c r="B10" s="53">
        <v>13861.562275409698</v>
      </c>
      <c r="C10" s="54">
        <v>1167.266424615191</v>
      </c>
      <c r="D10" s="53">
        <v>17740.540856838226</v>
      </c>
      <c r="E10" s="54">
        <v>950.11235529468979</v>
      </c>
      <c r="F10" s="53">
        <v>1925.5658578872681</v>
      </c>
      <c r="G10" s="54">
        <v>64.45726638707599</v>
      </c>
      <c r="H10" s="53">
        <v>5769.2757201194763</v>
      </c>
      <c r="I10" s="54">
        <v>302.23945034767928</v>
      </c>
      <c r="J10" s="53">
        <v>22314.353572845459</v>
      </c>
      <c r="K10" s="54">
        <v>2131.2596034597445</v>
      </c>
      <c r="L10" s="53">
        <v>2379.9171824455261</v>
      </c>
      <c r="M10" s="54">
        <v>243.51919514223201</v>
      </c>
      <c r="N10" s="53">
        <v>1972.1208715438843</v>
      </c>
      <c r="O10" s="54">
        <v>169.32051165400534</v>
      </c>
      <c r="P10" s="53">
        <v>1120.6612792015076</v>
      </c>
      <c r="Q10" s="54">
        <v>57.645734995363668</v>
      </c>
    </row>
    <row r="11" spans="1:17" ht="20.45" customHeight="1" x14ac:dyDescent="0.2">
      <c r="A11" s="30" t="s">
        <v>5</v>
      </c>
      <c r="B11" s="53">
        <v>19398.267550230026</v>
      </c>
      <c r="C11" s="54">
        <v>2732.5387040518335</v>
      </c>
      <c r="D11" s="53">
        <v>14976.985853791237</v>
      </c>
      <c r="E11" s="54">
        <v>1291.2895346658418</v>
      </c>
      <c r="F11" s="53">
        <v>1988.2790236473083</v>
      </c>
      <c r="G11" s="54">
        <v>103.99023689660532</v>
      </c>
      <c r="H11" s="53">
        <v>5084.838568687439</v>
      </c>
      <c r="I11" s="54">
        <v>502.42637693999325</v>
      </c>
      <c r="J11" s="53">
        <v>27589.755688071251</v>
      </c>
      <c r="K11" s="54">
        <v>6454.9713898722093</v>
      </c>
      <c r="L11" s="53">
        <v>3560.3632125854492</v>
      </c>
      <c r="M11" s="54">
        <v>522.86423343607373</v>
      </c>
      <c r="N11" s="53">
        <v>2382.1580588817596</v>
      </c>
      <c r="O11" s="54">
        <v>351.5558008543689</v>
      </c>
      <c r="P11" s="53">
        <v>1135.8996472358704</v>
      </c>
      <c r="Q11" s="54">
        <v>127.07843892102677</v>
      </c>
    </row>
    <row r="12" spans="1:17" ht="20.45" customHeight="1" x14ac:dyDescent="0.2">
      <c r="A12" s="30" t="s">
        <v>6</v>
      </c>
      <c r="B12" s="53">
        <v>13708.841471672058</v>
      </c>
      <c r="C12" s="54">
        <v>2699.2449560556302</v>
      </c>
      <c r="D12" s="53">
        <v>7241.1138038635254</v>
      </c>
      <c r="E12" s="54">
        <v>1034.8465731077843</v>
      </c>
      <c r="F12" s="53">
        <v>1144.9507269859314</v>
      </c>
      <c r="G12" s="54">
        <v>88.451952485125105</v>
      </c>
      <c r="H12" s="53">
        <v>3046.2532775402069</v>
      </c>
      <c r="I12" s="54">
        <v>370.01227256684268</v>
      </c>
      <c r="J12" s="53">
        <v>23621.606809854507</v>
      </c>
      <c r="K12" s="54">
        <v>11930.502082171944</v>
      </c>
      <c r="L12" s="53">
        <v>3533.7066202163696</v>
      </c>
      <c r="M12" s="54">
        <v>683.52677345494578</v>
      </c>
      <c r="N12" s="53">
        <v>1734.2982461452484</v>
      </c>
      <c r="O12" s="54">
        <v>406.71410438511708</v>
      </c>
      <c r="P12" s="53">
        <v>1029.4603204727173</v>
      </c>
      <c r="Q12" s="54">
        <v>146.92984232558757</v>
      </c>
    </row>
    <row r="13" spans="1:17" ht="20.45" customHeight="1" x14ac:dyDescent="0.2">
      <c r="A13" s="30" t="s">
        <v>7</v>
      </c>
      <c r="B13" s="53">
        <v>3436.1547269821167</v>
      </c>
      <c r="C13" s="54">
        <v>931.84821044731257</v>
      </c>
      <c r="D13" s="53">
        <v>1308.4069633483887</v>
      </c>
      <c r="E13" s="54">
        <v>395.50470235550165</v>
      </c>
      <c r="F13" s="53">
        <v>176.08330154418945</v>
      </c>
      <c r="G13" s="54">
        <v>25.61915833629282</v>
      </c>
      <c r="H13" s="53">
        <v>633.41502285003662</v>
      </c>
      <c r="I13" s="54">
        <v>112.30700176945547</v>
      </c>
      <c r="J13" s="53">
        <v>7206.1701538562775</v>
      </c>
      <c r="K13" s="54">
        <v>6863.827843552137</v>
      </c>
      <c r="L13" s="53">
        <v>1480.0873374938965</v>
      </c>
      <c r="M13" s="54">
        <v>491.20368370085674</v>
      </c>
      <c r="N13" s="53">
        <v>390.06868720054626</v>
      </c>
      <c r="O13" s="54">
        <v>88.494608762439881</v>
      </c>
      <c r="P13" s="53">
        <v>345.23130941390991</v>
      </c>
      <c r="Q13" s="54">
        <v>77.740304063958732</v>
      </c>
    </row>
    <row r="14" spans="1:17" ht="20.45" customHeight="1" x14ac:dyDescent="0.2">
      <c r="A14" s="30" t="s">
        <v>8</v>
      </c>
      <c r="B14" s="53">
        <v>1073.0344672203064</v>
      </c>
      <c r="C14" s="54">
        <v>318.62139151843286</v>
      </c>
      <c r="D14" s="53">
        <v>427.64726305007935</v>
      </c>
      <c r="E14" s="54">
        <v>121.67933325549504</v>
      </c>
      <c r="F14" s="53">
        <v>71.278719425201416</v>
      </c>
      <c r="G14" s="54">
        <v>9.8244282057495305</v>
      </c>
      <c r="H14" s="53">
        <v>247.22549247741699</v>
      </c>
      <c r="I14" s="54">
        <v>47.824056303885854</v>
      </c>
      <c r="J14" s="53">
        <v>3197.122186422348</v>
      </c>
      <c r="K14" s="54">
        <v>4677.5344478635934</v>
      </c>
      <c r="L14" s="53">
        <v>488.98849010467529</v>
      </c>
      <c r="M14" s="54">
        <v>213.84637347953478</v>
      </c>
      <c r="N14" s="53">
        <v>93.47332763671875</v>
      </c>
      <c r="O14" s="54">
        <v>15.480044367150843</v>
      </c>
      <c r="P14" s="53">
        <v>234.74358463287354</v>
      </c>
      <c r="Q14" s="54">
        <v>92.411101694254327</v>
      </c>
    </row>
    <row r="15" spans="1:17" ht="20.45" customHeight="1" x14ac:dyDescent="0.2">
      <c r="A15" s="30" t="s">
        <v>9</v>
      </c>
      <c r="B15" s="53">
        <v>467.03993797302246</v>
      </c>
      <c r="C15" s="54">
        <v>210.70377182855884</v>
      </c>
      <c r="D15" s="53">
        <v>51.15611743927002</v>
      </c>
      <c r="E15" s="54">
        <v>28.02731745997588</v>
      </c>
      <c r="F15" s="53">
        <v>13.481864452362061</v>
      </c>
      <c r="G15" s="54">
        <v>0.65841545333211293</v>
      </c>
      <c r="H15" s="53">
        <v>53.511712551116943</v>
      </c>
      <c r="I15" s="54">
        <v>7.5577974368403922</v>
      </c>
      <c r="J15" s="53">
        <v>992.52922439575195</v>
      </c>
      <c r="K15" s="54">
        <v>1773.9060563652602</v>
      </c>
      <c r="L15" s="53">
        <v>289.62355518341064</v>
      </c>
      <c r="M15" s="54">
        <v>206.7092861660214</v>
      </c>
      <c r="N15" s="53">
        <v>21.866255283355713</v>
      </c>
      <c r="O15" s="54">
        <v>10.640936529027208</v>
      </c>
      <c r="P15" s="53">
        <v>94.114194393157959</v>
      </c>
      <c r="Q15" s="54">
        <v>32.762766303471246</v>
      </c>
    </row>
    <row r="16" spans="1:17" ht="20.45" customHeight="1" x14ac:dyDescent="0.2">
      <c r="A16" s="30" t="s">
        <v>10</v>
      </c>
      <c r="B16" s="53">
        <v>312.60636043548584</v>
      </c>
      <c r="C16" s="54">
        <v>82.380297247595536</v>
      </c>
      <c r="D16" s="53">
        <v>159.76940059661865</v>
      </c>
      <c r="E16" s="54">
        <v>121.99196985646851</v>
      </c>
      <c r="F16" s="53">
        <v>10.274614334106445</v>
      </c>
      <c r="G16" s="54">
        <v>7.5151133334903761</v>
      </c>
      <c r="H16" s="53">
        <v>79.48689079284668</v>
      </c>
      <c r="I16" s="54">
        <v>19.619252027334674</v>
      </c>
      <c r="J16" s="53">
        <v>1463.2531895637512</v>
      </c>
      <c r="K16" s="54">
        <v>4824.074733618987</v>
      </c>
      <c r="L16" s="53">
        <v>132.74225902557373</v>
      </c>
      <c r="M16" s="54">
        <v>68.659169553937247</v>
      </c>
      <c r="N16" s="53">
        <v>9.8392667770385742</v>
      </c>
      <c r="O16" s="54">
        <v>8.1338269767959308E-3</v>
      </c>
      <c r="P16" s="53">
        <v>26.619387626647949</v>
      </c>
      <c r="Q16" s="54">
        <v>18.577192561493497</v>
      </c>
    </row>
    <row r="17" spans="1:17" ht="20.45" customHeight="1" x14ac:dyDescent="0.2">
      <c r="A17" s="30" t="s">
        <v>11</v>
      </c>
      <c r="B17" s="53">
        <v>29.121292114257813</v>
      </c>
      <c r="C17" s="54">
        <v>27.954743187007974</v>
      </c>
      <c r="D17" s="53">
        <v>39.845629692077637</v>
      </c>
      <c r="E17" s="54">
        <v>36.59879145708922</v>
      </c>
      <c r="F17" s="53">
        <v>0</v>
      </c>
      <c r="G17" s="54"/>
      <c r="H17" s="53">
        <v>12.684666633605957</v>
      </c>
      <c r="I17" s="54">
        <v>64.945208944089359</v>
      </c>
      <c r="J17" s="53">
        <v>229.80366086959839</v>
      </c>
      <c r="K17" s="54">
        <v>1170.9168984383468</v>
      </c>
      <c r="L17" s="53">
        <v>47.862774848937988</v>
      </c>
      <c r="M17" s="54">
        <v>352.19999542362706</v>
      </c>
      <c r="N17" s="53">
        <v>0</v>
      </c>
      <c r="O17" s="54"/>
      <c r="P17" s="53">
        <v>0</v>
      </c>
      <c r="Q17" s="54"/>
    </row>
    <row r="18" spans="1:17" s="38" customFormat="1" ht="20.45" customHeight="1" x14ac:dyDescent="0.2">
      <c r="A18" s="31" t="s">
        <v>12</v>
      </c>
      <c r="B18" s="25">
        <f>B6+B7</f>
        <v>55559.941556215286</v>
      </c>
      <c r="C18" s="26">
        <f t="shared" ref="C18:Q18" si="0">C6+C7</f>
        <v>8302.7938413795437</v>
      </c>
      <c r="D18" s="25">
        <f t="shared" si="0"/>
        <v>51194.758002877235</v>
      </c>
      <c r="E18" s="26">
        <f t="shared" si="0"/>
        <v>4259.614699416521</v>
      </c>
      <c r="F18" s="25">
        <f t="shared" si="0"/>
        <v>6278.0359230041504</v>
      </c>
      <c r="G18" s="26">
        <f t="shared" si="0"/>
        <v>315.66138759170428</v>
      </c>
      <c r="H18" s="25">
        <f t="shared" si="0"/>
        <v>17538.803354024887</v>
      </c>
      <c r="I18" s="26">
        <f t="shared" si="0"/>
        <v>1506.6117474876319</v>
      </c>
      <c r="J18" s="25">
        <f t="shared" si="0"/>
        <v>96203.913850903511</v>
      </c>
      <c r="K18" s="26">
        <f t="shared" si="0"/>
        <v>40149.499684139628</v>
      </c>
      <c r="L18" s="25">
        <f t="shared" si="0"/>
        <v>13129.504241466522</v>
      </c>
      <c r="M18" s="26">
        <f t="shared" si="0"/>
        <v>2819.3169024883218</v>
      </c>
      <c r="N18" s="25">
        <f t="shared" si="0"/>
        <v>7242.4497947692871</v>
      </c>
      <c r="O18" s="26">
        <f t="shared" si="0"/>
        <v>1065.0063054822863</v>
      </c>
      <c r="P18" s="25">
        <f t="shared" si="0"/>
        <v>4643.2201151847839</v>
      </c>
      <c r="Q18" s="26">
        <f t="shared" si="0"/>
        <v>575.52561487528362</v>
      </c>
    </row>
    <row r="20" spans="1:17" ht="12" customHeight="1" x14ac:dyDescent="0.2"/>
  </sheetData>
  <mergeCells count="10">
    <mergeCell ref="A1:Q1"/>
    <mergeCell ref="A4:A5"/>
    <mergeCell ref="B4:C4"/>
    <mergeCell ref="D4:E4"/>
    <mergeCell ref="F4:G4"/>
    <mergeCell ref="H4:I4"/>
    <mergeCell ref="J4:K4"/>
    <mergeCell ref="L4:M4"/>
    <mergeCell ref="N4:O4"/>
    <mergeCell ref="P4:Q4"/>
  </mergeCells>
  <conditionalFormatting sqref="B6:B18">
    <cfRule type="cellIs" dxfId="1197" priority="16" stopIfTrue="1" operator="equal">
      <formula>0</formula>
    </cfRule>
  </conditionalFormatting>
  <conditionalFormatting sqref="D6:D18">
    <cfRule type="cellIs" dxfId="1196" priority="15" stopIfTrue="1" operator="equal">
      <formula>0</formula>
    </cfRule>
  </conditionalFormatting>
  <conditionalFormatting sqref="F6:F18">
    <cfRule type="cellIs" dxfId="1195" priority="14" stopIfTrue="1" operator="equal">
      <formula>0</formula>
    </cfRule>
  </conditionalFormatting>
  <conditionalFormatting sqref="H6:H18">
    <cfRule type="cellIs" dxfId="1194" priority="13" stopIfTrue="1" operator="equal">
      <formula>0</formula>
    </cfRule>
  </conditionalFormatting>
  <conditionalFormatting sqref="J6:J18">
    <cfRule type="cellIs" dxfId="1193" priority="12" stopIfTrue="1" operator="equal">
      <formula>0</formula>
    </cfRule>
  </conditionalFormatting>
  <conditionalFormatting sqref="L6:L18">
    <cfRule type="cellIs" dxfId="1192" priority="11" stopIfTrue="1" operator="equal">
      <formula>0</formula>
    </cfRule>
  </conditionalFormatting>
  <conditionalFormatting sqref="N6:N18">
    <cfRule type="cellIs" dxfId="1191" priority="10" stopIfTrue="1" operator="equal">
      <formula>0</formula>
    </cfRule>
  </conditionalFormatting>
  <conditionalFormatting sqref="P6:P18">
    <cfRule type="cellIs" dxfId="1190" priority="9" stopIfTrue="1" operator="equal">
      <formula>0</formula>
    </cfRule>
  </conditionalFormatting>
  <conditionalFormatting sqref="C6:C18">
    <cfRule type="cellIs" dxfId="1189" priority="8" stopIfTrue="1" operator="equal">
      <formula>0</formula>
    </cfRule>
  </conditionalFormatting>
  <conditionalFormatting sqref="E6:E18">
    <cfRule type="cellIs" dxfId="1188" priority="7" stopIfTrue="1" operator="equal">
      <formula>0</formula>
    </cfRule>
  </conditionalFormatting>
  <conditionalFormatting sqref="G6:G18">
    <cfRule type="cellIs" dxfId="1187" priority="6" stopIfTrue="1" operator="equal">
      <formula>0</formula>
    </cfRule>
  </conditionalFormatting>
  <conditionalFormatting sqref="I6:I18">
    <cfRule type="cellIs" dxfId="1186" priority="5" stopIfTrue="1" operator="equal">
      <formula>0</formula>
    </cfRule>
  </conditionalFormatting>
  <conditionalFormatting sqref="K6:K18">
    <cfRule type="cellIs" dxfId="1185" priority="4" stopIfTrue="1" operator="equal">
      <formula>0</formula>
    </cfRule>
  </conditionalFormatting>
  <conditionalFormatting sqref="M6:M18">
    <cfRule type="cellIs" dxfId="1184" priority="3" stopIfTrue="1" operator="equal">
      <formula>0</formula>
    </cfRule>
  </conditionalFormatting>
  <conditionalFormatting sqref="O6:O18">
    <cfRule type="cellIs" dxfId="1183" priority="2" stopIfTrue="1" operator="equal">
      <formula>0</formula>
    </cfRule>
  </conditionalFormatting>
  <conditionalFormatting sqref="Q6:Q18">
    <cfRule type="cellIs" dxfId="118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7F0E-ED56-45F9-A73F-9EDB59CAC18C}">
  <dimension ref="A1:O20"/>
  <sheetViews>
    <sheetView zoomScale="104" zoomScaleNormal="107" workbookViewId="0">
      <selection activeCell="A3" sqref="A3"/>
    </sheetView>
  </sheetViews>
  <sheetFormatPr defaultColWidth="8.85546875" defaultRowHeight="12.75" x14ac:dyDescent="0.2"/>
  <cols>
    <col min="1" max="1" width="23.85546875" style="27" bestFit="1" customWidth="1"/>
    <col min="2" max="2" width="9" style="27" bestFit="1" customWidth="1"/>
    <col min="3" max="4" width="10.140625" style="27" customWidth="1"/>
    <col min="5" max="5" width="9.140625" style="27" bestFit="1" customWidth="1"/>
    <col min="6" max="6" width="10.42578125" style="27" customWidth="1"/>
    <col min="7" max="7" width="9.140625" style="27" bestFit="1" customWidth="1"/>
    <col min="8" max="8" width="8.42578125" style="27" customWidth="1"/>
    <col min="9" max="9" width="8.85546875" style="27" customWidth="1"/>
    <col min="10" max="10" width="9.85546875" style="27" customWidth="1"/>
    <col min="11" max="11" width="8.5703125" style="27" customWidth="1"/>
    <col min="12" max="12" width="8.85546875" style="27" bestFit="1" customWidth="1"/>
    <col min="13" max="13" width="8.140625" style="27" bestFit="1" customWidth="1"/>
    <col min="14" max="14" width="8.140625" style="27" customWidth="1"/>
    <col min="15" max="15" width="8.140625" style="27" bestFit="1" customWidth="1"/>
    <col min="16" max="16384" width="8.85546875" style="27"/>
  </cols>
  <sheetData>
    <row r="1" spans="1:1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 t="s">
        <v>32</v>
      </c>
    </row>
    <row r="3" spans="1:15" x14ac:dyDescent="0.2">
      <c r="A3" s="27" t="s">
        <v>589</v>
      </c>
    </row>
    <row r="4" spans="1:15" s="39" customFormat="1" ht="20.25" customHeight="1" x14ac:dyDescent="0.2">
      <c r="A4" s="123" t="s">
        <v>30</v>
      </c>
      <c r="B4" s="122" t="s">
        <v>138</v>
      </c>
      <c r="C4" s="122"/>
      <c r="D4" s="122" t="s">
        <v>139</v>
      </c>
      <c r="E4" s="122"/>
      <c r="F4" s="122" t="s">
        <v>140</v>
      </c>
      <c r="G4" s="122"/>
      <c r="H4" s="122" t="s">
        <v>141</v>
      </c>
      <c r="I4" s="122"/>
      <c r="J4" s="122" t="s">
        <v>142</v>
      </c>
      <c r="K4" s="122"/>
      <c r="L4" s="120" t="s">
        <v>143</v>
      </c>
      <c r="M4" s="120"/>
      <c r="N4" s="122" t="s">
        <v>144</v>
      </c>
      <c r="O4" s="122"/>
    </row>
    <row r="5" spans="1:15" s="39" customFormat="1" ht="37.5" customHeight="1" x14ac:dyDescent="0.2">
      <c r="A5" s="123"/>
      <c r="B5" s="34" t="s">
        <v>41</v>
      </c>
      <c r="C5" s="34" t="s">
        <v>21</v>
      </c>
      <c r="D5" s="34" t="s">
        <v>41</v>
      </c>
      <c r="E5" s="34" t="s">
        <v>21</v>
      </c>
      <c r="F5" s="34" t="s">
        <v>41</v>
      </c>
      <c r="G5" s="34" t="s">
        <v>21</v>
      </c>
      <c r="H5" s="34" t="s">
        <v>41</v>
      </c>
      <c r="I5" s="34" t="s">
        <v>21</v>
      </c>
      <c r="J5" s="34" t="s">
        <v>41</v>
      </c>
      <c r="K5" s="34" t="s">
        <v>21</v>
      </c>
      <c r="L5" s="34" t="s">
        <v>41</v>
      </c>
      <c r="M5" s="34" t="s">
        <v>21</v>
      </c>
      <c r="N5" s="34" t="s">
        <v>41</v>
      </c>
      <c r="O5" s="34" t="s">
        <v>21</v>
      </c>
    </row>
    <row r="6" spans="1:15" s="38" customFormat="1" ht="20.45" customHeight="1" x14ac:dyDescent="0.2">
      <c r="A6" s="69" t="s">
        <v>0</v>
      </c>
      <c r="B6" s="49">
        <v>11273.169678688049</v>
      </c>
      <c r="C6" s="50">
        <v>35.700418787907772</v>
      </c>
      <c r="D6" s="49">
        <v>11339.676924824715</v>
      </c>
      <c r="E6" s="50">
        <v>49.160661293935128</v>
      </c>
      <c r="F6" s="49">
        <v>14428.739552617073</v>
      </c>
      <c r="G6" s="50">
        <v>55.764861973747756</v>
      </c>
      <c r="H6" s="49">
        <v>1115.5834193229675</v>
      </c>
      <c r="I6" s="50">
        <v>3.2022961556382135</v>
      </c>
      <c r="J6" s="49">
        <v>827.42024993896484</v>
      </c>
      <c r="K6" s="50">
        <v>37.797519164722722</v>
      </c>
      <c r="L6" s="49">
        <v>8408.658595085144</v>
      </c>
      <c r="M6" s="50">
        <v>19.066487206210713</v>
      </c>
      <c r="N6" s="49">
        <v>399.52452850341797</v>
      </c>
      <c r="O6" s="50">
        <v>1.0522338412428307</v>
      </c>
    </row>
    <row r="7" spans="1:15" s="38" customFormat="1" ht="20.45" customHeight="1" x14ac:dyDescent="0.2">
      <c r="A7" s="29" t="s">
        <v>1</v>
      </c>
      <c r="B7" s="51">
        <v>786057.18832850456</v>
      </c>
      <c r="C7" s="52">
        <v>10748.821764013666</v>
      </c>
      <c r="D7" s="51">
        <v>1192494.6945261955</v>
      </c>
      <c r="E7" s="52">
        <v>15481.444384320228</v>
      </c>
      <c r="F7" s="51">
        <v>1241457.9474978447</v>
      </c>
      <c r="G7" s="52">
        <v>13359.223496453062</v>
      </c>
      <c r="H7" s="51">
        <v>330212.89208078384</v>
      </c>
      <c r="I7" s="52">
        <v>7402.2741327843587</v>
      </c>
      <c r="J7" s="51">
        <v>284536.93354678154</v>
      </c>
      <c r="K7" s="52">
        <v>4366.8497424119669</v>
      </c>
      <c r="L7" s="51">
        <v>428712.63563489914</v>
      </c>
      <c r="M7" s="52">
        <v>4738.7043128924279</v>
      </c>
      <c r="N7" s="51">
        <v>25493.06453025341</v>
      </c>
      <c r="O7" s="52">
        <v>594.44312035410906</v>
      </c>
    </row>
    <row r="8" spans="1:15" ht="20.45" customHeight="1" x14ac:dyDescent="0.2">
      <c r="A8" s="30" t="s">
        <v>2</v>
      </c>
      <c r="B8" s="53">
        <v>88551.622574090958</v>
      </c>
      <c r="C8" s="54">
        <v>499.06951115533968</v>
      </c>
      <c r="D8" s="53">
        <v>128816.51928591728</v>
      </c>
      <c r="E8" s="54">
        <v>892.35198078574183</v>
      </c>
      <c r="F8" s="53">
        <v>143815.60443234444</v>
      </c>
      <c r="G8" s="54">
        <v>898.3538630976783</v>
      </c>
      <c r="H8" s="53">
        <v>19416.634225130081</v>
      </c>
      <c r="I8" s="54">
        <v>109.47258993669733</v>
      </c>
      <c r="J8" s="53">
        <v>15971.592367649078</v>
      </c>
      <c r="K8" s="54">
        <v>85.338946194171584</v>
      </c>
      <c r="L8" s="53">
        <v>60638.873627662659</v>
      </c>
      <c r="M8" s="54">
        <v>248.50600611252864</v>
      </c>
      <c r="N8" s="53">
        <v>3003.773200750351</v>
      </c>
      <c r="O8" s="54">
        <v>18.214948610242846</v>
      </c>
    </row>
    <row r="9" spans="1:15" ht="20.45" customHeight="1" x14ac:dyDescent="0.2">
      <c r="A9" s="30" t="s">
        <v>3</v>
      </c>
      <c r="B9" s="53">
        <v>118349.67073118687</v>
      </c>
      <c r="C9" s="54">
        <v>981.40795975666219</v>
      </c>
      <c r="D9" s="53">
        <v>179633.44645953178</v>
      </c>
      <c r="E9" s="54">
        <v>1562.3425422420048</v>
      </c>
      <c r="F9" s="53">
        <v>191098.25914943218</v>
      </c>
      <c r="G9" s="54">
        <v>1572.1151671968857</v>
      </c>
      <c r="H9" s="53">
        <v>41025.297936916351</v>
      </c>
      <c r="I9" s="54">
        <v>435.00844956216804</v>
      </c>
      <c r="J9" s="53">
        <v>36127.539212226868</v>
      </c>
      <c r="K9" s="54">
        <v>328.05695214612814</v>
      </c>
      <c r="L9" s="53">
        <v>68750.993080258369</v>
      </c>
      <c r="M9" s="54">
        <v>661.7229444850401</v>
      </c>
      <c r="N9" s="53">
        <v>4269.6891989707947</v>
      </c>
      <c r="O9" s="54">
        <v>67.630451344860248</v>
      </c>
    </row>
    <row r="10" spans="1:15" ht="20.45" customHeight="1" x14ac:dyDescent="0.2">
      <c r="A10" s="30" t="s">
        <v>4</v>
      </c>
      <c r="B10" s="53">
        <v>271175.39583528042</v>
      </c>
      <c r="C10" s="54">
        <v>3016.0153865846669</v>
      </c>
      <c r="D10" s="53">
        <v>417948.68663549423</v>
      </c>
      <c r="E10" s="54">
        <v>4655.8740500466529</v>
      </c>
      <c r="F10" s="53">
        <v>430493.69439733028</v>
      </c>
      <c r="G10" s="54">
        <v>4138.7158062538128</v>
      </c>
      <c r="H10" s="53">
        <v>122181.70236372948</v>
      </c>
      <c r="I10" s="54">
        <v>1999.7904950569421</v>
      </c>
      <c r="J10" s="53">
        <v>107277.33701229095</v>
      </c>
      <c r="K10" s="54">
        <v>1234.2275456556888</v>
      </c>
      <c r="L10" s="53">
        <v>142331.78871917725</v>
      </c>
      <c r="M10" s="54">
        <v>1192.5518910613066</v>
      </c>
      <c r="N10" s="53">
        <v>7713.4802222251892</v>
      </c>
      <c r="O10" s="54">
        <v>191.86148598036428</v>
      </c>
    </row>
    <row r="11" spans="1:15" ht="20.45" customHeight="1" x14ac:dyDescent="0.2">
      <c r="A11" s="30" t="s">
        <v>5</v>
      </c>
      <c r="B11" s="53">
        <v>190657.95796465874</v>
      </c>
      <c r="C11" s="54">
        <v>3141.4087402068667</v>
      </c>
      <c r="D11" s="53">
        <v>292327.86648237705</v>
      </c>
      <c r="E11" s="54">
        <v>4540.222757685784</v>
      </c>
      <c r="F11" s="53">
        <v>298192.20246887207</v>
      </c>
      <c r="G11" s="54">
        <v>3753.7022991454232</v>
      </c>
      <c r="H11" s="53">
        <v>91716.521644353867</v>
      </c>
      <c r="I11" s="54">
        <v>2481.8720394822176</v>
      </c>
      <c r="J11" s="53">
        <v>79462.635967969894</v>
      </c>
      <c r="K11" s="54">
        <v>1370.4185000903483</v>
      </c>
      <c r="L11" s="53">
        <v>96652.439095377922</v>
      </c>
      <c r="M11" s="54">
        <v>1258.8653019308779</v>
      </c>
      <c r="N11" s="53">
        <v>6360.1841299533844</v>
      </c>
      <c r="O11" s="54">
        <v>169.8152285899609</v>
      </c>
    </row>
    <row r="12" spans="1:15" ht="20.45" customHeight="1" x14ac:dyDescent="0.2">
      <c r="A12" s="30" t="s">
        <v>6</v>
      </c>
      <c r="B12" s="53">
        <v>91387.201077580452</v>
      </c>
      <c r="C12" s="54">
        <v>2137.8628922519169</v>
      </c>
      <c r="D12" s="53">
        <v>137657.23247015476</v>
      </c>
      <c r="E12" s="54">
        <v>2675.0820754151487</v>
      </c>
      <c r="F12" s="53">
        <v>140024.82829093933</v>
      </c>
      <c r="G12" s="54">
        <v>2164.9770523121688</v>
      </c>
      <c r="H12" s="53">
        <v>45186.776473522186</v>
      </c>
      <c r="I12" s="54">
        <v>1737.9937750435352</v>
      </c>
      <c r="J12" s="53">
        <v>37258.313900470734</v>
      </c>
      <c r="K12" s="54">
        <v>872.48100519540003</v>
      </c>
      <c r="L12" s="53">
        <v>46623.076030015945</v>
      </c>
      <c r="M12" s="54">
        <v>923.39164813968557</v>
      </c>
      <c r="N12" s="53">
        <v>3119.9794987440109</v>
      </c>
      <c r="O12" s="54">
        <v>104.4089295488894</v>
      </c>
    </row>
    <row r="13" spans="1:15" ht="20.45" customHeight="1" x14ac:dyDescent="0.2">
      <c r="A13" s="30" t="s">
        <v>7</v>
      </c>
      <c r="B13" s="53">
        <v>17587.593721747398</v>
      </c>
      <c r="C13" s="54">
        <v>578.2529235102877</v>
      </c>
      <c r="D13" s="53">
        <v>25106.396308422089</v>
      </c>
      <c r="E13" s="54">
        <v>642.44593964482863</v>
      </c>
      <c r="F13" s="53">
        <v>26197.582264780998</v>
      </c>
      <c r="G13" s="54">
        <v>536.72937707043263</v>
      </c>
      <c r="H13" s="53">
        <v>7601.5500695705414</v>
      </c>
      <c r="I13" s="54">
        <v>418.62989893974634</v>
      </c>
      <c r="J13" s="53">
        <v>5910.5251111984253</v>
      </c>
      <c r="K13" s="54">
        <v>188.37402706468777</v>
      </c>
      <c r="L13" s="53">
        <v>8927.5236022472382</v>
      </c>
      <c r="M13" s="54">
        <v>236.54430636632745</v>
      </c>
      <c r="N13" s="53">
        <v>717.05914926528931</v>
      </c>
      <c r="O13" s="54">
        <v>32.771591102528106</v>
      </c>
    </row>
    <row r="14" spans="1:15" ht="20.45" customHeight="1" x14ac:dyDescent="0.2">
      <c r="A14" s="30" t="s">
        <v>8</v>
      </c>
      <c r="B14" s="53">
        <v>5436.791791677475</v>
      </c>
      <c r="C14" s="54">
        <v>235.89165893513032</v>
      </c>
      <c r="D14" s="53">
        <v>6795.0663423538208</v>
      </c>
      <c r="E14" s="54">
        <v>238.06995672768207</v>
      </c>
      <c r="F14" s="53">
        <v>7477.8052800893784</v>
      </c>
      <c r="G14" s="54">
        <v>170.78950242924719</v>
      </c>
      <c r="H14" s="53">
        <v>2079.5115532875061</v>
      </c>
      <c r="I14" s="54">
        <v>132.22316145500952</v>
      </c>
      <c r="J14" s="53">
        <v>1611.1341681480408</v>
      </c>
      <c r="K14" s="54">
        <v>122.96912888126523</v>
      </c>
      <c r="L14" s="53">
        <v>2783.1603741645813</v>
      </c>
      <c r="M14" s="54">
        <v>111.29133819417457</v>
      </c>
      <c r="N14" s="53">
        <v>218.12551927566528</v>
      </c>
      <c r="O14" s="54">
        <v>7.638692713423394</v>
      </c>
    </row>
    <row r="15" spans="1:15" ht="20.45" customHeight="1" x14ac:dyDescent="0.2">
      <c r="A15" s="30" t="s">
        <v>9</v>
      </c>
      <c r="B15" s="53">
        <v>1562.646514415741</v>
      </c>
      <c r="C15" s="54">
        <v>84.973090779072891</v>
      </c>
      <c r="D15" s="53">
        <v>2116.5684473514557</v>
      </c>
      <c r="E15" s="54">
        <v>96.729323824753365</v>
      </c>
      <c r="F15" s="53">
        <v>2338.2337238788605</v>
      </c>
      <c r="G15" s="54">
        <v>73.188033945308334</v>
      </c>
      <c r="H15" s="53">
        <v>561.69990825653076</v>
      </c>
      <c r="I15" s="54">
        <v>29.141637918073368</v>
      </c>
      <c r="J15" s="53">
        <v>544.73830080032349</v>
      </c>
      <c r="K15" s="54">
        <v>120.92856626364173</v>
      </c>
      <c r="L15" s="53">
        <v>1022.7277455329895</v>
      </c>
      <c r="M15" s="54">
        <v>32.426279889190226</v>
      </c>
      <c r="N15" s="53">
        <v>31.170857429504395</v>
      </c>
      <c r="O15" s="54">
        <v>0.37414500761560598</v>
      </c>
    </row>
    <row r="16" spans="1:15" ht="20.45" customHeight="1" x14ac:dyDescent="0.2">
      <c r="A16" s="30" t="s">
        <v>10</v>
      </c>
      <c r="B16" s="53">
        <v>1188.4513635635376</v>
      </c>
      <c r="C16" s="54">
        <v>61.380687524687922</v>
      </c>
      <c r="D16" s="53">
        <v>1868.2814650535583</v>
      </c>
      <c r="E16" s="54">
        <v>159.92741761118492</v>
      </c>
      <c r="F16" s="53">
        <v>1611.4957613945007</v>
      </c>
      <c r="G16" s="54">
        <v>39.551232332537936</v>
      </c>
      <c r="H16" s="53">
        <v>386.47195911407471</v>
      </c>
      <c r="I16" s="54">
        <v>30.811149704746867</v>
      </c>
      <c r="J16" s="53">
        <v>327.64282608032227</v>
      </c>
      <c r="K16" s="54">
        <v>34.270370603368065</v>
      </c>
      <c r="L16" s="53">
        <v>918.05399417877197</v>
      </c>
      <c r="M16" s="54">
        <v>69.636920264591879</v>
      </c>
      <c r="N16" s="53">
        <v>59.602753639221191</v>
      </c>
      <c r="O16" s="54">
        <v>1.7276474562241158</v>
      </c>
    </row>
    <row r="17" spans="1:15" ht="20.45" customHeight="1" x14ac:dyDescent="0.2">
      <c r="A17" s="30" t="s">
        <v>11</v>
      </c>
      <c r="B17" s="53">
        <v>159.85675430297852</v>
      </c>
      <c r="C17" s="54">
        <v>12.558913309158001</v>
      </c>
      <c r="D17" s="53">
        <v>224.63062953948975</v>
      </c>
      <c r="E17" s="54">
        <v>18.398340336253479</v>
      </c>
      <c r="F17" s="53">
        <v>208.24172878265381</v>
      </c>
      <c r="G17" s="54">
        <v>11.101162669599971</v>
      </c>
      <c r="H17" s="53">
        <v>56.72594690322876</v>
      </c>
      <c r="I17" s="54">
        <v>27.330935685236895</v>
      </c>
      <c r="J17" s="53">
        <v>45.474679946899414</v>
      </c>
      <c r="K17" s="54">
        <v>9.7847003172601745</v>
      </c>
      <c r="L17" s="53">
        <v>63.999366283416748</v>
      </c>
      <c r="M17" s="54">
        <v>3.7676764487004437</v>
      </c>
      <c r="N17" s="53">
        <v>0</v>
      </c>
      <c r="O17" s="54"/>
    </row>
    <row r="18" spans="1:15" s="38" customFormat="1" ht="20.45" customHeight="1" x14ac:dyDescent="0.2">
      <c r="A18" s="31" t="s">
        <v>12</v>
      </c>
      <c r="B18" s="25">
        <f>B6+B7</f>
        <v>797330.35800719261</v>
      </c>
      <c r="C18" s="26">
        <f t="shared" ref="C18:O18" si="0">C6+C7</f>
        <v>10784.522182801575</v>
      </c>
      <c r="D18" s="25">
        <f t="shared" si="0"/>
        <v>1203834.3714510202</v>
      </c>
      <c r="E18" s="26">
        <f t="shared" si="0"/>
        <v>15530.605045614164</v>
      </c>
      <c r="F18" s="25">
        <f t="shared" si="0"/>
        <v>1255886.6870504618</v>
      </c>
      <c r="G18" s="26">
        <f t="shared" si="0"/>
        <v>13414.98835842681</v>
      </c>
      <c r="H18" s="25">
        <f t="shared" si="0"/>
        <v>331328.47550010681</v>
      </c>
      <c r="I18" s="26">
        <f t="shared" si="0"/>
        <v>7405.4764289399973</v>
      </c>
      <c r="J18" s="25">
        <f t="shared" si="0"/>
        <v>285364.3537967205</v>
      </c>
      <c r="K18" s="26">
        <f t="shared" si="0"/>
        <v>4404.6472615766897</v>
      </c>
      <c r="L18" s="25">
        <f t="shared" si="0"/>
        <v>437121.29422998428</v>
      </c>
      <c r="M18" s="26">
        <f t="shared" si="0"/>
        <v>4757.7708000986386</v>
      </c>
      <c r="N18" s="25">
        <f t="shared" si="0"/>
        <v>25892.589058756828</v>
      </c>
      <c r="O18" s="26">
        <f t="shared" si="0"/>
        <v>595.49535419535187</v>
      </c>
    </row>
    <row r="20" spans="1:15" ht="12" customHeight="1" x14ac:dyDescent="0.2"/>
  </sheetData>
  <mergeCells count="9">
    <mergeCell ref="A1:O1"/>
    <mergeCell ref="A4:A5"/>
    <mergeCell ref="B4:C4"/>
    <mergeCell ref="D4:E4"/>
    <mergeCell ref="F4:G4"/>
    <mergeCell ref="H4:I4"/>
    <mergeCell ref="J4:K4"/>
    <mergeCell ref="L4:M4"/>
    <mergeCell ref="N4:O4"/>
  </mergeCells>
  <conditionalFormatting sqref="B6:B18">
    <cfRule type="cellIs" dxfId="1181" priority="14" stopIfTrue="1" operator="equal">
      <formula>0</formula>
    </cfRule>
  </conditionalFormatting>
  <conditionalFormatting sqref="D6:D18">
    <cfRule type="cellIs" dxfId="1180" priority="13" stopIfTrue="1" operator="equal">
      <formula>0</formula>
    </cfRule>
  </conditionalFormatting>
  <conditionalFormatting sqref="F6:F18">
    <cfRule type="cellIs" dxfId="1179" priority="12" stopIfTrue="1" operator="equal">
      <formula>0</formula>
    </cfRule>
  </conditionalFormatting>
  <conditionalFormatting sqref="H6:H18">
    <cfRule type="cellIs" dxfId="1178" priority="11" stopIfTrue="1" operator="equal">
      <formula>0</formula>
    </cfRule>
  </conditionalFormatting>
  <conditionalFormatting sqref="J6:J18">
    <cfRule type="cellIs" dxfId="1177" priority="10" stopIfTrue="1" operator="equal">
      <formula>0</formula>
    </cfRule>
  </conditionalFormatting>
  <conditionalFormatting sqref="L6:L18">
    <cfRule type="cellIs" dxfId="1176" priority="9" stopIfTrue="1" operator="equal">
      <formula>0</formula>
    </cfRule>
  </conditionalFormatting>
  <conditionalFormatting sqref="N6:N18">
    <cfRule type="cellIs" dxfId="1175" priority="8" stopIfTrue="1" operator="equal">
      <formula>0</formula>
    </cfRule>
  </conditionalFormatting>
  <conditionalFormatting sqref="C6:C18">
    <cfRule type="cellIs" dxfId="1174" priority="7" stopIfTrue="1" operator="equal">
      <formula>0</formula>
    </cfRule>
  </conditionalFormatting>
  <conditionalFormatting sqref="E6:E18">
    <cfRule type="cellIs" dxfId="1173" priority="6" stopIfTrue="1" operator="equal">
      <formula>0</formula>
    </cfRule>
  </conditionalFormatting>
  <conditionalFormatting sqref="G6:G18">
    <cfRule type="cellIs" dxfId="1172" priority="5" stopIfTrue="1" operator="equal">
      <formula>0</formula>
    </cfRule>
  </conditionalFormatting>
  <conditionalFormatting sqref="I6:I18">
    <cfRule type="cellIs" dxfId="1171" priority="4" stopIfTrue="1" operator="equal">
      <formula>0</formula>
    </cfRule>
  </conditionalFormatting>
  <conditionalFormatting sqref="K6:K18">
    <cfRule type="cellIs" dxfId="1170" priority="3" stopIfTrue="1" operator="equal">
      <formula>0</formula>
    </cfRule>
  </conditionalFormatting>
  <conditionalFormatting sqref="M6:M18">
    <cfRule type="cellIs" dxfId="1169" priority="2" stopIfTrue="1" operator="equal">
      <formula>0</formula>
    </cfRule>
  </conditionalFormatting>
  <conditionalFormatting sqref="O6:O18">
    <cfRule type="cellIs" dxfId="1168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9E54-6AA8-455B-B677-AAE1073B964E}">
  <dimension ref="A1:M20"/>
  <sheetViews>
    <sheetView zoomScale="95" zoomScaleNormal="100" workbookViewId="0">
      <selection activeCell="C19" sqref="C19"/>
    </sheetView>
  </sheetViews>
  <sheetFormatPr defaultColWidth="8.85546875" defaultRowHeight="12.75" x14ac:dyDescent="0.2"/>
  <cols>
    <col min="1" max="1" width="23.85546875" style="27" bestFit="1" customWidth="1"/>
    <col min="2" max="2" width="9.85546875" style="27" customWidth="1"/>
    <col min="3" max="3" width="10.42578125" style="27" customWidth="1"/>
    <col min="4" max="4" width="11.42578125" style="27" customWidth="1"/>
    <col min="5" max="5" width="10.140625" style="27" customWidth="1"/>
    <col min="6" max="6" width="10.42578125" style="27" customWidth="1"/>
    <col min="7" max="7" width="10.140625" style="27" customWidth="1"/>
    <col min="8" max="8" width="10.5703125" style="27" customWidth="1"/>
    <col min="9" max="9" width="10.42578125" style="27" customWidth="1"/>
    <col min="10" max="10" width="9" style="27" bestFit="1" customWidth="1"/>
    <col min="11" max="11" width="9.140625" style="27" bestFit="1" customWidth="1"/>
    <col min="12" max="13" width="9" style="27" bestFit="1" customWidth="1"/>
    <col min="14" max="16384" width="8.85546875" style="27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B2" s="28"/>
      <c r="C2" s="28"/>
      <c r="D2" s="28"/>
      <c r="E2" s="28"/>
      <c r="F2" s="28"/>
      <c r="G2" s="28"/>
      <c r="H2" s="28"/>
      <c r="I2" s="28"/>
      <c r="M2" s="28" t="s">
        <v>32</v>
      </c>
    </row>
    <row r="3" spans="1:13" ht="15.75" customHeight="1" x14ac:dyDescent="0.2">
      <c r="A3" s="27" t="s">
        <v>590</v>
      </c>
    </row>
    <row r="4" spans="1:13" ht="6" customHeight="1" x14ac:dyDescent="0.2"/>
    <row r="5" spans="1:13" s="39" customFormat="1" ht="28.7" customHeight="1" x14ac:dyDescent="0.2">
      <c r="A5" s="123" t="s">
        <v>30</v>
      </c>
      <c r="B5" s="122" t="s">
        <v>145</v>
      </c>
      <c r="C5" s="122"/>
      <c r="D5" s="122" t="s">
        <v>146</v>
      </c>
      <c r="E5" s="122"/>
      <c r="F5" s="122" t="s">
        <v>147</v>
      </c>
      <c r="G5" s="122"/>
      <c r="H5" s="122" t="s">
        <v>506</v>
      </c>
      <c r="I5" s="122"/>
      <c r="J5" s="151" t="s">
        <v>601</v>
      </c>
      <c r="K5" s="151"/>
      <c r="L5" s="120" t="s">
        <v>148</v>
      </c>
      <c r="M5" s="120"/>
    </row>
    <row r="6" spans="1:13" s="39" customFormat="1" ht="30.75" customHeight="1" x14ac:dyDescent="0.2">
      <c r="A6" s="123"/>
      <c r="B6" s="34" t="s">
        <v>41</v>
      </c>
      <c r="C6" s="34" t="s">
        <v>21</v>
      </c>
      <c r="D6" s="34" t="s">
        <v>41</v>
      </c>
      <c r="E6" s="34" t="s">
        <v>21</v>
      </c>
      <c r="F6" s="34" t="s">
        <v>41</v>
      </c>
      <c r="G6" s="34" t="s">
        <v>21</v>
      </c>
      <c r="H6" s="34" t="s">
        <v>41</v>
      </c>
      <c r="I6" s="34" t="s">
        <v>21</v>
      </c>
      <c r="J6" s="34" t="s">
        <v>41</v>
      </c>
      <c r="K6" s="34" t="s">
        <v>21</v>
      </c>
      <c r="L6" s="34" t="s">
        <v>41</v>
      </c>
      <c r="M6" s="34" t="s">
        <v>21</v>
      </c>
    </row>
    <row r="7" spans="1:13" s="38" customFormat="1" ht="20.45" customHeight="1" x14ac:dyDescent="0.2">
      <c r="A7" s="69" t="s">
        <v>0</v>
      </c>
      <c r="B7" s="49">
        <v>6774.4098261594772</v>
      </c>
      <c r="C7" s="50">
        <v>27.393177430128173</v>
      </c>
      <c r="D7" s="49">
        <v>3714.4004083871841</v>
      </c>
      <c r="E7" s="50">
        <v>10.185105852114967</v>
      </c>
      <c r="F7" s="49">
        <v>4662.9478101730347</v>
      </c>
      <c r="G7" s="50">
        <v>20.514101905164246</v>
      </c>
      <c r="H7" s="49">
        <v>28306.449120283127</v>
      </c>
      <c r="I7" s="50">
        <v>287.16886096130474</v>
      </c>
      <c r="J7" s="49">
        <v>766.84027290344238</v>
      </c>
      <c r="K7" s="50">
        <v>6.8723473481856807</v>
      </c>
      <c r="L7" s="49">
        <v>1561.0806345939636</v>
      </c>
      <c r="M7" s="50">
        <v>8.8093557840838468</v>
      </c>
    </row>
    <row r="8" spans="1:13" s="38" customFormat="1" ht="20.45" customHeight="1" x14ac:dyDescent="0.2">
      <c r="A8" s="29" t="s">
        <v>1</v>
      </c>
      <c r="B8" s="51">
        <v>616345.06023776531</v>
      </c>
      <c r="C8" s="52">
        <v>15096.644482442422</v>
      </c>
      <c r="D8" s="51">
        <v>475150.44534349442</v>
      </c>
      <c r="E8" s="52">
        <v>8924.9225648024858</v>
      </c>
      <c r="F8" s="51">
        <v>419429.83747971058</v>
      </c>
      <c r="G8" s="52">
        <v>10908.091866117138</v>
      </c>
      <c r="H8" s="51">
        <v>1777058.1237860918</v>
      </c>
      <c r="I8" s="52">
        <v>72458.854958319338</v>
      </c>
      <c r="J8" s="51">
        <v>175673.26443243027</v>
      </c>
      <c r="K8" s="52">
        <v>16429.41176568202</v>
      </c>
      <c r="L8" s="51">
        <v>26652.544518470764</v>
      </c>
      <c r="M8" s="52">
        <v>2217.343382837963</v>
      </c>
    </row>
    <row r="9" spans="1:13" ht="20.45" customHeight="1" x14ac:dyDescent="0.2">
      <c r="A9" s="30" t="s">
        <v>2</v>
      </c>
      <c r="B9" s="53">
        <v>79412.5479824543</v>
      </c>
      <c r="C9" s="54">
        <v>610.91954966183516</v>
      </c>
      <c r="D9" s="53">
        <v>57856.626409292221</v>
      </c>
      <c r="E9" s="54">
        <v>340.80666436749016</v>
      </c>
      <c r="F9" s="53">
        <v>51595.67268705368</v>
      </c>
      <c r="G9" s="54">
        <v>368.56148878580768</v>
      </c>
      <c r="H9" s="53">
        <v>233881.12672495842</v>
      </c>
      <c r="I9" s="54">
        <v>4596.4717718290385</v>
      </c>
      <c r="J9" s="53">
        <v>9895.1954920291901</v>
      </c>
      <c r="K9" s="54">
        <v>181.77412710898506</v>
      </c>
      <c r="L9" s="53">
        <v>3242.9079895019531</v>
      </c>
      <c r="M9" s="54">
        <v>54.758552210199994</v>
      </c>
    </row>
    <row r="10" spans="1:13" ht="20.45" customHeight="1" x14ac:dyDescent="0.2">
      <c r="A10" s="30" t="s">
        <v>3</v>
      </c>
      <c r="B10" s="53">
        <v>91544.591329813004</v>
      </c>
      <c r="C10" s="54">
        <v>1136.0595013938723</v>
      </c>
      <c r="D10" s="53">
        <v>70936.204801440239</v>
      </c>
      <c r="E10" s="54">
        <v>735.45025479792764</v>
      </c>
      <c r="F10" s="53">
        <v>58128.892271995544</v>
      </c>
      <c r="G10" s="54">
        <v>833.1822624025823</v>
      </c>
      <c r="H10" s="53">
        <v>272427.445130229</v>
      </c>
      <c r="I10" s="54">
        <v>7013.3170252127302</v>
      </c>
      <c r="J10" s="53">
        <v>19514.280561327934</v>
      </c>
      <c r="K10" s="54">
        <v>658.22619488043722</v>
      </c>
      <c r="L10" s="53">
        <v>3288.043851852417</v>
      </c>
      <c r="M10" s="54">
        <v>116.72224454095821</v>
      </c>
    </row>
    <row r="11" spans="1:13" ht="20.45" customHeight="1" x14ac:dyDescent="0.2">
      <c r="A11" s="30" t="s">
        <v>4</v>
      </c>
      <c r="B11" s="53">
        <v>204618.91828131676</v>
      </c>
      <c r="C11" s="54">
        <v>4161.6066650450093</v>
      </c>
      <c r="D11" s="53">
        <v>163936.16183066368</v>
      </c>
      <c r="E11" s="54">
        <v>2486.4067153346441</v>
      </c>
      <c r="F11" s="53">
        <v>140608.82019734383</v>
      </c>
      <c r="G11" s="54">
        <v>3201.1186163067105</v>
      </c>
      <c r="H11" s="53">
        <v>600372.25617539883</v>
      </c>
      <c r="I11" s="54">
        <v>20498.474617327221</v>
      </c>
      <c r="J11" s="53">
        <v>55892.034706115723</v>
      </c>
      <c r="K11" s="54">
        <v>3403.9454036825009</v>
      </c>
      <c r="L11" s="53">
        <v>7929.9214169979095</v>
      </c>
      <c r="M11" s="54">
        <v>503.79442981582673</v>
      </c>
    </row>
    <row r="12" spans="1:13" ht="20.45" customHeight="1" x14ac:dyDescent="0.2">
      <c r="A12" s="30" t="s">
        <v>5</v>
      </c>
      <c r="B12" s="53">
        <v>144635.6215133667</v>
      </c>
      <c r="C12" s="54">
        <v>4530.3843165590697</v>
      </c>
      <c r="D12" s="53">
        <v>112056.1695908308</v>
      </c>
      <c r="E12" s="54">
        <v>2607.0745675319931</v>
      </c>
      <c r="F12" s="53">
        <v>104002.53601574898</v>
      </c>
      <c r="G12" s="54">
        <v>3290.1468966957505</v>
      </c>
      <c r="H12" s="53">
        <v>417579.93626511097</v>
      </c>
      <c r="I12" s="54">
        <v>20017.997346376396</v>
      </c>
      <c r="J12" s="53">
        <v>50956.739605307579</v>
      </c>
      <c r="K12" s="54">
        <v>4908.3075931832636</v>
      </c>
      <c r="L12" s="53">
        <v>6939.5206800699234</v>
      </c>
      <c r="M12" s="54">
        <v>730.90751280013785</v>
      </c>
    </row>
    <row r="13" spans="1:13" ht="20.45" customHeight="1" x14ac:dyDescent="0.2">
      <c r="A13" s="30" t="s">
        <v>6</v>
      </c>
      <c r="B13" s="53">
        <v>73947.913337111473</v>
      </c>
      <c r="C13" s="54">
        <v>3128.8642676374784</v>
      </c>
      <c r="D13" s="53">
        <v>54478.821051716805</v>
      </c>
      <c r="E13" s="54">
        <v>1883.9500857750913</v>
      </c>
      <c r="F13" s="53">
        <v>50921.085415482521</v>
      </c>
      <c r="G13" s="54">
        <v>2148.555431317774</v>
      </c>
      <c r="H13" s="53">
        <v>197601.17521417141</v>
      </c>
      <c r="I13" s="54">
        <v>13303.129008565535</v>
      </c>
      <c r="J13" s="53">
        <v>30227.911415815353</v>
      </c>
      <c r="K13" s="54">
        <v>4703.4138904150705</v>
      </c>
      <c r="L13" s="53">
        <v>3908.7100720405579</v>
      </c>
      <c r="M13" s="54">
        <v>534.08995346778659</v>
      </c>
    </row>
    <row r="14" spans="1:13" ht="20.45" customHeight="1" x14ac:dyDescent="0.2">
      <c r="A14" s="30" t="s">
        <v>7</v>
      </c>
      <c r="B14" s="53">
        <v>14761.530679583549</v>
      </c>
      <c r="C14" s="54">
        <v>780.72704369012797</v>
      </c>
      <c r="D14" s="53">
        <v>10852.696091890335</v>
      </c>
      <c r="E14" s="54">
        <v>403.70308231511478</v>
      </c>
      <c r="F14" s="53">
        <v>9359.0276489257813</v>
      </c>
      <c r="G14" s="54">
        <v>609.64363530590481</v>
      </c>
      <c r="H14" s="53">
        <v>37337.77531671524</v>
      </c>
      <c r="I14" s="54">
        <v>3693.1805547270433</v>
      </c>
      <c r="J14" s="53">
        <v>6016.4959185123444</v>
      </c>
      <c r="K14" s="54">
        <v>1271.6640461220884</v>
      </c>
      <c r="L14" s="53">
        <v>842.21382582187653</v>
      </c>
      <c r="M14" s="54">
        <v>154.52846738491729</v>
      </c>
    </row>
    <row r="15" spans="1:13" ht="20.45" customHeight="1" x14ac:dyDescent="0.2">
      <c r="A15" s="30" t="s">
        <v>8</v>
      </c>
      <c r="B15" s="53">
        <v>4370.6141237020493</v>
      </c>
      <c r="C15" s="54">
        <v>418.84227547912195</v>
      </c>
      <c r="D15" s="53">
        <v>3093.8220156431198</v>
      </c>
      <c r="E15" s="54">
        <v>251.90362439798449</v>
      </c>
      <c r="F15" s="53">
        <v>2803.1007122993469</v>
      </c>
      <c r="G15" s="54">
        <v>216.42948894516121</v>
      </c>
      <c r="H15" s="53">
        <v>11404.729578852654</v>
      </c>
      <c r="I15" s="54">
        <v>1714.1707675424304</v>
      </c>
      <c r="J15" s="53">
        <v>1836.6159605979919</v>
      </c>
      <c r="K15" s="54">
        <v>498.17067222387158</v>
      </c>
      <c r="L15" s="53">
        <v>337.68776988983154</v>
      </c>
      <c r="M15" s="54">
        <v>96.971514474602557</v>
      </c>
    </row>
    <row r="16" spans="1:13" ht="20.45" customHeight="1" x14ac:dyDescent="0.2">
      <c r="A16" s="30" t="s">
        <v>9</v>
      </c>
      <c r="B16" s="53">
        <v>1466.4523019790649</v>
      </c>
      <c r="C16" s="54">
        <v>148.758868522656</v>
      </c>
      <c r="D16" s="53">
        <v>1044.6919059753418</v>
      </c>
      <c r="E16" s="54">
        <v>90.198407862273044</v>
      </c>
      <c r="F16" s="53">
        <v>965.22555780410767</v>
      </c>
      <c r="G16" s="54">
        <v>114.22708304349307</v>
      </c>
      <c r="H16" s="53">
        <v>3331.5113670825958</v>
      </c>
      <c r="I16" s="54">
        <v>687.3890717971359</v>
      </c>
      <c r="J16" s="53">
        <v>782.60864019393921</v>
      </c>
      <c r="K16" s="54">
        <v>302.75615634741257</v>
      </c>
      <c r="L16" s="53">
        <v>87.591653823852539</v>
      </c>
      <c r="M16" s="54">
        <v>18.048302345401087</v>
      </c>
    </row>
    <row r="17" spans="1:13" ht="20.45" customHeight="1" x14ac:dyDescent="0.2">
      <c r="A17" s="30" t="s">
        <v>10</v>
      </c>
      <c r="B17" s="53">
        <v>1408.3513398170471</v>
      </c>
      <c r="C17" s="54">
        <v>147.94424914726869</v>
      </c>
      <c r="D17" s="53">
        <v>795.86850881576538</v>
      </c>
      <c r="E17" s="54">
        <v>106.25790777062804</v>
      </c>
      <c r="F17" s="53">
        <v>905.09348440170288</v>
      </c>
      <c r="G17" s="54">
        <v>119.24877039805823</v>
      </c>
      <c r="H17" s="53">
        <v>2769.6970715522766</v>
      </c>
      <c r="I17" s="54">
        <v>892.27114357744438</v>
      </c>
      <c r="J17" s="53">
        <v>435.81989908218384</v>
      </c>
      <c r="K17" s="54">
        <v>181.07796546231637</v>
      </c>
      <c r="L17" s="53">
        <v>75.947258472442627</v>
      </c>
      <c r="M17" s="54">
        <v>7.5224057981329819</v>
      </c>
    </row>
    <row r="18" spans="1:13" ht="20.45" customHeight="1" x14ac:dyDescent="0.2">
      <c r="A18" s="30" t="s">
        <v>11</v>
      </c>
      <c r="B18" s="53">
        <v>178.51934862136841</v>
      </c>
      <c r="C18" s="54">
        <v>32.537745305857932</v>
      </c>
      <c r="D18" s="53">
        <v>99.383137226104736</v>
      </c>
      <c r="E18" s="54">
        <v>19.171254649332457</v>
      </c>
      <c r="F18" s="53">
        <v>140.38348865509033</v>
      </c>
      <c r="G18" s="54">
        <v>6.9781929159355292</v>
      </c>
      <c r="H18" s="53">
        <v>352.47094202041626</v>
      </c>
      <c r="I18" s="54">
        <v>42.453651365330693</v>
      </c>
      <c r="J18" s="53">
        <v>115.56223344802856</v>
      </c>
      <c r="K18" s="54">
        <v>320.07571625608233</v>
      </c>
      <c r="L18" s="53">
        <v>0</v>
      </c>
      <c r="M18" s="54"/>
    </row>
    <row r="19" spans="1:13" s="38" customFormat="1" ht="20.45" customHeight="1" x14ac:dyDescent="0.2">
      <c r="A19" s="31" t="s">
        <v>12</v>
      </c>
      <c r="B19" s="25">
        <f>B7+B8</f>
        <v>623119.47006392479</v>
      </c>
      <c r="C19" s="26">
        <f t="shared" ref="C19:M19" si="0">C7+C8</f>
        <v>15124.037659872551</v>
      </c>
      <c r="D19" s="25">
        <f t="shared" si="0"/>
        <v>478864.8457518816</v>
      </c>
      <c r="E19" s="26">
        <f t="shared" si="0"/>
        <v>8935.107670654601</v>
      </c>
      <c r="F19" s="25">
        <f t="shared" si="0"/>
        <v>424092.78528988361</v>
      </c>
      <c r="G19" s="26">
        <f t="shared" si="0"/>
        <v>10928.605968022302</v>
      </c>
      <c r="H19" s="25">
        <f t="shared" si="0"/>
        <v>1805364.5729063749</v>
      </c>
      <c r="I19" s="26">
        <f t="shared" si="0"/>
        <v>72746.023819280643</v>
      </c>
      <c r="J19" s="25">
        <f t="shared" si="0"/>
        <v>176440.10470533371</v>
      </c>
      <c r="K19" s="26">
        <f t="shared" si="0"/>
        <v>16436.284113030204</v>
      </c>
      <c r="L19" s="25">
        <f t="shared" si="0"/>
        <v>28213.625153064728</v>
      </c>
      <c r="M19" s="26">
        <f t="shared" si="0"/>
        <v>2226.1527386220469</v>
      </c>
    </row>
    <row r="20" spans="1:13" ht="12" customHeight="1" x14ac:dyDescent="0.2"/>
  </sheetData>
  <mergeCells count="8">
    <mergeCell ref="A1:M1"/>
    <mergeCell ref="A5:A6"/>
    <mergeCell ref="B5:C5"/>
    <mergeCell ref="D5:E5"/>
    <mergeCell ref="F5:G5"/>
    <mergeCell ref="H5:I5"/>
    <mergeCell ref="J5:K5"/>
    <mergeCell ref="L5:M5"/>
  </mergeCells>
  <conditionalFormatting sqref="B7:B19">
    <cfRule type="cellIs" dxfId="1167" priority="12" stopIfTrue="1" operator="equal">
      <formula>0</formula>
    </cfRule>
  </conditionalFormatting>
  <conditionalFormatting sqref="D7:D19">
    <cfRule type="cellIs" dxfId="1166" priority="11" stopIfTrue="1" operator="equal">
      <formula>0</formula>
    </cfRule>
  </conditionalFormatting>
  <conditionalFormatting sqref="F7:F19">
    <cfRule type="cellIs" dxfId="1165" priority="10" stopIfTrue="1" operator="equal">
      <formula>0</formula>
    </cfRule>
  </conditionalFormatting>
  <conditionalFormatting sqref="H7:H19">
    <cfRule type="cellIs" dxfId="1164" priority="9" stopIfTrue="1" operator="equal">
      <formula>0</formula>
    </cfRule>
  </conditionalFormatting>
  <conditionalFormatting sqref="J7:J19">
    <cfRule type="cellIs" dxfId="1163" priority="8" stopIfTrue="1" operator="equal">
      <formula>0</formula>
    </cfRule>
  </conditionalFormatting>
  <conditionalFormatting sqref="L7:L19">
    <cfRule type="cellIs" dxfId="1162" priority="7" stopIfTrue="1" operator="equal">
      <formula>0</formula>
    </cfRule>
  </conditionalFormatting>
  <conditionalFormatting sqref="C7:C19">
    <cfRule type="cellIs" dxfId="1161" priority="6" stopIfTrue="1" operator="equal">
      <formula>0</formula>
    </cfRule>
  </conditionalFormatting>
  <conditionalFormatting sqref="E7:E19">
    <cfRule type="cellIs" dxfId="1160" priority="5" stopIfTrue="1" operator="equal">
      <formula>0</formula>
    </cfRule>
  </conditionalFormatting>
  <conditionalFormatting sqref="G7:G19">
    <cfRule type="cellIs" dxfId="1159" priority="4" stopIfTrue="1" operator="equal">
      <formula>0</formula>
    </cfRule>
  </conditionalFormatting>
  <conditionalFormatting sqref="I7:I19">
    <cfRule type="cellIs" dxfId="1158" priority="3" stopIfTrue="1" operator="equal">
      <formula>0</formula>
    </cfRule>
  </conditionalFormatting>
  <conditionalFormatting sqref="K7:K19">
    <cfRule type="cellIs" dxfId="1157" priority="2" stopIfTrue="1" operator="equal">
      <formula>0</formula>
    </cfRule>
  </conditionalFormatting>
  <conditionalFormatting sqref="M7:M19">
    <cfRule type="cellIs" dxfId="1156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0D9D-70BE-46C5-B886-43EC41D6CCCF}">
  <dimension ref="A1:M20"/>
  <sheetViews>
    <sheetView zoomScale="105" zoomScaleNormal="100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42578125" customWidth="1"/>
    <col min="3" max="3" width="12.140625" bestFit="1" customWidth="1"/>
    <col min="4" max="4" width="10" customWidth="1"/>
    <col min="5" max="5" width="11.42578125" customWidth="1"/>
    <col min="6" max="6" width="8.5703125" customWidth="1"/>
    <col min="7" max="7" width="10.42578125" customWidth="1"/>
    <col min="8" max="8" width="11.5703125" customWidth="1"/>
    <col min="9" max="9" width="9" customWidth="1"/>
    <col min="10" max="10" width="9.140625" customWidth="1"/>
    <col min="11" max="11" width="11.5703125" customWidth="1"/>
    <col min="12" max="12" width="11.42578125" customWidth="1"/>
    <col min="13" max="13" width="13.140625" customWidth="1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7"/>
      <c r="M2" s="28" t="s">
        <v>32</v>
      </c>
    </row>
    <row r="3" spans="1:13" x14ac:dyDescent="0.2">
      <c r="A3" s="27" t="s">
        <v>149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x14ac:dyDescent="0.2">
      <c r="A4" s="123" t="s">
        <v>30</v>
      </c>
      <c r="B4" s="122" t="s">
        <v>47</v>
      </c>
      <c r="C4" s="122"/>
      <c r="D4" s="142" t="s">
        <v>150</v>
      </c>
      <c r="E4" s="142"/>
      <c r="F4" s="142"/>
      <c r="G4" s="142"/>
      <c r="H4" s="142"/>
      <c r="I4" s="142"/>
      <c r="J4" s="142"/>
      <c r="K4" s="142"/>
      <c r="L4" s="142"/>
      <c r="M4" s="142"/>
    </row>
    <row r="5" spans="1:13" s="7" customFormat="1" ht="24.6" customHeight="1" x14ac:dyDescent="0.2">
      <c r="A5" s="123"/>
      <c r="B5" s="122"/>
      <c r="C5" s="122"/>
      <c r="D5" s="121" t="s">
        <v>80</v>
      </c>
      <c r="E5" s="121" t="s">
        <v>151</v>
      </c>
      <c r="F5" s="122" t="s">
        <v>152</v>
      </c>
      <c r="G5" s="122"/>
      <c r="H5" s="122"/>
      <c r="I5" s="122"/>
      <c r="J5" s="122"/>
      <c r="K5" s="122"/>
      <c r="L5" s="152" t="s">
        <v>153</v>
      </c>
      <c r="M5" s="153"/>
    </row>
    <row r="6" spans="1:13" s="7" customFormat="1" ht="21.6" customHeight="1" x14ac:dyDescent="0.2">
      <c r="A6" s="123"/>
      <c r="B6" s="121" t="s">
        <v>41</v>
      </c>
      <c r="C6" s="121" t="s">
        <v>21</v>
      </c>
      <c r="D6" s="121"/>
      <c r="E6" s="121"/>
      <c r="F6" s="122" t="s">
        <v>154</v>
      </c>
      <c r="G6" s="122"/>
      <c r="H6" s="122"/>
      <c r="I6" s="122" t="s">
        <v>155</v>
      </c>
      <c r="J6" s="122"/>
      <c r="K6" s="122"/>
      <c r="L6" s="126" t="s">
        <v>154</v>
      </c>
      <c r="M6" s="154" t="s">
        <v>155</v>
      </c>
    </row>
    <row r="7" spans="1:13" s="7" customFormat="1" ht="37.35" customHeight="1" x14ac:dyDescent="0.2">
      <c r="A7" s="123"/>
      <c r="B7" s="121"/>
      <c r="C7" s="121"/>
      <c r="D7" s="121"/>
      <c r="E7" s="121"/>
      <c r="F7" s="34" t="s">
        <v>41</v>
      </c>
      <c r="G7" s="34" t="s">
        <v>21</v>
      </c>
      <c r="H7" s="34" t="s">
        <v>156</v>
      </c>
      <c r="I7" s="34" t="s">
        <v>41</v>
      </c>
      <c r="J7" s="34" t="s">
        <v>21</v>
      </c>
      <c r="K7" s="34" t="s">
        <v>156</v>
      </c>
      <c r="L7" s="149"/>
      <c r="M7" s="155"/>
    </row>
    <row r="8" spans="1:13" s="6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37038.876400589943</v>
      </c>
      <c r="E8" s="50">
        <v>12.906687915107439</v>
      </c>
      <c r="F8" s="49">
        <v>1637.8962621688843</v>
      </c>
      <c r="G8" s="50">
        <v>8.2623133398456474</v>
      </c>
      <c r="H8" s="49">
        <v>15350.918742656686</v>
      </c>
      <c r="I8" s="49">
        <v>889.45810127258301</v>
      </c>
      <c r="J8" s="50">
        <v>4.6443745752618062</v>
      </c>
      <c r="K8" s="49">
        <v>4452.8164963722238</v>
      </c>
      <c r="L8" s="49">
        <v>165643.46656191329</v>
      </c>
      <c r="M8" s="49">
        <v>109860.40852892389</v>
      </c>
    </row>
    <row r="9" spans="1:13" s="6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2463418.6736795902</v>
      </c>
      <c r="E9" s="52">
        <v>145349.99409578406</v>
      </c>
      <c r="F9" s="51">
        <v>674322.89951574802</v>
      </c>
      <c r="G9" s="52">
        <v>69009.318757620335</v>
      </c>
      <c r="H9" s="51">
        <v>28527794.058482096</v>
      </c>
      <c r="I9" s="51">
        <v>589970.38853085041</v>
      </c>
      <c r="J9" s="52">
        <v>76340.675338164554</v>
      </c>
      <c r="K9" s="51">
        <v>21112931.156938169</v>
      </c>
      <c r="L9" s="51">
        <v>23489772.002396856</v>
      </c>
      <c r="M9" s="51">
        <v>11862905.408040971</v>
      </c>
    </row>
    <row r="10" spans="1:13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202607.4125430584</v>
      </c>
      <c r="E10" s="54">
        <v>523.88390435898737</v>
      </c>
      <c r="F10" s="53">
        <v>25549.302850246429</v>
      </c>
      <c r="G10" s="54">
        <v>335.68835988482743</v>
      </c>
      <c r="H10" s="53">
        <v>373948.11587655504</v>
      </c>
      <c r="I10" s="53">
        <v>14884.88652908802</v>
      </c>
      <c r="J10" s="54">
        <v>188.19554447416093</v>
      </c>
      <c r="K10" s="53">
        <v>233356.42356085678</v>
      </c>
      <c r="L10" s="53">
        <v>886668.19667124865</v>
      </c>
      <c r="M10" s="53">
        <v>466484.42535686551</v>
      </c>
    </row>
    <row r="11" spans="1:13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350870.41223526001</v>
      </c>
      <c r="E11" s="54">
        <v>3030.3549978110927</v>
      </c>
      <c r="F11" s="53">
        <v>64124.390602827072</v>
      </c>
      <c r="G11" s="54">
        <v>1550.9444213297991</v>
      </c>
      <c r="H11" s="53">
        <v>1367702.61368835</v>
      </c>
      <c r="I11" s="53">
        <v>51148.270458102226</v>
      </c>
      <c r="J11" s="54">
        <v>1479.4105764813141</v>
      </c>
      <c r="K11" s="53">
        <v>903901.57442092837</v>
      </c>
      <c r="L11" s="53">
        <v>2253240.3362359907</v>
      </c>
      <c r="M11" s="53">
        <v>1103093.1668056219</v>
      </c>
    </row>
    <row r="12" spans="1:13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873420.7468829155</v>
      </c>
      <c r="E12" s="54">
        <v>21772.022426224768</v>
      </c>
      <c r="F12" s="53">
        <v>217542.49735474586</v>
      </c>
      <c r="G12" s="54">
        <v>9582.739363185452</v>
      </c>
      <c r="H12" s="53">
        <v>6702643.7329798276</v>
      </c>
      <c r="I12" s="53">
        <v>195340.01620841026</v>
      </c>
      <c r="J12" s="54">
        <v>12189.283063039455</v>
      </c>
      <c r="K12" s="53">
        <v>4705218.8363747029</v>
      </c>
      <c r="L12" s="53">
        <v>7544942.8137924215</v>
      </c>
      <c r="M12" s="53">
        <v>3734938.4926503855</v>
      </c>
    </row>
    <row r="13" spans="1:13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638559.89541387558</v>
      </c>
      <c r="E13" s="54">
        <v>39782.833371395122</v>
      </c>
      <c r="F13" s="53">
        <v>206199.87802779675</v>
      </c>
      <c r="G13" s="54">
        <v>17663.60199139822</v>
      </c>
      <c r="H13" s="53">
        <v>9137670.0964082461</v>
      </c>
      <c r="I13" s="53">
        <v>184902.96535396576</v>
      </c>
      <c r="J13" s="54">
        <v>22119.231379996796</v>
      </c>
      <c r="K13" s="53">
        <v>6270468.6818857109</v>
      </c>
      <c r="L13" s="53">
        <v>6961317.9756249748</v>
      </c>
      <c r="M13" s="53">
        <v>3548528.1908440171</v>
      </c>
    </row>
    <row r="14" spans="1:13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307259.76061320305</v>
      </c>
      <c r="E14" s="54">
        <v>46710.699231291037</v>
      </c>
      <c r="F14" s="53">
        <v>119297.87869012356</v>
      </c>
      <c r="G14" s="54">
        <v>21102.007479592161</v>
      </c>
      <c r="H14" s="53">
        <v>6761987.0313804364</v>
      </c>
      <c r="I14" s="53">
        <v>109312.18043804169</v>
      </c>
      <c r="J14" s="54">
        <v>25608.691751698534</v>
      </c>
      <c r="K14" s="53">
        <v>6246928.1540880511</v>
      </c>
      <c r="L14" s="53">
        <v>4321069.5833227737</v>
      </c>
      <c r="M14" s="53">
        <v>2195788.9548586551</v>
      </c>
    </row>
    <row r="15" spans="1:13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60464.846325039864</v>
      </c>
      <c r="E15" s="54">
        <v>17351.764106533028</v>
      </c>
      <c r="F15" s="53">
        <v>26295.93124461174</v>
      </c>
      <c r="G15" s="54">
        <v>8861.0859937142322</v>
      </c>
      <c r="H15" s="53">
        <v>2245796.3449013173</v>
      </c>
      <c r="I15" s="53">
        <v>23076.043343186378</v>
      </c>
      <c r="J15" s="54">
        <v>8490.6781128188686</v>
      </c>
      <c r="K15" s="53">
        <v>1558333.4234724035</v>
      </c>
      <c r="L15" s="53">
        <v>988075.95513188897</v>
      </c>
      <c r="M15" s="53">
        <v>498797.31166910735</v>
      </c>
    </row>
    <row r="16" spans="1:13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18580.791818380356</v>
      </c>
      <c r="E16" s="54">
        <v>8099.459912830127</v>
      </c>
      <c r="F16" s="53">
        <v>9225.3483927249908</v>
      </c>
      <c r="G16" s="54">
        <v>4569.5099874107646</v>
      </c>
      <c r="H16" s="53">
        <v>864144.74481224921</v>
      </c>
      <c r="I16" s="53">
        <v>7168.4384142160416</v>
      </c>
      <c r="J16" s="54">
        <v>3529.9499254193665</v>
      </c>
      <c r="K16" s="53">
        <v>564932.06417822896</v>
      </c>
      <c r="L16" s="53">
        <v>306155.38943600625</v>
      </c>
      <c r="M16" s="53">
        <v>213496.10587728015</v>
      </c>
    </row>
    <row r="17" spans="1:13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5880.7804219722748</v>
      </c>
      <c r="E17" s="54">
        <v>3038.0406269059094</v>
      </c>
      <c r="F17" s="53">
        <v>2864.2202110290527</v>
      </c>
      <c r="G17" s="54">
        <v>1897.605061354378</v>
      </c>
      <c r="H17" s="53">
        <v>384016.68359279638</v>
      </c>
      <c r="I17" s="53">
        <v>2162.485728263855</v>
      </c>
      <c r="J17" s="54">
        <v>1140.4355655515308</v>
      </c>
      <c r="K17" s="53">
        <v>121133.72939825061</v>
      </c>
      <c r="L17" s="53">
        <v>93530.148739337907</v>
      </c>
      <c r="M17" s="53">
        <v>54624.137236118309</v>
      </c>
    </row>
    <row r="18" spans="1:13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5052.6694923639297</v>
      </c>
      <c r="E18" s="54">
        <v>3809.0930191400748</v>
      </c>
      <c r="F18" s="53">
        <v>2845.1397050619125</v>
      </c>
      <c r="G18" s="54">
        <v>2549.9989852837552</v>
      </c>
      <c r="H18" s="53">
        <v>465860.37745320814</v>
      </c>
      <c r="I18" s="53">
        <v>1775.0381523370743</v>
      </c>
      <c r="J18" s="54">
        <v>1259.0940338563189</v>
      </c>
      <c r="K18" s="53">
        <v>244143.99633562582</v>
      </c>
      <c r="L18" s="53">
        <v>103666.92045712472</v>
      </c>
      <c r="M18" s="53">
        <v>32648.761165380485</v>
      </c>
    </row>
    <row r="19" spans="1:13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721.35793352127075</v>
      </c>
      <c r="E19" s="54">
        <v>1231.842499294376</v>
      </c>
      <c r="F19" s="53">
        <v>378.31243658065796</v>
      </c>
      <c r="G19" s="54">
        <v>896.13711446643106</v>
      </c>
      <c r="H19" s="53">
        <v>224024.3173885346</v>
      </c>
      <c r="I19" s="53">
        <v>200.06390523910522</v>
      </c>
      <c r="J19" s="54">
        <v>335.70538482794473</v>
      </c>
      <c r="K19" s="53">
        <v>264514.27322387695</v>
      </c>
      <c r="L19" s="53">
        <v>31104.68298530579</v>
      </c>
      <c r="M19" s="53">
        <v>14505.86157751083</v>
      </c>
    </row>
    <row r="20" spans="1:13" s="6" customFormat="1" ht="20.45" customHeight="1" x14ac:dyDescent="0.2">
      <c r="A20" s="31" t="s">
        <v>12</v>
      </c>
      <c r="B20" s="25">
        <f>B8+B9</f>
        <v>4130789.1689232588</v>
      </c>
      <c r="C20" s="26">
        <f>C8+C9</f>
        <v>2218409.9185657408</v>
      </c>
      <c r="D20" s="25">
        <f t="shared" ref="D20:M20" si="0">D8+D9</f>
        <v>2500457.5500801802</v>
      </c>
      <c r="E20" s="26">
        <f t="shared" si="0"/>
        <v>145362.90078369918</v>
      </c>
      <c r="F20" s="25">
        <f t="shared" si="0"/>
        <v>675960.79577791691</v>
      </c>
      <c r="G20" s="26">
        <f t="shared" si="0"/>
        <v>69017.581070960179</v>
      </c>
      <c r="H20" s="25">
        <f t="shared" si="0"/>
        <v>28543144.977224752</v>
      </c>
      <c r="I20" s="25">
        <f t="shared" si="0"/>
        <v>590859.84663212299</v>
      </c>
      <c r="J20" s="26">
        <f t="shared" si="0"/>
        <v>76345.319712739816</v>
      </c>
      <c r="K20" s="25">
        <f t="shared" si="0"/>
        <v>21117383.973434541</v>
      </c>
      <c r="L20" s="25">
        <f t="shared" si="0"/>
        <v>23655415.468958769</v>
      </c>
      <c r="M20" s="25">
        <f t="shared" si="0"/>
        <v>11972765.816569895</v>
      </c>
    </row>
  </sheetData>
  <mergeCells count="14">
    <mergeCell ref="A1:M1"/>
    <mergeCell ref="A4:A7"/>
    <mergeCell ref="B4:C5"/>
    <mergeCell ref="D4:M4"/>
    <mergeCell ref="D5:D7"/>
    <mergeCell ref="E5:E7"/>
    <mergeCell ref="F5:K5"/>
    <mergeCell ref="L5:M5"/>
    <mergeCell ref="B6:B7"/>
    <mergeCell ref="C6:C7"/>
    <mergeCell ref="F6:H6"/>
    <mergeCell ref="I6:K6"/>
    <mergeCell ref="L6:L7"/>
    <mergeCell ref="M6:M7"/>
  </mergeCells>
  <conditionalFormatting sqref="B8:B20">
    <cfRule type="cellIs" dxfId="1155" priority="27" stopIfTrue="1" operator="equal">
      <formula>0</formula>
    </cfRule>
  </conditionalFormatting>
  <conditionalFormatting sqref="C8:C20 E8:E20 G8:G20 J8:J20">
    <cfRule type="cellIs" dxfId="1154" priority="26" stopIfTrue="1" operator="equal">
      <formula>0</formula>
    </cfRule>
  </conditionalFormatting>
  <conditionalFormatting sqref="D8:D20">
    <cfRule type="cellIs" dxfId="1153" priority="7" stopIfTrue="1" operator="equal">
      <formula>0</formula>
    </cfRule>
  </conditionalFormatting>
  <conditionalFormatting sqref="F8:F20">
    <cfRule type="cellIs" dxfId="1152" priority="6" stopIfTrue="1" operator="equal">
      <formula>0</formula>
    </cfRule>
  </conditionalFormatting>
  <conditionalFormatting sqref="H8:H20">
    <cfRule type="cellIs" dxfId="1151" priority="5" stopIfTrue="1" operator="equal">
      <formula>0</formula>
    </cfRule>
  </conditionalFormatting>
  <conditionalFormatting sqref="I8:I20">
    <cfRule type="cellIs" dxfId="1150" priority="4" stopIfTrue="1" operator="equal">
      <formula>0</formula>
    </cfRule>
  </conditionalFormatting>
  <conditionalFormatting sqref="K8:K20">
    <cfRule type="cellIs" dxfId="1149" priority="3" stopIfTrue="1" operator="equal">
      <formula>0</formula>
    </cfRule>
  </conditionalFormatting>
  <conditionalFormatting sqref="L8:L20">
    <cfRule type="cellIs" dxfId="1148" priority="2" stopIfTrue="1" operator="equal">
      <formula>0</formula>
    </cfRule>
  </conditionalFormatting>
  <conditionalFormatting sqref="M8:M20">
    <cfRule type="cellIs" dxfId="114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F7FF-B578-49F6-99B5-E7DF8DAFCDB0}">
  <dimension ref="A1:K20"/>
  <sheetViews>
    <sheetView zoomScale="104" zoomScaleNormal="100" workbookViewId="0">
      <selection activeCell="C19" sqref="C19"/>
    </sheetView>
  </sheetViews>
  <sheetFormatPr defaultRowHeight="12.75" x14ac:dyDescent="0.2"/>
  <cols>
    <col min="1" max="1" width="23.85546875" bestFit="1" customWidth="1"/>
    <col min="2" max="3" width="11.42578125" customWidth="1"/>
    <col min="4" max="4" width="9.42578125" customWidth="1"/>
    <col min="5" max="5" width="10.42578125" customWidth="1"/>
    <col min="6" max="6" width="12.5703125" customWidth="1"/>
    <col min="7" max="7" width="10.42578125" customWidth="1"/>
    <col min="8" max="8" width="9.5703125" customWidth="1"/>
    <col min="9" max="9" width="10.42578125" customWidth="1"/>
    <col min="10" max="10" width="12.5703125" customWidth="1"/>
    <col min="11" max="11" width="12.85546875" customWidth="1"/>
  </cols>
  <sheetData>
    <row r="1" spans="1:11" s="10" customFormat="1" ht="14.25" x14ac:dyDescent="0.2">
      <c r="A1" s="156" t="s">
        <v>34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161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123" t="s">
        <v>30</v>
      </c>
      <c r="B4" s="157" t="s">
        <v>157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4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2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1745.2014908790588</v>
      </c>
      <c r="C8" s="50">
        <v>0.10595094973325021</v>
      </c>
      <c r="D8" s="49">
        <v>21.117777824401855</v>
      </c>
      <c r="E8" s="50">
        <v>4.489361140586523E-2</v>
      </c>
      <c r="F8" s="49">
        <v>92.655045509338436</v>
      </c>
      <c r="G8" s="49">
        <v>20.506349086761475</v>
      </c>
      <c r="H8" s="50">
        <v>6.1057338327384747E-2</v>
      </c>
      <c r="I8" s="49">
        <v>197.04801845550494</v>
      </c>
      <c r="J8" s="49">
        <v>6782.3014159202639</v>
      </c>
      <c r="K8" s="49">
        <v>4117.5684900283904</v>
      </c>
    </row>
    <row r="9" spans="1:11" s="6" customFormat="1" ht="20.45" customHeight="1" x14ac:dyDescent="0.2">
      <c r="A9" s="29" t="s">
        <v>1</v>
      </c>
      <c r="B9" s="51">
        <v>361613.81122517586</v>
      </c>
      <c r="C9" s="52">
        <v>6545.1826523267464</v>
      </c>
      <c r="D9" s="51">
        <v>85853.318980932236</v>
      </c>
      <c r="E9" s="52">
        <v>4055.1483605135909</v>
      </c>
      <c r="F9" s="51">
        <v>2581551.7076149341</v>
      </c>
      <c r="G9" s="51">
        <v>54486.507637500763</v>
      </c>
      <c r="H9" s="52">
        <v>2490.0342918130059</v>
      </c>
      <c r="I9" s="51">
        <v>2238469.4020009213</v>
      </c>
      <c r="J9" s="51">
        <v>873100.17211472627</v>
      </c>
      <c r="K9" s="51">
        <v>884328.29911470052</v>
      </c>
    </row>
    <row r="10" spans="1:11" ht="20.45" customHeight="1" x14ac:dyDescent="0.2">
      <c r="A10" s="30" t="s">
        <v>2</v>
      </c>
      <c r="B10" s="53">
        <v>16764.723203420639</v>
      </c>
      <c r="C10" s="54">
        <v>30.012331406627016</v>
      </c>
      <c r="D10" s="53">
        <v>2383.2587180137634</v>
      </c>
      <c r="E10" s="54">
        <v>18.692867611426323</v>
      </c>
      <c r="F10" s="53">
        <v>18322.653007030458</v>
      </c>
      <c r="G10" s="53">
        <v>1049.588454246521</v>
      </c>
      <c r="H10" s="54">
        <v>11.319463795200701</v>
      </c>
      <c r="I10" s="53">
        <v>15588.746106147772</v>
      </c>
      <c r="J10" s="53">
        <v>28508.665089130369</v>
      </c>
      <c r="K10" s="53">
        <v>27575.851339340279</v>
      </c>
    </row>
    <row r="11" spans="1:11" ht="20.45" customHeight="1" x14ac:dyDescent="0.2">
      <c r="A11" s="30" t="s">
        <v>3</v>
      </c>
      <c r="B11" s="53">
        <v>48632.72377705574</v>
      </c>
      <c r="C11" s="54">
        <v>232.04379023831112</v>
      </c>
      <c r="D11" s="53">
        <v>8813.8424701690674</v>
      </c>
      <c r="E11" s="54">
        <v>151.77570520593579</v>
      </c>
      <c r="F11" s="53">
        <v>135649.89743566493</v>
      </c>
      <c r="G11" s="53">
        <v>4785.1640706062317</v>
      </c>
      <c r="H11" s="54">
        <v>80.268085032375723</v>
      </c>
      <c r="I11" s="53">
        <v>114157.29411935741</v>
      </c>
      <c r="J11" s="53">
        <v>98849.635802506687</v>
      </c>
      <c r="K11" s="53">
        <v>95602.35298275965</v>
      </c>
    </row>
    <row r="12" spans="1:11" ht="20.45" customHeight="1" x14ac:dyDescent="0.2">
      <c r="A12" s="30" t="s">
        <v>4</v>
      </c>
      <c r="B12" s="53">
        <v>139795.13389229774</v>
      </c>
      <c r="C12" s="54">
        <v>1506.5252569973431</v>
      </c>
      <c r="D12" s="53">
        <v>30602.116269826889</v>
      </c>
      <c r="E12" s="54">
        <v>907.52071110104987</v>
      </c>
      <c r="F12" s="53">
        <v>636954.12934542017</v>
      </c>
      <c r="G12" s="53">
        <v>19673.024827480316</v>
      </c>
      <c r="H12" s="54">
        <v>599.00454589629567</v>
      </c>
      <c r="I12" s="53">
        <v>596347.22056150064</v>
      </c>
      <c r="J12" s="53">
        <v>322326.0218775259</v>
      </c>
      <c r="K12" s="53">
        <v>333936.37288499036</v>
      </c>
    </row>
    <row r="13" spans="1:11" ht="20.45" customHeight="1" x14ac:dyDescent="0.2">
      <c r="A13" s="30" t="s">
        <v>5</v>
      </c>
      <c r="B13" s="53">
        <v>99720.428936719894</v>
      </c>
      <c r="C13" s="54">
        <v>2183.5565264620577</v>
      </c>
      <c r="D13" s="53">
        <v>26545.941478490829</v>
      </c>
      <c r="E13" s="54">
        <v>1404.8986963728973</v>
      </c>
      <c r="F13" s="53">
        <v>1019392.1277717338</v>
      </c>
      <c r="G13" s="53">
        <v>16495.707103013992</v>
      </c>
      <c r="H13" s="54">
        <v>778.65783008915093</v>
      </c>
      <c r="I13" s="53">
        <v>643974.62368011277</v>
      </c>
      <c r="J13" s="53">
        <v>260853.03089725855</v>
      </c>
      <c r="K13" s="53">
        <v>253317.9476597333</v>
      </c>
    </row>
    <row r="14" spans="1:11" ht="20.45" customHeight="1" x14ac:dyDescent="0.2">
      <c r="A14" s="30" t="s">
        <v>6</v>
      </c>
      <c r="B14" s="53">
        <v>46713.207429170609</v>
      </c>
      <c r="C14" s="54">
        <v>1887.9905356883926</v>
      </c>
      <c r="D14" s="53">
        <v>13957.739123344421</v>
      </c>
      <c r="E14" s="54">
        <v>1149.417805013406</v>
      </c>
      <c r="F14" s="53">
        <v>567712.67684566765</v>
      </c>
      <c r="G14" s="53">
        <v>10305.530198335648</v>
      </c>
      <c r="H14" s="54">
        <v>738.57273067499557</v>
      </c>
      <c r="I14" s="53">
        <v>641221.26852846716</v>
      </c>
      <c r="J14" s="53">
        <v>126282.38913464542</v>
      </c>
      <c r="K14" s="53">
        <v>136910.21475744227</v>
      </c>
    </row>
    <row r="15" spans="1:11" ht="20.45" customHeight="1" x14ac:dyDescent="0.2">
      <c r="A15" s="30" t="s">
        <v>7</v>
      </c>
      <c r="B15" s="53">
        <v>7230.454861164093</v>
      </c>
      <c r="C15" s="54">
        <v>399.32032393365171</v>
      </c>
      <c r="D15" s="53">
        <v>2494.1236517429352</v>
      </c>
      <c r="E15" s="54">
        <v>244.65676639519646</v>
      </c>
      <c r="F15" s="53">
        <v>132318.13316535935</v>
      </c>
      <c r="G15" s="53">
        <v>1470.6671276092529</v>
      </c>
      <c r="H15" s="54">
        <v>154.66355753845616</v>
      </c>
      <c r="I15" s="53">
        <v>158077.04309415809</v>
      </c>
      <c r="J15" s="53">
        <v>24454.172270774889</v>
      </c>
      <c r="K15" s="53">
        <v>25161.785862684181</v>
      </c>
    </row>
    <row r="16" spans="1:11" ht="20.45" customHeight="1" x14ac:dyDescent="0.2">
      <c r="A16" s="30" t="s">
        <v>8</v>
      </c>
      <c r="B16" s="53">
        <v>1843.471227645874</v>
      </c>
      <c r="C16" s="54">
        <v>232.11278866753551</v>
      </c>
      <c r="D16" s="53">
        <v>684.63282537460327</v>
      </c>
      <c r="E16" s="54">
        <v>116.83502867702657</v>
      </c>
      <c r="F16" s="53">
        <v>45276.359044075049</v>
      </c>
      <c r="G16" s="53">
        <v>478.91226720809937</v>
      </c>
      <c r="H16" s="54">
        <v>115.27775999050944</v>
      </c>
      <c r="I16" s="53">
        <v>65910.303179740906</v>
      </c>
      <c r="J16" s="53">
        <v>7299.7108211517334</v>
      </c>
      <c r="K16" s="53">
        <v>8838.7360343932996</v>
      </c>
    </row>
    <row r="17" spans="1:11" ht="20.45" customHeight="1" x14ac:dyDescent="0.2">
      <c r="A17" s="30" t="s">
        <v>9</v>
      </c>
      <c r="B17" s="53">
        <v>553.84001064300537</v>
      </c>
      <c r="C17" s="54">
        <v>47.729302025514819</v>
      </c>
      <c r="D17" s="53">
        <v>247.93260049819946</v>
      </c>
      <c r="E17" s="54">
        <v>37.379609567225742</v>
      </c>
      <c r="F17" s="53">
        <v>19093.287321567546</v>
      </c>
      <c r="G17" s="53">
        <v>163.31530618667603</v>
      </c>
      <c r="H17" s="54">
        <v>10.349692458289052</v>
      </c>
      <c r="I17" s="53">
        <v>2267.637854099271</v>
      </c>
      <c r="J17" s="53">
        <v>1454.78722858429</v>
      </c>
      <c r="K17" s="53">
        <v>1100.230907440186</v>
      </c>
    </row>
    <row r="18" spans="1:11" ht="20.45" customHeight="1" x14ac:dyDescent="0.2">
      <c r="A18" s="30" t="s">
        <v>10</v>
      </c>
      <c r="B18" s="53">
        <v>336.36301612854004</v>
      </c>
      <c r="C18" s="54">
        <v>25.079496873633072</v>
      </c>
      <c r="D18" s="53">
        <v>115.74808025360107</v>
      </c>
      <c r="E18" s="54">
        <v>23.158870535888699</v>
      </c>
      <c r="F18" s="53">
        <v>6632.84959793091</v>
      </c>
      <c r="G18" s="53">
        <v>64.598282814025879</v>
      </c>
      <c r="H18" s="54">
        <v>1.9206263377443833</v>
      </c>
      <c r="I18" s="53">
        <v>925.26487731933605</v>
      </c>
      <c r="J18" s="53">
        <v>3040.7967777252188</v>
      </c>
      <c r="K18" s="53">
        <v>1884.8066859245309</v>
      </c>
    </row>
    <row r="19" spans="1:11" ht="20.45" customHeight="1" x14ac:dyDescent="0.2">
      <c r="A19" s="30" t="s">
        <v>11</v>
      </c>
      <c r="B19" s="53">
        <v>23.464870929718018</v>
      </c>
      <c r="C19" s="54">
        <v>0.81230003353768487</v>
      </c>
      <c r="D19" s="53">
        <v>7.9837632179260254</v>
      </c>
      <c r="E19" s="54">
        <v>0.8123000335376851</v>
      </c>
      <c r="F19" s="53">
        <v>199.59408044815063</v>
      </c>
      <c r="G19" s="53">
        <v>0</v>
      </c>
      <c r="H19" s="54"/>
      <c r="I19" s="53">
        <v>0</v>
      </c>
      <c r="J19" s="53">
        <v>30.962215423583977</v>
      </c>
      <c r="K19" s="53">
        <v>0</v>
      </c>
    </row>
    <row r="20" spans="1:11" s="6" customFormat="1" ht="20.45" customHeight="1" x14ac:dyDescent="0.2">
      <c r="A20" s="31" t="s">
        <v>12</v>
      </c>
      <c r="B20" s="25">
        <f>B8+B9</f>
        <v>363359.01271605492</v>
      </c>
      <c r="C20" s="26">
        <f t="shared" ref="C20:K20" si="0">C8+C9</f>
        <v>6545.28860327648</v>
      </c>
      <c r="D20" s="25">
        <f t="shared" si="0"/>
        <v>85874.436758756638</v>
      </c>
      <c r="E20" s="25">
        <f t="shared" si="0"/>
        <v>4055.1932541249967</v>
      </c>
      <c r="F20" s="25">
        <f t="shared" si="0"/>
        <v>2581644.3626604434</v>
      </c>
      <c r="G20" s="25">
        <f t="shared" si="0"/>
        <v>54507.013986587524</v>
      </c>
      <c r="H20" s="26">
        <f t="shared" si="0"/>
        <v>2490.0953491513333</v>
      </c>
      <c r="I20" s="25">
        <f t="shared" si="0"/>
        <v>2238666.4500193768</v>
      </c>
      <c r="J20" s="25">
        <f t="shared" si="0"/>
        <v>879882.47353064653</v>
      </c>
      <c r="K20" s="25">
        <f t="shared" si="0"/>
        <v>888445.8676047289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C20:K20">
    <cfRule type="cellIs" dxfId="1146" priority="12" stopIfTrue="1" operator="equal">
      <formula>0</formula>
    </cfRule>
  </conditionalFormatting>
  <conditionalFormatting sqref="D8:D19">
    <cfRule type="cellIs" dxfId="1145" priority="11" stopIfTrue="1" operator="equal">
      <formula>0</formula>
    </cfRule>
  </conditionalFormatting>
  <conditionalFormatting sqref="F8:F19">
    <cfRule type="cellIs" dxfId="1144" priority="10" stopIfTrue="1" operator="equal">
      <formula>0</formula>
    </cfRule>
  </conditionalFormatting>
  <conditionalFormatting sqref="I8:I19">
    <cfRule type="cellIs" dxfId="1143" priority="8" stopIfTrue="1" operator="equal">
      <formula>0</formula>
    </cfRule>
  </conditionalFormatting>
  <conditionalFormatting sqref="J8:J19">
    <cfRule type="cellIs" dxfId="1142" priority="7" stopIfTrue="1" operator="equal">
      <formula>0</formula>
    </cfRule>
  </conditionalFormatting>
  <conditionalFormatting sqref="K8:K19">
    <cfRule type="cellIs" dxfId="1141" priority="6" stopIfTrue="1" operator="equal">
      <formula>0</formula>
    </cfRule>
  </conditionalFormatting>
  <conditionalFormatting sqref="C8:C19">
    <cfRule type="cellIs" dxfId="1140" priority="5" stopIfTrue="1" operator="equal">
      <formula>0</formula>
    </cfRule>
  </conditionalFormatting>
  <conditionalFormatting sqref="E8:E19">
    <cfRule type="cellIs" dxfId="1139" priority="4" stopIfTrue="1" operator="equal">
      <formula>0</formula>
    </cfRule>
  </conditionalFormatting>
  <conditionalFormatting sqref="H8:H19">
    <cfRule type="cellIs" dxfId="1138" priority="2" stopIfTrue="1" operator="equal">
      <formula>0</formula>
    </cfRule>
  </conditionalFormatting>
  <conditionalFormatting sqref="G8:G19">
    <cfRule type="cellIs" dxfId="113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0E7F-8DA8-41A5-9D94-EB0ABC54DC43}">
  <dimension ref="A1:K20"/>
  <sheetViews>
    <sheetView zoomScale="97" zoomScaleNormal="100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9.42578125" customWidth="1"/>
    <col min="6" max="6" width="9.5703125" customWidth="1"/>
    <col min="7" max="7" width="10" customWidth="1"/>
    <col min="8" max="8" width="9" customWidth="1"/>
    <col min="9" max="9" width="9.5703125" customWidth="1"/>
    <col min="10" max="10" width="11.42578125" customWidth="1"/>
    <col min="11" max="11" width="10.42578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160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159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8.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8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125.72988414764404</v>
      </c>
      <c r="C8" s="50">
        <v>0</v>
      </c>
      <c r="D8" s="49">
        <v>0</v>
      </c>
      <c r="E8" s="50"/>
      <c r="F8" s="49">
        <v>0</v>
      </c>
      <c r="G8" s="49">
        <v>0</v>
      </c>
      <c r="H8" s="50"/>
      <c r="I8" s="49">
        <v>0</v>
      </c>
      <c r="J8" s="49">
        <v>217.1118164062498</v>
      </c>
      <c r="K8" s="49">
        <v>184.43842506408714</v>
      </c>
    </row>
    <row r="9" spans="1:11" s="6" customFormat="1" ht="20.45" customHeight="1" x14ac:dyDescent="0.2">
      <c r="A9" s="29" t="s">
        <v>1</v>
      </c>
      <c r="B9" s="51">
        <v>34680.13139629364</v>
      </c>
      <c r="C9" s="52">
        <v>251.50678431194339</v>
      </c>
      <c r="D9" s="51">
        <v>5730.3776721954346</v>
      </c>
      <c r="E9" s="52">
        <v>153.10614352075817</v>
      </c>
      <c r="F9" s="51">
        <v>83689.58251524168</v>
      </c>
      <c r="G9" s="51">
        <v>2643.8623056411743</v>
      </c>
      <c r="H9" s="52">
        <v>98.400640791184642</v>
      </c>
      <c r="I9" s="51">
        <v>288812.79846334446</v>
      </c>
      <c r="J9" s="51">
        <v>53500.701873302351</v>
      </c>
      <c r="K9" s="51">
        <v>44310.009122372539</v>
      </c>
    </row>
    <row r="10" spans="1:11" ht="20.45" customHeight="1" x14ac:dyDescent="0.2">
      <c r="A10" s="30" t="s">
        <v>2</v>
      </c>
      <c r="B10" s="53">
        <v>1478.8774352073669</v>
      </c>
      <c r="C10" s="54">
        <v>1.5844689241311622</v>
      </c>
      <c r="D10" s="53">
        <v>163.83656740188599</v>
      </c>
      <c r="E10" s="54">
        <v>1.5782322570248619</v>
      </c>
      <c r="F10" s="53">
        <v>1254.2110466957079</v>
      </c>
      <c r="G10" s="53">
        <v>10.127436637878418</v>
      </c>
      <c r="H10" s="54">
        <v>6.2366671063023354E-3</v>
      </c>
      <c r="I10" s="53">
        <v>10.127436637878407</v>
      </c>
      <c r="J10" s="53">
        <v>1948.5587306022569</v>
      </c>
      <c r="K10" s="53">
        <v>1083.1880006790109</v>
      </c>
    </row>
    <row r="11" spans="1:11" ht="20.45" customHeight="1" x14ac:dyDescent="0.2">
      <c r="A11" s="30" t="s">
        <v>3</v>
      </c>
      <c r="B11" s="53">
        <v>3460.2104344367981</v>
      </c>
      <c r="C11" s="54">
        <v>3.9795719397583778</v>
      </c>
      <c r="D11" s="53">
        <v>309.05497312545776</v>
      </c>
      <c r="E11" s="54">
        <v>2.1823520907097747</v>
      </c>
      <c r="F11" s="53">
        <v>1852.5859284400951</v>
      </c>
      <c r="G11" s="53">
        <v>167.87261056900024</v>
      </c>
      <c r="H11" s="54">
        <v>1.7972198490486129</v>
      </c>
      <c r="I11" s="53">
        <v>1889.9950542449994</v>
      </c>
      <c r="J11" s="53">
        <v>4833.4530229568454</v>
      </c>
      <c r="K11" s="53">
        <v>4153.2973933219773</v>
      </c>
    </row>
    <row r="12" spans="1:11" ht="20.45" customHeight="1" x14ac:dyDescent="0.2">
      <c r="A12" s="30" t="s">
        <v>4</v>
      </c>
      <c r="B12" s="53">
        <v>12832.697012901306</v>
      </c>
      <c r="C12" s="54">
        <v>51.3592642366457</v>
      </c>
      <c r="D12" s="53">
        <v>1990.2029805183411</v>
      </c>
      <c r="E12" s="54">
        <v>32.582562600999644</v>
      </c>
      <c r="F12" s="53">
        <v>21263.380816459696</v>
      </c>
      <c r="G12" s="53">
        <v>813.03279161453247</v>
      </c>
      <c r="H12" s="54">
        <v>18.776701635645807</v>
      </c>
      <c r="I12" s="53">
        <v>21385.457174777748</v>
      </c>
      <c r="J12" s="53">
        <v>18566.090506076678</v>
      </c>
      <c r="K12" s="53">
        <v>16423.295526027738</v>
      </c>
    </row>
    <row r="13" spans="1:11" ht="20.45" customHeight="1" x14ac:dyDescent="0.2">
      <c r="A13" s="30" t="s">
        <v>5</v>
      </c>
      <c r="B13" s="53">
        <v>10121.131679534912</v>
      </c>
      <c r="C13" s="54">
        <v>93.633842419926481</v>
      </c>
      <c r="D13" s="53">
        <v>1804.5834226608276</v>
      </c>
      <c r="E13" s="54">
        <v>55.766048881595545</v>
      </c>
      <c r="F13" s="53">
        <v>32801.587430000458</v>
      </c>
      <c r="G13" s="53">
        <v>922.01522922515869</v>
      </c>
      <c r="H13" s="54">
        <v>37.867793538329551</v>
      </c>
      <c r="I13" s="53">
        <v>97338.359754560952</v>
      </c>
      <c r="J13" s="53">
        <v>14960.892441272799</v>
      </c>
      <c r="K13" s="53">
        <v>12165.051569461857</v>
      </c>
    </row>
    <row r="14" spans="1:11" ht="20.45" customHeight="1" x14ac:dyDescent="0.2">
      <c r="A14" s="30" t="s">
        <v>6</v>
      </c>
      <c r="B14" s="53">
        <v>5617.0848941802979</v>
      </c>
      <c r="C14" s="54">
        <v>80.001844222704378</v>
      </c>
      <c r="D14" s="53">
        <v>1167.1680555343628</v>
      </c>
      <c r="E14" s="54">
        <v>43.308567531921646</v>
      </c>
      <c r="F14" s="53">
        <v>22593.780503272788</v>
      </c>
      <c r="G14" s="53">
        <v>605.44005870819092</v>
      </c>
      <c r="H14" s="54">
        <v>36.693276690782213</v>
      </c>
      <c r="I14" s="53">
        <v>166798.31800317744</v>
      </c>
      <c r="J14" s="53">
        <v>10097.161981105784</v>
      </c>
      <c r="K14" s="53">
        <v>7994.9790182114175</v>
      </c>
    </row>
    <row r="15" spans="1:11" ht="20.45" customHeight="1" x14ac:dyDescent="0.2">
      <c r="A15" s="30" t="s">
        <v>7</v>
      </c>
      <c r="B15" s="53">
        <v>782.50235319137573</v>
      </c>
      <c r="C15" s="54">
        <v>13.59169790266751</v>
      </c>
      <c r="D15" s="53">
        <v>220.45657253265381</v>
      </c>
      <c r="E15" s="54">
        <v>11.06470240400718</v>
      </c>
      <c r="F15" s="53">
        <v>2974.8044443130525</v>
      </c>
      <c r="G15" s="53">
        <v>95.800628185272217</v>
      </c>
      <c r="H15" s="54">
        <v>2.5269954986603493</v>
      </c>
      <c r="I15" s="53">
        <v>886.73179054260299</v>
      </c>
      <c r="J15" s="53">
        <v>1237.7997422218341</v>
      </c>
      <c r="K15" s="53">
        <v>679.67230892181317</v>
      </c>
    </row>
    <row r="16" spans="1:11" ht="20.45" customHeight="1" x14ac:dyDescent="0.2">
      <c r="A16" s="30" t="s">
        <v>8</v>
      </c>
      <c r="B16" s="53">
        <v>250.49168586730957</v>
      </c>
      <c r="C16" s="54">
        <v>0.98377466643545064</v>
      </c>
      <c r="D16" s="53">
        <v>29.726509094238281</v>
      </c>
      <c r="E16" s="54">
        <v>0.74710147853698983</v>
      </c>
      <c r="F16" s="53">
        <v>199.83098411560044</v>
      </c>
      <c r="G16" s="53">
        <v>17.542782306671143</v>
      </c>
      <c r="H16" s="54">
        <v>0.23667318789845906</v>
      </c>
      <c r="I16" s="53">
        <v>142.88619756698608</v>
      </c>
      <c r="J16" s="53">
        <v>524.73619318008389</v>
      </c>
      <c r="K16" s="53">
        <v>1584.9918184280396</v>
      </c>
    </row>
    <row r="17" spans="1:11" ht="20.45" customHeight="1" x14ac:dyDescent="0.2">
      <c r="A17" s="30" t="s">
        <v>9</v>
      </c>
      <c r="B17" s="53">
        <v>76.537662982940674</v>
      </c>
      <c r="C17" s="54">
        <v>4.6784180269531914</v>
      </c>
      <c r="D17" s="53">
        <v>19.97236967086792</v>
      </c>
      <c r="E17" s="54">
        <v>4.678418026953187</v>
      </c>
      <c r="F17" s="53">
        <v>367.6419568061828</v>
      </c>
      <c r="G17" s="53">
        <v>0</v>
      </c>
      <c r="H17" s="54"/>
      <c r="I17" s="53">
        <v>0</v>
      </c>
      <c r="J17" s="53">
        <v>1283.9714221954357</v>
      </c>
      <c r="K17" s="53">
        <v>201.15648078918468</v>
      </c>
    </row>
    <row r="18" spans="1:11" ht="20.45" customHeight="1" x14ac:dyDescent="0.2">
      <c r="A18" s="30" t="s">
        <v>10</v>
      </c>
      <c r="B18" s="53">
        <v>60.598237991333008</v>
      </c>
      <c r="C18" s="54">
        <v>1.6939019727225837</v>
      </c>
      <c r="D18" s="53">
        <v>25.376221656799316</v>
      </c>
      <c r="E18" s="54">
        <v>1.1981582490093015</v>
      </c>
      <c r="F18" s="53">
        <v>381.75940513610846</v>
      </c>
      <c r="G18" s="53">
        <v>12.030768394470215</v>
      </c>
      <c r="H18" s="54">
        <v>0.49574372371328224</v>
      </c>
      <c r="I18" s="53">
        <v>360.92305183410662</v>
      </c>
      <c r="J18" s="53">
        <v>48.037833690643303</v>
      </c>
      <c r="K18" s="53">
        <v>24.377006530761673</v>
      </c>
    </row>
    <row r="19" spans="1:11" ht="20.45" customHeight="1" x14ac:dyDescent="0.2">
      <c r="A19" s="30" t="s">
        <v>11</v>
      </c>
      <c r="B19" s="53">
        <v>0</v>
      </c>
      <c r="C19" s="54">
        <v>0</v>
      </c>
      <c r="D19" s="53">
        <v>0</v>
      </c>
      <c r="E19" s="54"/>
      <c r="F19" s="53">
        <v>0</v>
      </c>
      <c r="G19" s="53">
        <v>0</v>
      </c>
      <c r="H19" s="54"/>
      <c r="I19" s="53">
        <v>0</v>
      </c>
      <c r="J19" s="53">
        <v>0</v>
      </c>
      <c r="K19" s="53">
        <v>0</v>
      </c>
    </row>
    <row r="20" spans="1:11" s="6" customFormat="1" ht="20.45" customHeight="1" x14ac:dyDescent="0.2">
      <c r="A20" s="31" t="s">
        <v>12</v>
      </c>
      <c r="B20" s="25">
        <f>B8+B9</f>
        <v>34805.861280441284</v>
      </c>
      <c r="C20" s="26">
        <f t="shared" ref="C20:K20" si="0">C8+C9</f>
        <v>251.50678431194339</v>
      </c>
      <c r="D20" s="25">
        <f t="shared" si="0"/>
        <v>5730.3776721954346</v>
      </c>
      <c r="E20" s="26">
        <f t="shared" si="0"/>
        <v>153.10614352075817</v>
      </c>
      <c r="F20" s="25">
        <f t="shared" si="0"/>
        <v>83689.58251524168</v>
      </c>
      <c r="G20" s="25">
        <f t="shared" si="0"/>
        <v>2643.8623056411743</v>
      </c>
      <c r="H20" s="26">
        <f t="shared" si="0"/>
        <v>98.400640791184642</v>
      </c>
      <c r="I20" s="25">
        <f t="shared" si="0"/>
        <v>288812.79846334446</v>
      </c>
      <c r="J20" s="25">
        <f t="shared" si="0"/>
        <v>53717.813689708601</v>
      </c>
      <c r="K20" s="25">
        <f t="shared" si="0"/>
        <v>44494.447547436626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C20:K20">
    <cfRule type="cellIs" dxfId="1136" priority="10" stopIfTrue="1" operator="equal">
      <formula>0</formula>
    </cfRule>
  </conditionalFormatting>
  <conditionalFormatting sqref="D8:D19">
    <cfRule type="cellIs" dxfId="1135" priority="9" stopIfTrue="1" operator="equal">
      <formula>0</formula>
    </cfRule>
  </conditionalFormatting>
  <conditionalFormatting sqref="F8:F19">
    <cfRule type="cellIs" dxfId="1134" priority="8" stopIfTrue="1" operator="equal">
      <formula>0</formula>
    </cfRule>
  </conditionalFormatting>
  <conditionalFormatting sqref="G8:G19">
    <cfRule type="cellIs" dxfId="1133" priority="7" stopIfTrue="1" operator="equal">
      <formula>0</formula>
    </cfRule>
  </conditionalFormatting>
  <conditionalFormatting sqref="I8:I19">
    <cfRule type="cellIs" dxfId="1132" priority="6" stopIfTrue="1" operator="equal">
      <formula>0</formula>
    </cfRule>
  </conditionalFormatting>
  <conditionalFormatting sqref="J8:J19">
    <cfRule type="cellIs" dxfId="1131" priority="5" stopIfTrue="1" operator="equal">
      <formula>0</formula>
    </cfRule>
  </conditionalFormatting>
  <conditionalFormatting sqref="K8:K19">
    <cfRule type="cellIs" dxfId="1130" priority="4" stopIfTrue="1" operator="equal">
      <formula>0</formula>
    </cfRule>
  </conditionalFormatting>
  <conditionalFormatting sqref="C8:C19">
    <cfRule type="cellIs" dxfId="1129" priority="3" stopIfTrue="1" operator="equal">
      <formula>0</formula>
    </cfRule>
  </conditionalFormatting>
  <conditionalFormatting sqref="E8:E19">
    <cfRule type="cellIs" dxfId="1128" priority="2" stopIfTrue="1" operator="equal">
      <formula>0</formula>
    </cfRule>
  </conditionalFormatting>
  <conditionalFormatting sqref="H8:H19">
    <cfRule type="cellIs" dxfId="112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1D37-FDB7-422C-B213-6BBF8F8D411B}">
  <dimension ref="A1:K20"/>
  <sheetViews>
    <sheetView zoomScale="82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10" customWidth="1"/>
    <col min="5" max="5" width="9.42578125" customWidth="1"/>
    <col min="6" max="7" width="9.5703125" customWidth="1"/>
    <col min="9" max="9" width="9.5703125" customWidth="1"/>
    <col min="10" max="10" width="11.42578125" customWidth="1"/>
    <col min="11" max="11" width="12.42578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163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162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3.2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4.7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4765.1239786148071</v>
      </c>
      <c r="C8" s="50">
        <v>0.4667875421462252</v>
      </c>
      <c r="D8" s="49">
        <v>121.91449451446533</v>
      </c>
      <c r="E8" s="50">
        <v>0.31912203163928665</v>
      </c>
      <c r="F8" s="49">
        <v>202.94377136230443</v>
      </c>
      <c r="G8" s="49">
        <v>42.686643600463867</v>
      </c>
      <c r="H8" s="50">
        <v>0.14766551050693844</v>
      </c>
      <c r="I8" s="49">
        <v>67.618797302246051</v>
      </c>
      <c r="J8" s="49">
        <v>5920.4835910797055</v>
      </c>
      <c r="K8" s="49">
        <v>3394.8876938819953</v>
      </c>
    </row>
    <row r="9" spans="1:11" s="6" customFormat="1" ht="20.45" customHeight="1" x14ac:dyDescent="0.2">
      <c r="A9" s="29" t="s">
        <v>1</v>
      </c>
      <c r="B9" s="51">
        <v>495786.65916061401</v>
      </c>
      <c r="C9" s="52">
        <v>2806.4794207566279</v>
      </c>
      <c r="D9" s="51">
        <v>53006.623377919197</v>
      </c>
      <c r="E9" s="52">
        <v>1287.2166167441183</v>
      </c>
      <c r="F9" s="51">
        <v>805515.32636629825</v>
      </c>
      <c r="G9" s="51">
        <v>35955.114307522774</v>
      </c>
      <c r="H9" s="52">
        <v>1519.262804012488</v>
      </c>
      <c r="I9" s="51">
        <v>1504164.308340081</v>
      </c>
      <c r="J9" s="51">
        <v>659819.58959103446</v>
      </c>
      <c r="K9" s="51">
        <v>779076.31193684891</v>
      </c>
    </row>
    <row r="10" spans="1:11" ht="20.45" customHeight="1" x14ac:dyDescent="0.2">
      <c r="A10" s="30" t="s">
        <v>2</v>
      </c>
      <c r="B10" s="53">
        <v>39541.73069524765</v>
      </c>
      <c r="C10" s="54">
        <v>21.509278902851445</v>
      </c>
      <c r="D10" s="53">
        <v>2623.7867002487183</v>
      </c>
      <c r="E10" s="54">
        <v>15.368271872228187</v>
      </c>
      <c r="F10" s="53">
        <v>14190.362551212242</v>
      </c>
      <c r="G10" s="53">
        <v>1206.5042114257813</v>
      </c>
      <c r="H10" s="54">
        <v>6.1410070306232836</v>
      </c>
      <c r="I10" s="53">
        <v>7560.8711299896404</v>
      </c>
      <c r="J10" s="53">
        <v>39714.746251344586</v>
      </c>
      <c r="K10" s="53">
        <v>33412.860754966627</v>
      </c>
    </row>
    <row r="11" spans="1:11" ht="20.45" customHeight="1" x14ac:dyDescent="0.2">
      <c r="A11" s="30" t="s">
        <v>3</v>
      </c>
      <c r="B11" s="53">
        <v>66252.33009493351</v>
      </c>
      <c r="C11" s="54">
        <v>81.374765046151779</v>
      </c>
      <c r="D11" s="53">
        <v>5231.9624263048172</v>
      </c>
      <c r="E11" s="54">
        <v>46.658432807706305</v>
      </c>
      <c r="F11" s="53">
        <v>38723.906855940557</v>
      </c>
      <c r="G11" s="53">
        <v>3114.5422925949097</v>
      </c>
      <c r="H11" s="54">
        <v>34.716332238445013</v>
      </c>
      <c r="I11" s="53">
        <v>73783.535507679349</v>
      </c>
      <c r="J11" s="53">
        <v>73350.850260138424</v>
      </c>
      <c r="K11" s="53">
        <v>82353.040147066204</v>
      </c>
    </row>
    <row r="12" spans="1:11" ht="20.45" customHeight="1" x14ac:dyDescent="0.2">
      <c r="A12" s="30" t="s">
        <v>4</v>
      </c>
      <c r="B12" s="53">
        <v>175173.75111889839</v>
      </c>
      <c r="C12" s="54">
        <v>517.80118656751586</v>
      </c>
      <c r="D12" s="53">
        <v>17434.96691930294</v>
      </c>
      <c r="E12" s="54">
        <v>242.42959506935651</v>
      </c>
      <c r="F12" s="53">
        <v>200382.49916577298</v>
      </c>
      <c r="G12" s="53">
        <v>11418.973862886429</v>
      </c>
      <c r="H12" s="54">
        <v>275.37159149815659</v>
      </c>
      <c r="I12" s="53">
        <v>308488.00055026857</v>
      </c>
      <c r="J12" s="53">
        <v>222984.5976669793</v>
      </c>
      <c r="K12" s="53">
        <v>267050.86259412626</v>
      </c>
    </row>
    <row r="13" spans="1:11" ht="20.45" customHeight="1" x14ac:dyDescent="0.2">
      <c r="A13" s="30" t="s">
        <v>5</v>
      </c>
      <c r="B13" s="53">
        <v>131920.67869436741</v>
      </c>
      <c r="C13" s="54">
        <v>761.64420291981912</v>
      </c>
      <c r="D13" s="53">
        <v>15353.059997200966</v>
      </c>
      <c r="E13" s="54">
        <v>340.55338887032298</v>
      </c>
      <c r="F13" s="53">
        <v>214342.6403722759</v>
      </c>
      <c r="G13" s="53">
        <v>10648.490090250969</v>
      </c>
      <c r="H13" s="54">
        <v>421.09081404949563</v>
      </c>
      <c r="I13" s="53">
        <v>430022.50421238074</v>
      </c>
      <c r="J13" s="53">
        <v>191100.69264614457</v>
      </c>
      <c r="K13" s="53">
        <v>231077.16101455802</v>
      </c>
    </row>
    <row r="14" spans="1:11" ht="20.45" customHeight="1" x14ac:dyDescent="0.2">
      <c r="A14" s="30" t="s">
        <v>6</v>
      </c>
      <c r="B14" s="53">
        <v>65376.022248506546</v>
      </c>
      <c r="C14" s="54">
        <v>868.9043483877216</v>
      </c>
      <c r="D14" s="53">
        <v>9372.1222538948059</v>
      </c>
      <c r="E14" s="54">
        <v>377.22267558405207</v>
      </c>
      <c r="F14" s="53">
        <v>211860.88344693257</v>
      </c>
      <c r="G14" s="53">
        <v>7336.6742920875549</v>
      </c>
      <c r="H14" s="54">
        <v>491.68167280366481</v>
      </c>
      <c r="I14" s="53">
        <v>531118.3824720378</v>
      </c>
      <c r="J14" s="53">
        <v>102327.35768079698</v>
      </c>
      <c r="K14" s="53">
        <v>128782.6290471555</v>
      </c>
    </row>
    <row r="15" spans="1:11" ht="20.45" customHeight="1" x14ac:dyDescent="0.2">
      <c r="A15" s="30" t="s">
        <v>7</v>
      </c>
      <c r="B15" s="53">
        <v>12138.890918493271</v>
      </c>
      <c r="C15" s="54">
        <v>350.42510840250446</v>
      </c>
      <c r="D15" s="53">
        <v>2109.7561507225037</v>
      </c>
      <c r="E15" s="54">
        <v>177.60736710498082</v>
      </c>
      <c r="F15" s="53">
        <v>71817.200679779256</v>
      </c>
      <c r="G15" s="53">
        <v>1521.6630339622498</v>
      </c>
      <c r="H15" s="54">
        <v>172.8177412975239</v>
      </c>
      <c r="I15" s="53">
        <v>118385.76475477197</v>
      </c>
      <c r="J15" s="53">
        <v>19629.417088031747</v>
      </c>
      <c r="K15" s="53">
        <v>25397.04977989192</v>
      </c>
    </row>
    <row r="16" spans="1:11" ht="20.45" customHeight="1" x14ac:dyDescent="0.2">
      <c r="A16" s="30" t="s">
        <v>8</v>
      </c>
      <c r="B16" s="53">
        <v>3182.6687359809875</v>
      </c>
      <c r="C16" s="54">
        <v>56.109630260512141</v>
      </c>
      <c r="D16" s="53">
        <v>474.68929004669189</v>
      </c>
      <c r="E16" s="54">
        <v>19.69558528659881</v>
      </c>
      <c r="F16" s="53">
        <v>13024.487387180341</v>
      </c>
      <c r="G16" s="53">
        <v>378.00762701034546</v>
      </c>
      <c r="H16" s="54">
        <v>36.414044973913391</v>
      </c>
      <c r="I16" s="53">
        <v>13887.574497699721</v>
      </c>
      <c r="J16" s="53">
        <v>6718.4362177848798</v>
      </c>
      <c r="K16" s="53">
        <v>5173.4781379699671</v>
      </c>
    </row>
    <row r="17" spans="1:11" ht="20.45" customHeight="1" x14ac:dyDescent="0.2">
      <c r="A17" s="30" t="s">
        <v>9</v>
      </c>
      <c r="B17" s="53">
        <v>1090.9379444122314</v>
      </c>
      <c r="C17" s="54">
        <v>56.883861626086755</v>
      </c>
      <c r="D17" s="53">
        <v>168.57928514480591</v>
      </c>
      <c r="E17" s="54">
        <v>43.055616600722352</v>
      </c>
      <c r="F17" s="53">
        <v>22425.630260467544</v>
      </c>
      <c r="G17" s="53">
        <v>151.75099229812622</v>
      </c>
      <c r="H17" s="54">
        <v>13.828245025364428</v>
      </c>
      <c r="I17" s="53">
        <v>5227.6253242492685</v>
      </c>
      <c r="J17" s="53">
        <v>2125.6141085624704</v>
      </c>
      <c r="K17" s="53">
        <v>3297.5646100044246</v>
      </c>
    </row>
    <row r="18" spans="1:11" ht="20.45" customHeight="1" x14ac:dyDescent="0.2">
      <c r="A18" s="30" t="s">
        <v>10</v>
      </c>
      <c r="B18" s="53">
        <v>941.09192705154419</v>
      </c>
      <c r="C18" s="54">
        <v>82.471582137540167</v>
      </c>
      <c r="D18" s="53">
        <v>198.23476648330688</v>
      </c>
      <c r="E18" s="54">
        <v>21.713034384463526</v>
      </c>
      <c r="F18" s="53">
        <v>17566.529582023632</v>
      </c>
      <c r="G18" s="53">
        <v>132.16241264343262</v>
      </c>
      <c r="H18" s="54">
        <v>60.758547753076591</v>
      </c>
      <c r="I18" s="53">
        <v>8167.5306887626602</v>
      </c>
      <c r="J18" s="53">
        <v>1418.0262403488152</v>
      </c>
      <c r="K18" s="53">
        <v>1262.4382987022391</v>
      </c>
    </row>
    <row r="19" spans="1:11" ht="20.45" customHeight="1" x14ac:dyDescent="0.2">
      <c r="A19" s="30" t="s">
        <v>11</v>
      </c>
      <c r="B19" s="53">
        <v>168.55678272247314</v>
      </c>
      <c r="C19" s="54">
        <v>9.3554565059112136</v>
      </c>
      <c r="D19" s="53">
        <v>39.465588569641113</v>
      </c>
      <c r="E19" s="54">
        <v>2.912649163685328</v>
      </c>
      <c r="F19" s="53">
        <v>1181.1860647201538</v>
      </c>
      <c r="G19" s="53">
        <v>46.345492362976074</v>
      </c>
      <c r="H19" s="54">
        <v>6.4428073422258842</v>
      </c>
      <c r="I19" s="53">
        <v>7522.5192022323617</v>
      </c>
      <c r="J19" s="53">
        <v>449.85143089294439</v>
      </c>
      <c r="K19" s="53">
        <v>1269.2275524139407</v>
      </c>
    </row>
    <row r="20" spans="1:11" s="6" customFormat="1" ht="20.45" customHeight="1" x14ac:dyDescent="0.2">
      <c r="A20" s="31" t="s">
        <v>12</v>
      </c>
      <c r="B20" s="25">
        <f>B8+B9</f>
        <v>500551.78313922882</v>
      </c>
      <c r="C20" s="26">
        <f t="shared" ref="C20:K20" si="0">C8+C9</f>
        <v>2806.9462082987743</v>
      </c>
      <c r="D20" s="25">
        <f t="shared" si="0"/>
        <v>53128.537872433662</v>
      </c>
      <c r="E20" s="26">
        <f t="shared" si="0"/>
        <v>1287.5357387757576</v>
      </c>
      <c r="F20" s="25">
        <f t="shared" si="0"/>
        <v>805718.27013766055</v>
      </c>
      <c r="G20" s="25">
        <f t="shared" si="0"/>
        <v>35997.800951123238</v>
      </c>
      <c r="H20" s="26">
        <f t="shared" si="0"/>
        <v>1519.4104695229948</v>
      </c>
      <c r="I20" s="25">
        <f t="shared" si="0"/>
        <v>1504231.9271373833</v>
      </c>
      <c r="J20" s="25">
        <f t="shared" si="0"/>
        <v>665740.07318211417</v>
      </c>
      <c r="K20" s="25">
        <f t="shared" si="0"/>
        <v>782471.1996307309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126" priority="14" stopIfTrue="1" operator="equal">
      <formula>0</formula>
    </cfRule>
  </conditionalFormatting>
  <conditionalFormatting sqref="D8:D19">
    <cfRule type="cellIs" dxfId="1125" priority="13" stopIfTrue="1" operator="equal">
      <formula>0</formula>
    </cfRule>
  </conditionalFormatting>
  <conditionalFormatting sqref="F8:F19">
    <cfRule type="cellIs" dxfId="1124" priority="12" stopIfTrue="1" operator="equal">
      <formula>0</formula>
    </cfRule>
  </conditionalFormatting>
  <conditionalFormatting sqref="G8:G19">
    <cfRule type="cellIs" dxfId="1123" priority="11" stopIfTrue="1" operator="equal">
      <formula>0</formula>
    </cfRule>
  </conditionalFormatting>
  <conditionalFormatting sqref="I8:I19">
    <cfRule type="cellIs" dxfId="1122" priority="10" stopIfTrue="1" operator="equal">
      <formula>0</formula>
    </cfRule>
  </conditionalFormatting>
  <conditionalFormatting sqref="J8:J19">
    <cfRule type="cellIs" dxfId="1121" priority="9" stopIfTrue="1" operator="equal">
      <formula>0</formula>
    </cfRule>
  </conditionalFormatting>
  <conditionalFormatting sqref="K8:K19">
    <cfRule type="cellIs" dxfId="1120" priority="8" stopIfTrue="1" operator="equal">
      <formula>0</formula>
    </cfRule>
  </conditionalFormatting>
  <conditionalFormatting sqref="C20">
    <cfRule type="cellIs" dxfId="1119" priority="7" stopIfTrue="1" operator="equal">
      <formula>0</formula>
    </cfRule>
  </conditionalFormatting>
  <conditionalFormatting sqref="C8:C19">
    <cfRule type="cellIs" dxfId="1118" priority="6" stopIfTrue="1" operator="equal">
      <formula>0</formula>
    </cfRule>
  </conditionalFormatting>
  <conditionalFormatting sqref="E20">
    <cfRule type="cellIs" dxfId="1117" priority="5" stopIfTrue="1" operator="equal">
      <formula>0</formula>
    </cfRule>
  </conditionalFormatting>
  <conditionalFormatting sqref="E8:E19">
    <cfRule type="cellIs" dxfId="1116" priority="4" stopIfTrue="1" operator="equal">
      <formula>0</formula>
    </cfRule>
  </conditionalFormatting>
  <conditionalFormatting sqref="H20">
    <cfRule type="cellIs" dxfId="1115" priority="3" stopIfTrue="1" operator="equal">
      <formula>0</formula>
    </cfRule>
  </conditionalFormatting>
  <conditionalFormatting sqref="H8:H19">
    <cfRule type="cellIs" dxfId="1114" priority="2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8964-FF1A-4E41-80D2-86A01EF3A7BC}">
  <dimension ref="A1:K20"/>
  <sheetViews>
    <sheetView zoomScale="93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42578125" customWidth="1"/>
    <col min="3" max="3" width="11.42578125" customWidth="1"/>
    <col min="4" max="4" width="9.85546875" customWidth="1"/>
    <col min="6" max="6" width="10.5703125" customWidth="1"/>
    <col min="7" max="7" width="9.5703125" customWidth="1"/>
    <col min="8" max="8" width="9" customWidth="1"/>
    <col min="10" max="10" width="11.42578125" customWidth="1"/>
    <col min="11" max="11" width="12.42578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165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164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2.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2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746.00769186019897</v>
      </c>
      <c r="C8" s="50">
        <v>0.17315076881762292</v>
      </c>
      <c r="D8" s="49">
        <v>52.415281295776367</v>
      </c>
      <c r="E8" s="50">
        <v>0.11369692824516951</v>
      </c>
      <c r="F8" s="49">
        <v>114.66775512695321</v>
      </c>
      <c r="G8" s="49">
        <v>12.466076850891113</v>
      </c>
      <c r="H8" s="50">
        <v>5.9453840572453398E-2</v>
      </c>
      <c r="I8" s="49">
        <v>37.39823055267334</v>
      </c>
      <c r="J8" s="49">
        <v>1073.6396994590755</v>
      </c>
      <c r="K8" s="49">
        <v>347.43453788757398</v>
      </c>
    </row>
    <row r="9" spans="1:11" s="6" customFormat="1" ht="20.45" customHeight="1" x14ac:dyDescent="0.2">
      <c r="A9" s="29" t="s">
        <v>1</v>
      </c>
      <c r="B9" s="51">
        <v>114792.49027144909</v>
      </c>
      <c r="C9" s="52">
        <v>152.16677589729431</v>
      </c>
      <c r="D9" s="51">
        <v>8965.2024409770966</v>
      </c>
      <c r="E9" s="52">
        <v>116.69139575638461</v>
      </c>
      <c r="F9" s="51">
        <v>49251.300050497302</v>
      </c>
      <c r="G9" s="51">
        <v>2854.8442997932434</v>
      </c>
      <c r="H9" s="52">
        <v>35.475380140907056</v>
      </c>
      <c r="I9" s="51">
        <v>62728.138630152258</v>
      </c>
      <c r="J9" s="51">
        <v>143459.93696725304</v>
      </c>
      <c r="K9" s="51">
        <v>71365.930206299847</v>
      </c>
    </row>
    <row r="10" spans="1:11" ht="20.45" customHeight="1" x14ac:dyDescent="0.2">
      <c r="A10" s="30" t="s">
        <v>2</v>
      </c>
      <c r="B10" s="53">
        <v>6209.8791682720184</v>
      </c>
      <c r="C10" s="54">
        <v>0.72628095277144644</v>
      </c>
      <c r="D10" s="53">
        <v>192.72377109527588</v>
      </c>
      <c r="E10" s="54">
        <v>0.65501887428010097</v>
      </c>
      <c r="F10" s="53">
        <v>759.52943038940612</v>
      </c>
      <c r="G10" s="53">
        <v>54.438036918640137</v>
      </c>
      <c r="H10" s="54">
        <v>7.1262078491343583E-2</v>
      </c>
      <c r="I10" s="53">
        <v>79.899682998656857</v>
      </c>
      <c r="J10" s="53">
        <v>5763.4941096305747</v>
      </c>
      <c r="K10" s="53">
        <v>3346.7416005134492</v>
      </c>
    </row>
    <row r="11" spans="1:11" ht="20.45" customHeight="1" x14ac:dyDescent="0.2">
      <c r="A11" s="30" t="s">
        <v>3</v>
      </c>
      <c r="B11" s="53">
        <v>14480.763777494431</v>
      </c>
      <c r="C11" s="54">
        <v>5.5512407430465602</v>
      </c>
      <c r="D11" s="53">
        <v>706.83664035797119</v>
      </c>
      <c r="E11" s="54">
        <v>3.8121858565532731</v>
      </c>
      <c r="F11" s="53">
        <v>2351.3411612510731</v>
      </c>
      <c r="G11" s="53">
        <v>253.98944711685181</v>
      </c>
      <c r="H11" s="54">
        <v>1.7390548864932651</v>
      </c>
      <c r="I11" s="53">
        <v>1934.4244904518123</v>
      </c>
      <c r="J11" s="53">
        <v>15271.453032016747</v>
      </c>
      <c r="K11" s="53">
        <v>8629.9685156345568</v>
      </c>
    </row>
    <row r="12" spans="1:11" ht="20.45" customHeight="1" x14ac:dyDescent="0.2">
      <c r="A12" s="30" t="s">
        <v>4</v>
      </c>
      <c r="B12" s="53">
        <v>39859.89404463768</v>
      </c>
      <c r="C12" s="54">
        <v>29.856040878353795</v>
      </c>
      <c r="D12" s="53">
        <v>2841.5366699695587</v>
      </c>
      <c r="E12" s="54">
        <v>22.673743290279461</v>
      </c>
      <c r="F12" s="53">
        <v>11429.989583730658</v>
      </c>
      <c r="G12" s="53">
        <v>802.49696469306946</v>
      </c>
      <c r="H12" s="54">
        <v>7.1822975880742455</v>
      </c>
      <c r="I12" s="53">
        <v>4095.1646392344692</v>
      </c>
      <c r="J12" s="53">
        <v>47884.09351229707</v>
      </c>
      <c r="K12" s="53">
        <v>24132.451577663356</v>
      </c>
    </row>
    <row r="13" spans="1:11" ht="20.45" customHeight="1" x14ac:dyDescent="0.2">
      <c r="A13" s="30" t="s">
        <v>5</v>
      </c>
      <c r="B13" s="53">
        <v>32363.635156154633</v>
      </c>
      <c r="C13" s="54">
        <v>56.809976523241765</v>
      </c>
      <c r="D13" s="53">
        <v>2882.5571393966675</v>
      </c>
      <c r="E13" s="54">
        <v>45.350000685684691</v>
      </c>
      <c r="F13" s="53">
        <v>16798.863659858664</v>
      </c>
      <c r="G13" s="53">
        <v>1031.2644875049591</v>
      </c>
      <c r="H13" s="54">
        <v>11.459975837556801</v>
      </c>
      <c r="I13" s="53">
        <v>9160.2062187194297</v>
      </c>
      <c r="J13" s="53">
        <v>44124.766753912161</v>
      </c>
      <c r="K13" s="53">
        <v>20327.291465759212</v>
      </c>
    </row>
    <row r="14" spans="1:11" ht="20.45" customHeight="1" x14ac:dyDescent="0.2">
      <c r="A14" s="30" t="s">
        <v>6</v>
      </c>
      <c r="B14" s="53">
        <v>17279.785187840462</v>
      </c>
      <c r="C14" s="54">
        <v>34.489803784937848</v>
      </c>
      <c r="D14" s="53">
        <v>1651.6989154815674</v>
      </c>
      <c r="E14" s="54">
        <v>24.880769174915823</v>
      </c>
      <c r="F14" s="53">
        <v>9230.2718443870672</v>
      </c>
      <c r="G14" s="53">
        <v>519.70341205596924</v>
      </c>
      <c r="H14" s="54">
        <v>9.609034610021828</v>
      </c>
      <c r="I14" s="53">
        <v>44975.768085479765</v>
      </c>
      <c r="J14" s="53">
        <v>23807.792084097702</v>
      </c>
      <c r="K14" s="53">
        <v>11074.480128526746</v>
      </c>
    </row>
    <row r="15" spans="1:11" ht="20.45" customHeight="1" x14ac:dyDescent="0.2">
      <c r="A15" s="30" t="s">
        <v>7</v>
      </c>
      <c r="B15" s="53">
        <v>2989.3968830108643</v>
      </c>
      <c r="C15" s="54">
        <v>16.646431532641571</v>
      </c>
      <c r="D15" s="53">
        <v>430.33942174911499</v>
      </c>
      <c r="E15" s="54">
        <v>12.712060766853673</v>
      </c>
      <c r="F15" s="53">
        <v>7429.9634184837105</v>
      </c>
      <c r="G15" s="53">
        <v>131.9878363609314</v>
      </c>
      <c r="H15" s="54">
        <v>3.9343707657878695</v>
      </c>
      <c r="I15" s="53">
        <v>2240.5806236267072</v>
      </c>
      <c r="J15" s="53">
        <v>4323.7555294036774</v>
      </c>
      <c r="K15" s="53">
        <v>1400.9872002601599</v>
      </c>
    </row>
    <row r="16" spans="1:11" ht="20.45" customHeight="1" x14ac:dyDescent="0.2">
      <c r="A16" s="30" t="s">
        <v>8</v>
      </c>
      <c r="B16" s="53">
        <v>907.13217163085938</v>
      </c>
      <c r="C16" s="54">
        <v>6.3598348626395635</v>
      </c>
      <c r="D16" s="53">
        <v>162.17513561248779</v>
      </c>
      <c r="E16" s="54">
        <v>4.8804504881578694</v>
      </c>
      <c r="F16" s="53">
        <v>748.50568580627544</v>
      </c>
      <c r="G16" s="53">
        <v>60.964115142822266</v>
      </c>
      <c r="H16" s="54">
        <v>1.4793843744816997</v>
      </c>
      <c r="I16" s="53">
        <v>242.09488964080788</v>
      </c>
      <c r="J16" s="53">
        <v>1518.4739294052115</v>
      </c>
      <c r="K16" s="53">
        <v>2140.1189980506874</v>
      </c>
    </row>
    <row r="17" spans="1:11" ht="20.45" customHeight="1" x14ac:dyDescent="0.2">
      <c r="A17" s="30" t="s">
        <v>9</v>
      </c>
      <c r="B17" s="53">
        <v>325.93403577804565</v>
      </c>
      <c r="C17" s="54">
        <v>0.71945352140680496</v>
      </c>
      <c r="D17" s="53">
        <v>64.81552267074585</v>
      </c>
      <c r="E17" s="54">
        <v>0.71945352140680474</v>
      </c>
      <c r="F17" s="53">
        <v>299.19598436355597</v>
      </c>
      <c r="G17" s="53">
        <v>0</v>
      </c>
      <c r="H17" s="54"/>
      <c r="I17" s="53">
        <v>0</v>
      </c>
      <c r="J17" s="53">
        <v>294.93828868865972</v>
      </c>
      <c r="K17" s="53">
        <v>129.40318632125852</v>
      </c>
    </row>
    <row r="18" spans="1:11" ht="20.45" customHeight="1" x14ac:dyDescent="0.2">
      <c r="A18" s="30" t="s">
        <v>10</v>
      </c>
      <c r="B18" s="53">
        <v>338.0334939956665</v>
      </c>
      <c r="C18" s="54">
        <v>1.0077130982528777</v>
      </c>
      <c r="D18" s="53">
        <v>32.519224643707275</v>
      </c>
      <c r="E18" s="54">
        <v>1.0077130982528775</v>
      </c>
      <c r="F18" s="53">
        <v>203.63928222656256</v>
      </c>
      <c r="G18" s="53">
        <v>0</v>
      </c>
      <c r="H18" s="54"/>
      <c r="I18" s="53">
        <v>0</v>
      </c>
      <c r="J18" s="53">
        <v>408.82969617843645</v>
      </c>
      <c r="K18" s="53">
        <v>184.48753356933608</v>
      </c>
    </row>
    <row r="19" spans="1:11" ht="20.45" customHeight="1" x14ac:dyDescent="0.2">
      <c r="A19" s="30" t="s">
        <v>11</v>
      </c>
      <c r="B19" s="53">
        <v>38.036352634429932</v>
      </c>
      <c r="C19" s="54">
        <v>0</v>
      </c>
      <c r="D19" s="53">
        <v>0</v>
      </c>
      <c r="E19" s="54"/>
      <c r="F19" s="53">
        <v>0</v>
      </c>
      <c r="G19" s="53">
        <v>0</v>
      </c>
      <c r="H19" s="54"/>
      <c r="I19" s="53">
        <v>0</v>
      </c>
      <c r="J19" s="53">
        <v>62.340031623840332</v>
      </c>
      <c r="K19" s="53">
        <v>0</v>
      </c>
    </row>
    <row r="20" spans="1:11" s="6" customFormat="1" ht="20.45" customHeight="1" x14ac:dyDescent="0.2">
      <c r="A20" s="31" t="s">
        <v>12</v>
      </c>
      <c r="B20" s="25">
        <f>B8+B9</f>
        <v>115538.49796330929</v>
      </c>
      <c r="C20" s="26">
        <f t="shared" ref="C20:K20" si="0">C8+C9</f>
        <v>152.33992666611195</v>
      </c>
      <c r="D20" s="25">
        <f t="shared" si="0"/>
        <v>9017.6177222728729</v>
      </c>
      <c r="E20" s="26">
        <f t="shared" si="0"/>
        <v>116.80509268462978</v>
      </c>
      <c r="F20" s="25">
        <f t="shared" si="0"/>
        <v>49365.967805624256</v>
      </c>
      <c r="G20" s="25">
        <f t="shared" si="0"/>
        <v>2867.3103766441345</v>
      </c>
      <c r="H20" s="26">
        <f t="shared" si="0"/>
        <v>35.534833981479508</v>
      </c>
      <c r="I20" s="25">
        <f t="shared" si="0"/>
        <v>62765.536860704931</v>
      </c>
      <c r="J20" s="25">
        <f t="shared" si="0"/>
        <v>144533.57666671212</v>
      </c>
      <c r="K20" s="25">
        <f t="shared" si="0"/>
        <v>71713.36474418742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113" priority="13" stopIfTrue="1" operator="equal">
      <formula>0</formula>
    </cfRule>
  </conditionalFormatting>
  <conditionalFormatting sqref="D8:D19">
    <cfRule type="cellIs" dxfId="1112" priority="12" stopIfTrue="1" operator="equal">
      <formula>0</formula>
    </cfRule>
  </conditionalFormatting>
  <conditionalFormatting sqref="F8:F19">
    <cfRule type="cellIs" dxfId="1111" priority="11" stopIfTrue="1" operator="equal">
      <formula>0</formula>
    </cfRule>
  </conditionalFormatting>
  <conditionalFormatting sqref="G8:G19">
    <cfRule type="cellIs" dxfId="1110" priority="10" stopIfTrue="1" operator="equal">
      <formula>0</formula>
    </cfRule>
  </conditionalFormatting>
  <conditionalFormatting sqref="I8:I19">
    <cfRule type="cellIs" dxfId="1109" priority="9" stopIfTrue="1" operator="equal">
      <formula>0</formula>
    </cfRule>
  </conditionalFormatting>
  <conditionalFormatting sqref="J8:J19">
    <cfRule type="cellIs" dxfId="1108" priority="8" stopIfTrue="1" operator="equal">
      <formula>0</formula>
    </cfRule>
  </conditionalFormatting>
  <conditionalFormatting sqref="K8:K19">
    <cfRule type="cellIs" dxfId="1107" priority="7" stopIfTrue="1" operator="equal">
      <formula>0</formula>
    </cfRule>
  </conditionalFormatting>
  <conditionalFormatting sqref="C20">
    <cfRule type="cellIs" dxfId="1106" priority="6" stopIfTrue="1" operator="equal">
      <formula>0</formula>
    </cfRule>
  </conditionalFormatting>
  <conditionalFormatting sqref="C8:C19">
    <cfRule type="cellIs" dxfId="1105" priority="5" stopIfTrue="1" operator="equal">
      <formula>0</formula>
    </cfRule>
  </conditionalFormatting>
  <conditionalFormatting sqref="E20">
    <cfRule type="cellIs" dxfId="1104" priority="4" stopIfTrue="1" operator="equal">
      <formula>0</formula>
    </cfRule>
  </conditionalFormatting>
  <conditionalFormatting sqref="E8:E19">
    <cfRule type="cellIs" dxfId="1103" priority="3" stopIfTrue="1" operator="equal">
      <formula>0</formula>
    </cfRule>
  </conditionalFormatting>
  <conditionalFormatting sqref="H20">
    <cfRule type="cellIs" dxfId="1102" priority="2" stopIfTrue="1" operator="equal">
      <formula>0</formula>
    </cfRule>
  </conditionalFormatting>
  <conditionalFormatting sqref="H8:H19">
    <cfRule type="cellIs" dxfId="1101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B799-3179-4D6E-A709-443B1BBB1567}">
  <dimension ref="A1:K20"/>
  <sheetViews>
    <sheetView zoomScale="83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9.5703125" customWidth="1"/>
    <col min="5" max="5" width="9.42578125" customWidth="1"/>
    <col min="7" max="7" width="10" customWidth="1"/>
    <col min="8" max="8" width="8.42578125" customWidth="1"/>
    <col min="10" max="10" width="11.42578125" customWidth="1"/>
    <col min="11" max="11" width="12.5703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 t="s">
        <v>32</v>
      </c>
    </row>
    <row r="3" spans="1:11" x14ac:dyDescent="0.2">
      <c r="A3" s="27" t="s">
        <v>167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166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3.2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2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343.56530332565308</v>
      </c>
      <c r="C8" s="50">
        <v>6.6456536083685083E-2</v>
      </c>
      <c r="D8" s="49">
        <v>0</v>
      </c>
      <c r="E8" s="50"/>
      <c r="F8" s="49">
        <v>0</v>
      </c>
      <c r="G8" s="49">
        <v>10.450783729553223</v>
      </c>
      <c r="H8" s="50">
        <v>6.6456536083685069E-2</v>
      </c>
      <c r="I8" s="49">
        <v>156.76175594329831</v>
      </c>
      <c r="J8" s="49">
        <v>549.31235790252697</v>
      </c>
      <c r="K8" s="49">
        <v>320.2870059013365</v>
      </c>
    </row>
    <row r="9" spans="1:11" s="6" customFormat="1" ht="20.45" customHeight="1" x14ac:dyDescent="0.2">
      <c r="A9" s="29" t="s">
        <v>1</v>
      </c>
      <c r="B9" s="51">
        <v>55560.586567282669</v>
      </c>
      <c r="C9" s="52">
        <v>185.97673005271378</v>
      </c>
      <c r="D9" s="51">
        <v>8460.7290440797806</v>
      </c>
      <c r="E9" s="52">
        <v>138.8778625172815</v>
      </c>
      <c r="F9" s="51">
        <v>106122.87094795624</v>
      </c>
      <c r="G9" s="51">
        <v>2722.2062435150146</v>
      </c>
      <c r="H9" s="52">
        <v>47.098867535433911</v>
      </c>
      <c r="I9" s="51">
        <v>93257.547868252703</v>
      </c>
      <c r="J9" s="51">
        <v>102592.75183474927</v>
      </c>
      <c r="K9" s="51">
        <v>77994.237345218673</v>
      </c>
    </row>
    <row r="10" spans="1:11" ht="20.45" customHeight="1" x14ac:dyDescent="0.2">
      <c r="A10" s="30" t="s">
        <v>2</v>
      </c>
      <c r="B10" s="53">
        <v>2287.9174528121948</v>
      </c>
      <c r="C10" s="54">
        <v>1.9442439612295432</v>
      </c>
      <c r="D10" s="53">
        <v>290.41107749938965</v>
      </c>
      <c r="E10" s="54">
        <v>1.6668337794652137</v>
      </c>
      <c r="F10" s="53">
        <v>1276.1096458435063</v>
      </c>
      <c r="G10" s="53">
        <v>59.837995529174805</v>
      </c>
      <c r="H10" s="54">
        <v>0.27741018176432891</v>
      </c>
      <c r="I10" s="53">
        <v>597.15970802307027</v>
      </c>
      <c r="J10" s="53">
        <v>2917.4718351364113</v>
      </c>
      <c r="K10" s="53">
        <v>4725.4345107078743</v>
      </c>
    </row>
    <row r="11" spans="1:11" ht="20.45" customHeight="1" x14ac:dyDescent="0.2">
      <c r="A11" s="30" t="s">
        <v>3</v>
      </c>
      <c r="B11" s="53">
        <v>7494.2947735786429</v>
      </c>
      <c r="C11" s="54">
        <v>8.3265693304150421</v>
      </c>
      <c r="D11" s="53">
        <v>1083.1120181083679</v>
      </c>
      <c r="E11" s="54">
        <v>6.0675806479470191</v>
      </c>
      <c r="F11" s="53">
        <v>8367.7781796454765</v>
      </c>
      <c r="G11" s="53">
        <v>248.75626945495605</v>
      </c>
      <c r="H11" s="54">
        <v>2.2589886824679737</v>
      </c>
      <c r="I11" s="53">
        <v>3103.3332281112753</v>
      </c>
      <c r="J11" s="53">
        <v>12774.880223751088</v>
      </c>
      <c r="K11" s="53">
        <v>9067.5326552391161</v>
      </c>
    </row>
    <row r="12" spans="1:11" ht="20.45" customHeight="1" x14ac:dyDescent="0.2">
      <c r="A12" s="30" t="s">
        <v>4</v>
      </c>
      <c r="B12" s="53">
        <v>22306.929101943966</v>
      </c>
      <c r="C12" s="54">
        <v>53.962236629888444</v>
      </c>
      <c r="D12" s="53">
        <v>3491.4354429244995</v>
      </c>
      <c r="E12" s="54">
        <v>39.891435084793898</v>
      </c>
      <c r="F12" s="53">
        <v>34030.870639800902</v>
      </c>
      <c r="G12" s="53">
        <v>1046.2933850288391</v>
      </c>
      <c r="H12" s="54">
        <v>14.070801545094264</v>
      </c>
      <c r="I12" s="53">
        <v>11131.157208442733</v>
      </c>
      <c r="J12" s="53">
        <v>37549.134881019309</v>
      </c>
      <c r="K12" s="53">
        <v>30143.97040605541</v>
      </c>
    </row>
    <row r="13" spans="1:11" ht="20.45" customHeight="1" x14ac:dyDescent="0.2">
      <c r="A13" s="30" t="s">
        <v>5</v>
      </c>
      <c r="B13" s="53">
        <v>15196.282122015953</v>
      </c>
      <c r="C13" s="54">
        <v>54.942380174820144</v>
      </c>
      <c r="D13" s="53">
        <v>2396.8150273561478</v>
      </c>
      <c r="E13" s="54">
        <v>39.663656399383584</v>
      </c>
      <c r="F13" s="53">
        <v>26485.538331150961</v>
      </c>
      <c r="G13" s="53">
        <v>799.12390756607056</v>
      </c>
      <c r="H13" s="54">
        <v>15.278723775436701</v>
      </c>
      <c r="I13" s="53">
        <v>13138.217316150589</v>
      </c>
      <c r="J13" s="53">
        <v>30835.341618895516</v>
      </c>
      <c r="K13" s="53">
        <v>22333.343770504045</v>
      </c>
    </row>
    <row r="14" spans="1:11" ht="20.45" customHeight="1" x14ac:dyDescent="0.2">
      <c r="A14" s="30" t="s">
        <v>6</v>
      </c>
      <c r="B14" s="53">
        <v>6943.1729493141174</v>
      </c>
      <c r="C14" s="54">
        <v>41.160161617611109</v>
      </c>
      <c r="D14" s="53">
        <v>971.76338148117065</v>
      </c>
      <c r="E14" s="54">
        <v>31.344701959037582</v>
      </c>
      <c r="F14" s="53">
        <v>18885.919456005089</v>
      </c>
      <c r="G14" s="53">
        <v>454.98176002502441</v>
      </c>
      <c r="H14" s="54">
        <v>9.8154596585733866</v>
      </c>
      <c r="I14" s="53">
        <v>56414.416261673134</v>
      </c>
      <c r="J14" s="53">
        <v>13791.005910396558</v>
      </c>
      <c r="K14" s="53">
        <v>8894.9253363609059</v>
      </c>
    </row>
    <row r="15" spans="1:11" ht="20.45" customHeight="1" x14ac:dyDescent="0.2">
      <c r="A15" s="30" t="s">
        <v>7</v>
      </c>
      <c r="B15" s="53">
        <v>903.78568506240845</v>
      </c>
      <c r="C15" s="54">
        <v>13.658458399386346</v>
      </c>
      <c r="D15" s="53">
        <v>134.61251735687256</v>
      </c>
      <c r="E15" s="54">
        <v>10.935166087040296</v>
      </c>
      <c r="F15" s="53">
        <v>14230.287172317485</v>
      </c>
      <c r="G15" s="53">
        <v>62.145954132080078</v>
      </c>
      <c r="H15" s="54">
        <v>2.7232923123460466</v>
      </c>
      <c r="I15" s="53">
        <v>7379.5163421630941</v>
      </c>
      <c r="J15" s="53">
        <v>2531.5264220237736</v>
      </c>
      <c r="K15" s="53">
        <v>1049.5138053894038</v>
      </c>
    </row>
    <row r="16" spans="1:11" ht="20.45" customHeight="1" x14ac:dyDescent="0.2">
      <c r="A16" s="30" t="s">
        <v>8</v>
      </c>
      <c r="B16" s="53">
        <v>274.62157201766968</v>
      </c>
      <c r="C16" s="54">
        <v>3.8296172954777514</v>
      </c>
      <c r="D16" s="53">
        <v>40.535818099975586</v>
      </c>
      <c r="E16" s="54">
        <v>3.2699136500829868</v>
      </c>
      <c r="F16" s="53">
        <v>130.17449474334717</v>
      </c>
      <c r="G16" s="53">
        <v>10.579032897949219</v>
      </c>
      <c r="H16" s="54">
        <v>0.55970364539476236</v>
      </c>
      <c r="I16" s="53">
        <v>74.053230285644645</v>
      </c>
      <c r="J16" s="53">
        <v>524.08389186859142</v>
      </c>
      <c r="K16" s="53">
        <v>1420.6320810318002</v>
      </c>
    </row>
    <row r="17" spans="1:11" ht="20.45" customHeight="1" x14ac:dyDescent="0.2">
      <c r="A17" s="30" t="s">
        <v>9</v>
      </c>
      <c r="B17" s="53">
        <v>101.0642032623291</v>
      </c>
      <c r="C17" s="54">
        <v>0.48282705125756203</v>
      </c>
      <c r="D17" s="53">
        <v>9.4910173416137695</v>
      </c>
      <c r="E17" s="54">
        <v>0.48282705125756209</v>
      </c>
      <c r="F17" s="53">
        <v>759.2813873291019</v>
      </c>
      <c r="G17" s="53">
        <v>0</v>
      </c>
      <c r="H17" s="54"/>
      <c r="I17" s="53">
        <v>0</v>
      </c>
      <c r="J17" s="53">
        <v>325.65193367004417</v>
      </c>
      <c r="K17" s="53">
        <v>153.49256324768069</v>
      </c>
    </row>
    <row r="18" spans="1:11" ht="20.45" customHeight="1" x14ac:dyDescent="0.2">
      <c r="A18" s="30" t="s">
        <v>10</v>
      </c>
      <c r="B18" s="53">
        <v>36.257808685302734</v>
      </c>
      <c r="C18" s="54">
        <v>3.0745438961198821</v>
      </c>
      <c r="D18" s="53">
        <v>26.291845321655273</v>
      </c>
      <c r="E18" s="54">
        <v>1.8791945010654527</v>
      </c>
      <c r="F18" s="53">
        <v>1143.8667116165157</v>
      </c>
      <c r="G18" s="53">
        <v>24.22704029083252</v>
      </c>
      <c r="H18" s="54">
        <v>1.1953493950544276</v>
      </c>
      <c r="I18" s="53">
        <v>769.25862979888916</v>
      </c>
      <c r="J18" s="53">
        <v>42.78323078155519</v>
      </c>
      <c r="K18" s="53">
        <v>42.78323078155519</v>
      </c>
    </row>
    <row r="19" spans="1:11" ht="20.45" customHeight="1" x14ac:dyDescent="0.2">
      <c r="A19" s="30" t="s">
        <v>11</v>
      </c>
      <c r="B19" s="53">
        <v>16.260898590087891</v>
      </c>
      <c r="C19" s="54">
        <v>4.5956916965101104</v>
      </c>
      <c r="D19" s="53">
        <v>16.260898590087891</v>
      </c>
      <c r="E19" s="54">
        <v>3.6765533572080877</v>
      </c>
      <c r="F19" s="53">
        <v>813.04492950439453</v>
      </c>
      <c r="G19" s="53">
        <v>16.260898590087891</v>
      </c>
      <c r="H19" s="54">
        <v>0.91913833930202193</v>
      </c>
      <c r="I19" s="53">
        <v>650.43594360351551</v>
      </c>
      <c r="J19" s="53">
        <v>1300.871887207031</v>
      </c>
      <c r="K19" s="53">
        <v>162.60898590087888</v>
      </c>
    </row>
    <row r="20" spans="1:11" s="6" customFormat="1" ht="20.45" customHeight="1" x14ac:dyDescent="0.2">
      <c r="A20" s="31" t="s">
        <v>12</v>
      </c>
      <c r="B20" s="25">
        <f>B8+B9</f>
        <v>55904.151870608322</v>
      </c>
      <c r="C20" s="26">
        <f t="shared" ref="C20:K20" si="0">C8+C9</f>
        <v>186.04318658879745</v>
      </c>
      <c r="D20" s="25">
        <f t="shared" si="0"/>
        <v>8460.7290440797806</v>
      </c>
      <c r="E20" s="26">
        <f t="shared" si="0"/>
        <v>138.8778625172815</v>
      </c>
      <c r="F20" s="25">
        <f t="shared" si="0"/>
        <v>106122.87094795624</v>
      </c>
      <c r="G20" s="25">
        <f t="shared" si="0"/>
        <v>2732.6570272445679</v>
      </c>
      <c r="H20" s="26">
        <f t="shared" si="0"/>
        <v>47.165324071517595</v>
      </c>
      <c r="I20" s="25">
        <f t="shared" si="0"/>
        <v>93414.309624196001</v>
      </c>
      <c r="J20" s="25">
        <f t="shared" si="0"/>
        <v>103142.0641926518</v>
      </c>
      <c r="K20" s="25">
        <f t="shared" si="0"/>
        <v>78314.52435112001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100" priority="13" stopIfTrue="1" operator="equal">
      <formula>0</formula>
    </cfRule>
  </conditionalFormatting>
  <conditionalFormatting sqref="D8:D19">
    <cfRule type="cellIs" dxfId="1099" priority="12" stopIfTrue="1" operator="equal">
      <formula>0</formula>
    </cfRule>
  </conditionalFormatting>
  <conditionalFormatting sqref="F8:F19">
    <cfRule type="cellIs" dxfId="1098" priority="11" stopIfTrue="1" operator="equal">
      <formula>0</formula>
    </cfRule>
  </conditionalFormatting>
  <conditionalFormatting sqref="G8:G19">
    <cfRule type="cellIs" dxfId="1097" priority="10" stopIfTrue="1" operator="equal">
      <formula>0</formula>
    </cfRule>
  </conditionalFormatting>
  <conditionalFormatting sqref="I8:I19">
    <cfRule type="cellIs" dxfId="1096" priority="9" stopIfTrue="1" operator="equal">
      <formula>0</formula>
    </cfRule>
  </conditionalFormatting>
  <conditionalFormatting sqref="J8:J19">
    <cfRule type="cellIs" dxfId="1095" priority="8" stopIfTrue="1" operator="equal">
      <formula>0</formula>
    </cfRule>
  </conditionalFormatting>
  <conditionalFormatting sqref="K8:K19">
    <cfRule type="cellIs" dxfId="1094" priority="7" stopIfTrue="1" operator="equal">
      <formula>0</formula>
    </cfRule>
  </conditionalFormatting>
  <conditionalFormatting sqref="C20">
    <cfRule type="cellIs" dxfId="1093" priority="6" stopIfTrue="1" operator="equal">
      <formula>0</formula>
    </cfRule>
  </conditionalFormatting>
  <conditionalFormatting sqref="C8:C19">
    <cfRule type="cellIs" dxfId="1092" priority="5" stopIfTrue="1" operator="equal">
      <formula>0</formula>
    </cfRule>
  </conditionalFormatting>
  <conditionalFormatting sqref="E20">
    <cfRule type="cellIs" dxfId="1091" priority="4" stopIfTrue="1" operator="equal">
      <formula>0</formula>
    </cfRule>
  </conditionalFormatting>
  <conditionalFormatting sqref="E8:E19">
    <cfRule type="cellIs" dxfId="1090" priority="3" stopIfTrue="1" operator="equal">
      <formula>0</formula>
    </cfRule>
  </conditionalFormatting>
  <conditionalFormatting sqref="H20">
    <cfRule type="cellIs" dxfId="1089" priority="2" stopIfTrue="1" operator="equal">
      <formula>0</formula>
    </cfRule>
  </conditionalFormatting>
  <conditionalFormatting sqref="H8:H19">
    <cfRule type="cellIs" dxfId="1088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956D-A99D-4CA9-B5A6-5E12B2C6AB57}">
  <dimension ref="A1:K20"/>
  <sheetViews>
    <sheetView zoomScale="78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1.42578125" customWidth="1"/>
    <col min="4" max="4" width="9.5703125" customWidth="1"/>
    <col min="6" max="6" width="10.140625" customWidth="1"/>
    <col min="7" max="7" width="10.42578125" customWidth="1"/>
    <col min="8" max="8" width="8.5703125" customWidth="1"/>
    <col min="9" max="9" width="9.5703125" customWidth="1"/>
    <col min="10" max="10" width="11.42578125" customWidth="1"/>
    <col min="11" max="11" width="12.42578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169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168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3.2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2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1375.7327318191528</v>
      </c>
      <c r="C8" s="50">
        <v>4.8047736113778536E-2</v>
      </c>
      <c r="D8" s="49">
        <v>43.049600601196289</v>
      </c>
      <c r="E8" s="50">
        <v>3.5928197929473327E-2</v>
      </c>
      <c r="F8" s="49">
        <v>141.70420455932637</v>
      </c>
      <c r="G8" s="49">
        <v>30.494197845458984</v>
      </c>
      <c r="H8" s="50">
        <v>1.2119538184305223E-2</v>
      </c>
      <c r="I8" s="49">
        <v>30.494197845459023</v>
      </c>
      <c r="J8" s="49">
        <v>3101.97776985169</v>
      </c>
      <c r="K8" s="49">
        <v>545.72456693649224</v>
      </c>
    </row>
    <row r="9" spans="1:11" s="6" customFormat="1" ht="20.45" customHeight="1" x14ac:dyDescent="0.2">
      <c r="A9" s="29" t="s">
        <v>1</v>
      </c>
      <c r="B9" s="51">
        <v>157217.63716554639</v>
      </c>
      <c r="C9" s="52">
        <v>275.66759488255417</v>
      </c>
      <c r="D9" s="51">
        <v>11646.680386543274</v>
      </c>
      <c r="E9" s="52">
        <v>203.84413748471403</v>
      </c>
      <c r="F9" s="51">
        <v>81168.830781459692</v>
      </c>
      <c r="G9" s="51">
        <v>4054.1675057411194</v>
      </c>
      <c r="H9" s="52">
        <v>71.823457397841608</v>
      </c>
      <c r="I9" s="51">
        <v>58737.217079638758</v>
      </c>
      <c r="J9" s="51">
        <v>227892.5784649828</v>
      </c>
      <c r="K9" s="51">
        <v>127472.58167123827</v>
      </c>
    </row>
    <row r="10" spans="1:11" ht="20.45" customHeight="1" x14ac:dyDescent="0.2">
      <c r="A10" s="30" t="s">
        <v>2</v>
      </c>
      <c r="B10" s="53">
        <v>11866.254860877991</v>
      </c>
      <c r="C10" s="54">
        <v>2.4986756269450519</v>
      </c>
      <c r="D10" s="53">
        <v>427.15878820419312</v>
      </c>
      <c r="E10" s="54">
        <v>2.0126928890430871</v>
      </c>
      <c r="F10" s="53">
        <v>1726.4553008079483</v>
      </c>
      <c r="G10" s="53">
        <v>178.13706111907959</v>
      </c>
      <c r="H10" s="54">
        <v>0.4859827379019655</v>
      </c>
      <c r="I10" s="53">
        <v>534.0992298126223</v>
      </c>
      <c r="J10" s="53">
        <v>14088.98112964629</v>
      </c>
      <c r="K10" s="53">
        <v>8968.9877448081916</v>
      </c>
    </row>
    <row r="11" spans="1:11" ht="20.45" customHeight="1" x14ac:dyDescent="0.2">
      <c r="A11" s="30" t="s">
        <v>3</v>
      </c>
      <c r="B11" s="53">
        <v>21439.073211669918</v>
      </c>
      <c r="C11" s="54">
        <v>13.138378571862717</v>
      </c>
      <c r="D11" s="53">
        <v>1577.0274500846863</v>
      </c>
      <c r="E11" s="54">
        <v>9.848553918926898</v>
      </c>
      <c r="F11" s="53">
        <v>5635.0453376769938</v>
      </c>
      <c r="G11" s="53">
        <v>719.24291324615479</v>
      </c>
      <c r="H11" s="54">
        <v>3.2898246529358732</v>
      </c>
      <c r="I11" s="53">
        <v>2266.8290472030617</v>
      </c>
      <c r="J11" s="53">
        <v>26003.287932872878</v>
      </c>
      <c r="K11" s="53">
        <v>15499.478024959606</v>
      </c>
    </row>
    <row r="12" spans="1:11" ht="20.45" customHeight="1" x14ac:dyDescent="0.2">
      <c r="A12" s="30" t="s">
        <v>4</v>
      </c>
      <c r="B12" s="53">
        <v>57770.949096679688</v>
      </c>
      <c r="C12" s="54">
        <v>61.739629057903521</v>
      </c>
      <c r="D12" s="53">
        <v>4456.6703314781189</v>
      </c>
      <c r="E12" s="54">
        <v>42.026352120286077</v>
      </c>
      <c r="F12" s="53">
        <v>23978.989473819634</v>
      </c>
      <c r="G12" s="53">
        <v>1277.4244413375854</v>
      </c>
      <c r="H12" s="54">
        <v>19.71327693761787</v>
      </c>
      <c r="I12" s="53">
        <v>24382.465101718812</v>
      </c>
      <c r="J12" s="53">
        <v>76672.469309806926</v>
      </c>
      <c r="K12" s="53">
        <v>47535.786597728351</v>
      </c>
    </row>
    <row r="13" spans="1:11" ht="20.45" customHeight="1" x14ac:dyDescent="0.2">
      <c r="A13" s="30" t="s">
        <v>5</v>
      </c>
      <c r="B13" s="53">
        <v>41697.95848608017</v>
      </c>
      <c r="C13" s="54">
        <v>83.685430502569758</v>
      </c>
      <c r="D13" s="53">
        <v>3023.9136033058167</v>
      </c>
      <c r="E13" s="54">
        <v>65.02593159207683</v>
      </c>
      <c r="F13" s="53">
        <v>19658.057716369778</v>
      </c>
      <c r="G13" s="53">
        <v>1144.9353232383728</v>
      </c>
      <c r="H13" s="54">
        <v>18.659498910492594</v>
      </c>
      <c r="I13" s="53">
        <v>15217.164639949884</v>
      </c>
      <c r="J13" s="53">
        <v>66753.373658657452</v>
      </c>
      <c r="K13" s="53">
        <v>32596.560870647241</v>
      </c>
    </row>
    <row r="14" spans="1:11" ht="20.45" customHeight="1" x14ac:dyDescent="0.2">
      <c r="A14" s="30" t="s">
        <v>6</v>
      </c>
      <c r="B14" s="53">
        <v>19701.7747797966</v>
      </c>
      <c r="C14" s="54">
        <v>92.393218657721448</v>
      </c>
      <c r="D14" s="53">
        <v>1733.2729349136353</v>
      </c>
      <c r="E14" s="54">
        <v>70.587888877900255</v>
      </c>
      <c r="F14" s="53">
        <v>27040.772968769037</v>
      </c>
      <c r="G14" s="53">
        <v>602.7631950378418</v>
      </c>
      <c r="H14" s="54">
        <v>21.805329779820759</v>
      </c>
      <c r="I14" s="53">
        <v>14021.11598300928</v>
      </c>
      <c r="J14" s="53">
        <v>36098.093959808197</v>
      </c>
      <c r="K14" s="53">
        <v>19519.404860019691</v>
      </c>
    </row>
    <row r="15" spans="1:11" ht="20.45" customHeight="1" x14ac:dyDescent="0.2">
      <c r="A15" s="30" t="s">
        <v>7</v>
      </c>
      <c r="B15" s="53">
        <v>3511.9356379508968</v>
      </c>
      <c r="C15" s="54">
        <v>12.087616926681113</v>
      </c>
      <c r="D15" s="53">
        <v>316.3864860534668</v>
      </c>
      <c r="E15" s="54">
        <v>8.376369004966211</v>
      </c>
      <c r="F15" s="53">
        <v>2465.5255546569824</v>
      </c>
      <c r="G15" s="53">
        <v>53.614819526672363</v>
      </c>
      <c r="H15" s="54">
        <v>3.7112479217149037</v>
      </c>
      <c r="I15" s="53">
        <v>1051.9739942550664</v>
      </c>
      <c r="J15" s="53">
        <v>5450.0419435500989</v>
      </c>
      <c r="K15" s="53">
        <v>2144.0480904579149</v>
      </c>
    </row>
    <row r="16" spans="1:11" ht="20.45" customHeight="1" x14ac:dyDescent="0.2">
      <c r="A16" s="30" t="s">
        <v>8</v>
      </c>
      <c r="B16" s="53">
        <v>764.99990034103394</v>
      </c>
      <c r="C16" s="54">
        <v>8.6715329435480477</v>
      </c>
      <c r="D16" s="53">
        <v>49.81391429901123</v>
      </c>
      <c r="E16" s="54">
        <v>4.699530278738302</v>
      </c>
      <c r="F16" s="53">
        <v>525.93933010101318</v>
      </c>
      <c r="G16" s="53">
        <v>63.965097427368164</v>
      </c>
      <c r="H16" s="54">
        <v>3.9720026648097484</v>
      </c>
      <c r="I16" s="53">
        <v>1235.3997740745504</v>
      </c>
      <c r="J16" s="53">
        <v>1823.1431894302364</v>
      </c>
      <c r="K16" s="53">
        <v>748.3156867027277</v>
      </c>
    </row>
    <row r="17" spans="1:11" ht="20.45" customHeight="1" x14ac:dyDescent="0.2">
      <c r="A17" s="30" t="s">
        <v>9</v>
      </c>
      <c r="B17" s="53">
        <v>237.92792320251465</v>
      </c>
      <c r="C17" s="54">
        <v>0.25016491312335981</v>
      </c>
      <c r="D17" s="53">
        <v>9.6578922271728516</v>
      </c>
      <c r="E17" s="54">
        <v>6.3871120575519136E-2</v>
      </c>
      <c r="F17" s="53">
        <v>28.973676681518548</v>
      </c>
      <c r="G17" s="53">
        <v>14.084654808044434</v>
      </c>
      <c r="H17" s="54">
        <v>0.18629379254784073</v>
      </c>
      <c r="I17" s="53">
        <v>28.169309616088871</v>
      </c>
      <c r="J17" s="53">
        <v>370.17090797424322</v>
      </c>
      <c r="K17" s="53">
        <v>232.5110683441163</v>
      </c>
    </row>
    <row r="18" spans="1:11" ht="20.45" customHeight="1" x14ac:dyDescent="0.2">
      <c r="A18" s="30" t="s">
        <v>10</v>
      </c>
      <c r="B18" s="53">
        <v>218.77950572967529</v>
      </c>
      <c r="C18" s="54">
        <v>1.2029476822010579</v>
      </c>
      <c r="D18" s="53">
        <v>52.778985977172852</v>
      </c>
      <c r="E18" s="54">
        <v>1.2029476822010574</v>
      </c>
      <c r="F18" s="53">
        <v>109.07142257690428</v>
      </c>
      <c r="G18" s="53">
        <v>0</v>
      </c>
      <c r="H18" s="54"/>
      <c r="I18" s="53">
        <v>0</v>
      </c>
      <c r="J18" s="53">
        <v>577.13009071350098</v>
      </c>
      <c r="K18" s="53">
        <v>131.68356895446777</v>
      </c>
    </row>
    <row r="19" spans="1:11" ht="20.45" customHeight="1" x14ac:dyDescent="0.2">
      <c r="A19" s="30" t="s">
        <v>11</v>
      </c>
      <c r="B19" s="53">
        <v>7.9837632179260254</v>
      </c>
      <c r="C19" s="54">
        <v>0</v>
      </c>
      <c r="D19" s="53">
        <v>0</v>
      </c>
      <c r="E19" s="54"/>
      <c r="F19" s="53">
        <v>0</v>
      </c>
      <c r="G19" s="53">
        <v>0</v>
      </c>
      <c r="H19" s="54"/>
      <c r="I19" s="53">
        <v>0</v>
      </c>
      <c r="J19" s="53">
        <v>55.886342525482199</v>
      </c>
      <c r="K19" s="53">
        <v>95.805158615112333</v>
      </c>
    </row>
    <row r="20" spans="1:11" s="6" customFormat="1" ht="20.45" customHeight="1" x14ac:dyDescent="0.2">
      <c r="A20" s="31" t="s">
        <v>12</v>
      </c>
      <c r="B20" s="25">
        <f>B8+B9</f>
        <v>158593.36989736554</v>
      </c>
      <c r="C20" s="26">
        <f t="shared" ref="C20:K20" si="0">C8+C9</f>
        <v>275.71564261866797</v>
      </c>
      <c r="D20" s="25">
        <f t="shared" si="0"/>
        <v>11689.72998714447</v>
      </c>
      <c r="E20" s="26">
        <f t="shared" si="0"/>
        <v>203.8800656826435</v>
      </c>
      <c r="F20" s="25">
        <f t="shared" si="0"/>
        <v>81310.534986019018</v>
      </c>
      <c r="G20" s="25">
        <f t="shared" si="0"/>
        <v>4084.6617035865784</v>
      </c>
      <c r="H20" s="26">
        <f t="shared" si="0"/>
        <v>71.835576936025916</v>
      </c>
      <c r="I20" s="25">
        <f t="shared" si="0"/>
        <v>58767.711277484217</v>
      </c>
      <c r="J20" s="25">
        <f t="shared" si="0"/>
        <v>230994.55623483448</v>
      </c>
      <c r="K20" s="25">
        <f t="shared" si="0"/>
        <v>128018.30623817476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087" priority="13" stopIfTrue="1" operator="equal">
      <formula>0</formula>
    </cfRule>
  </conditionalFormatting>
  <conditionalFormatting sqref="D8:D19">
    <cfRule type="cellIs" dxfId="1086" priority="12" stopIfTrue="1" operator="equal">
      <formula>0</formula>
    </cfRule>
  </conditionalFormatting>
  <conditionalFormatting sqref="F8:F19">
    <cfRule type="cellIs" dxfId="1085" priority="11" stopIfTrue="1" operator="equal">
      <formula>0</formula>
    </cfRule>
  </conditionalFormatting>
  <conditionalFormatting sqref="G8:G19">
    <cfRule type="cellIs" dxfId="1084" priority="10" stopIfTrue="1" operator="equal">
      <formula>0</formula>
    </cfRule>
  </conditionalFormatting>
  <conditionalFormatting sqref="I8:I19">
    <cfRule type="cellIs" dxfId="1083" priority="9" stopIfTrue="1" operator="equal">
      <formula>0</formula>
    </cfRule>
  </conditionalFormatting>
  <conditionalFormatting sqref="J8:J19">
    <cfRule type="cellIs" dxfId="1082" priority="8" stopIfTrue="1" operator="equal">
      <formula>0</formula>
    </cfRule>
  </conditionalFormatting>
  <conditionalFormatting sqref="K8:K19">
    <cfRule type="cellIs" dxfId="1081" priority="7" stopIfTrue="1" operator="equal">
      <formula>0</formula>
    </cfRule>
  </conditionalFormatting>
  <conditionalFormatting sqref="C20">
    <cfRule type="cellIs" dxfId="1080" priority="6" stopIfTrue="1" operator="equal">
      <formula>0</formula>
    </cfRule>
  </conditionalFormatting>
  <conditionalFormatting sqref="C8:C19">
    <cfRule type="cellIs" dxfId="1079" priority="5" stopIfTrue="1" operator="equal">
      <formula>0</formula>
    </cfRule>
  </conditionalFormatting>
  <conditionalFormatting sqref="E20">
    <cfRule type="cellIs" dxfId="1078" priority="4" stopIfTrue="1" operator="equal">
      <formula>0</formula>
    </cfRule>
  </conditionalFormatting>
  <conditionalFormatting sqref="E8:E19">
    <cfRule type="cellIs" dxfId="1077" priority="3" stopIfTrue="1" operator="equal">
      <formula>0</formula>
    </cfRule>
  </conditionalFormatting>
  <conditionalFormatting sqref="H20">
    <cfRule type="cellIs" dxfId="1076" priority="2" stopIfTrue="1" operator="equal">
      <formula>0</formula>
    </cfRule>
  </conditionalFormatting>
  <conditionalFormatting sqref="H8:H19">
    <cfRule type="cellIs" dxfId="1075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9910-89CD-4E52-8A88-14E037D41C8A}">
  <dimension ref="A1:K20"/>
  <sheetViews>
    <sheetView zoomScale="90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1.42578125" customWidth="1"/>
    <col min="4" max="4" width="9.5703125" customWidth="1"/>
    <col min="5" max="5" width="9.42578125" bestFit="1" customWidth="1"/>
    <col min="6" max="6" width="11" customWidth="1"/>
    <col min="7" max="7" width="9.5703125" customWidth="1"/>
    <col min="8" max="8" width="8.5703125" customWidth="1"/>
    <col min="10" max="10" width="11.42578125" customWidth="1"/>
    <col min="11" max="11" width="11.5703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171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170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8.5" customHeight="1" x14ac:dyDescent="0.2">
      <c r="A5" s="123"/>
      <c r="B5" s="127" t="s">
        <v>158</v>
      </c>
      <c r="C5" s="127" t="s">
        <v>151</v>
      </c>
      <c r="D5" s="158" t="s">
        <v>152</v>
      </c>
      <c r="E5" s="158"/>
      <c r="F5" s="158"/>
      <c r="G5" s="158"/>
      <c r="H5" s="158"/>
      <c r="I5" s="158"/>
      <c r="J5" s="121" t="s">
        <v>153</v>
      </c>
      <c r="K5" s="121"/>
    </row>
    <row r="6" spans="1:11" s="7" customFormat="1" ht="28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21670.156236171719</v>
      </c>
      <c r="C8" s="50">
        <v>3.2821415125352331</v>
      </c>
      <c r="D8" s="49">
        <v>567.75777864456177</v>
      </c>
      <c r="E8" s="50">
        <v>2.5289447559412244</v>
      </c>
      <c r="F8" s="49">
        <v>3043.9143991470414</v>
      </c>
      <c r="G8" s="49">
        <v>185.5552659034729</v>
      </c>
      <c r="H8" s="50">
        <v>0.75319675659400653</v>
      </c>
      <c r="I8" s="49">
        <v>526.96800708770797</v>
      </c>
      <c r="J8" s="49">
        <v>38242.132319450386</v>
      </c>
      <c r="K8" s="49">
        <v>16591.66255855561</v>
      </c>
    </row>
    <row r="9" spans="1:11" s="6" customFormat="1" ht="20.45" customHeight="1" x14ac:dyDescent="0.2">
      <c r="A9" s="29" t="s">
        <v>1</v>
      </c>
      <c r="B9" s="51">
        <v>1206433.7148457766</v>
      </c>
      <c r="C9" s="52">
        <v>19778.372917299581</v>
      </c>
      <c r="D9" s="51">
        <v>223527.59419727325</v>
      </c>
      <c r="E9" s="52">
        <v>16903.205618195439</v>
      </c>
      <c r="F9" s="51">
        <v>3205004.6992830592</v>
      </c>
      <c r="G9" s="51">
        <v>66341.404245138168</v>
      </c>
      <c r="H9" s="52">
        <v>2875.1672991039604</v>
      </c>
      <c r="I9" s="51">
        <v>929118.89503812371</v>
      </c>
      <c r="J9" s="51">
        <v>2384466.3336134967</v>
      </c>
      <c r="K9" s="51">
        <v>1289007.7767820538</v>
      </c>
    </row>
    <row r="10" spans="1:11" ht="20.45" customHeight="1" x14ac:dyDescent="0.2">
      <c r="A10" s="30" t="s">
        <v>2</v>
      </c>
      <c r="B10" s="53">
        <v>101236.35961723328</v>
      </c>
      <c r="C10" s="54">
        <v>124.48487104400203</v>
      </c>
      <c r="D10" s="53">
        <v>8111.8843426704407</v>
      </c>
      <c r="E10" s="54">
        <v>102.62244739521697</v>
      </c>
      <c r="F10" s="53">
        <v>39075.829093932982</v>
      </c>
      <c r="G10" s="53">
        <v>2399.5417318344116</v>
      </c>
      <c r="H10" s="54">
        <v>21.86242364878462</v>
      </c>
      <c r="I10" s="53">
        <v>12150.221396923065</v>
      </c>
      <c r="J10" s="53">
        <v>132026.81746363646</v>
      </c>
      <c r="K10" s="53">
        <v>80706.163220405666</v>
      </c>
    </row>
    <row r="11" spans="1:11" ht="20.45" customHeight="1" x14ac:dyDescent="0.2">
      <c r="A11" s="30" t="s">
        <v>3</v>
      </c>
      <c r="B11" s="53">
        <v>153172.43149209023</v>
      </c>
      <c r="C11" s="54">
        <v>414.49471894390149</v>
      </c>
      <c r="D11" s="53">
        <v>16745.94361114502</v>
      </c>
      <c r="E11" s="54">
        <v>343.45320903050339</v>
      </c>
      <c r="F11" s="53">
        <v>108408.70489931105</v>
      </c>
      <c r="G11" s="53">
        <v>5605.6916093826294</v>
      </c>
      <c r="H11" s="54">
        <v>71.04150991339975</v>
      </c>
      <c r="I11" s="53">
        <v>28225.041008949509</v>
      </c>
      <c r="J11" s="53">
        <v>226848.68121099536</v>
      </c>
      <c r="K11" s="53">
        <v>144651.43954324751</v>
      </c>
    </row>
    <row r="12" spans="1:11" ht="20.45" customHeight="1" x14ac:dyDescent="0.2">
      <c r="A12" s="30" t="s">
        <v>4</v>
      </c>
      <c r="B12" s="53">
        <v>395554.02695393562</v>
      </c>
      <c r="C12" s="54">
        <v>2349.9633468297156</v>
      </c>
      <c r="D12" s="53">
        <v>60499.018469810486</v>
      </c>
      <c r="E12" s="54">
        <v>1982.2455405376932</v>
      </c>
      <c r="F12" s="53">
        <v>555393.00186968187</v>
      </c>
      <c r="G12" s="53">
        <v>16909.601625204086</v>
      </c>
      <c r="H12" s="54">
        <v>367.71780629200219</v>
      </c>
      <c r="I12" s="53">
        <v>279290.1863174421</v>
      </c>
      <c r="J12" s="53">
        <v>666960.90857958444</v>
      </c>
      <c r="K12" s="53">
        <v>417810.52153850102</v>
      </c>
    </row>
    <row r="13" spans="1:11" ht="20.45" customHeight="1" x14ac:dyDescent="0.2">
      <c r="A13" s="30" t="s">
        <v>5</v>
      </c>
      <c r="B13" s="53">
        <v>328260.65242350101</v>
      </c>
      <c r="C13" s="54">
        <v>5112.0282667160955</v>
      </c>
      <c r="D13" s="53">
        <v>72012.996931195259</v>
      </c>
      <c r="E13" s="54">
        <v>4358.1615760495079</v>
      </c>
      <c r="F13" s="53">
        <v>943176.09759510029</v>
      </c>
      <c r="G13" s="53">
        <v>21250.267343997955</v>
      </c>
      <c r="H13" s="54">
        <v>753.86669066654179</v>
      </c>
      <c r="I13" s="53">
        <v>241709.56815600357</v>
      </c>
      <c r="J13" s="53">
        <v>675970.86490845913</v>
      </c>
      <c r="K13" s="53">
        <v>352752.64882278419</v>
      </c>
    </row>
    <row r="14" spans="1:11" ht="20.45" customHeight="1" x14ac:dyDescent="0.2">
      <c r="A14" s="30" t="s">
        <v>6</v>
      </c>
      <c r="B14" s="53">
        <v>171074.74501144886</v>
      </c>
      <c r="C14" s="54">
        <v>6408.4346968979571</v>
      </c>
      <c r="D14" s="53">
        <v>46550.174661159515</v>
      </c>
      <c r="E14" s="54">
        <v>5476.2692859134195</v>
      </c>
      <c r="F14" s="53">
        <v>933406.0067584489</v>
      </c>
      <c r="G14" s="53">
        <v>14193.240350008011</v>
      </c>
      <c r="H14" s="54">
        <v>932.16541098450693</v>
      </c>
      <c r="I14" s="53">
        <v>240201.02577662375</v>
      </c>
      <c r="J14" s="53">
        <v>453546.17917787848</v>
      </c>
      <c r="K14" s="53">
        <v>205916.4395623203</v>
      </c>
    </row>
    <row r="15" spans="1:11" ht="20.45" customHeight="1" x14ac:dyDescent="0.2">
      <c r="A15" s="30" t="s">
        <v>7</v>
      </c>
      <c r="B15" s="53">
        <v>36989.320774078369</v>
      </c>
      <c r="C15" s="54">
        <v>2340.2516087944196</v>
      </c>
      <c r="D15" s="53">
        <v>11522.209713459015</v>
      </c>
      <c r="E15" s="54">
        <v>1995.5444062317936</v>
      </c>
      <c r="F15" s="53">
        <v>302644.33986020106</v>
      </c>
      <c r="G15" s="53">
        <v>3549.8507580757141</v>
      </c>
      <c r="H15" s="54">
        <v>344.70720256262052</v>
      </c>
      <c r="I15" s="53">
        <v>69440.132962226897</v>
      </c>
      <c r="J15" s="53">
        <v>127761.23732590688</v>
      </c>
      <c r="K15" s="53">
        <v>51334.00177335745</v>
      </c>
    </row>
    <row r="16" spans="1:11" ht="20.45" customHeight="1" x14ac:dyDescent="0.2">
      <c r="A16" s="30" t="s">
        <v>8</v>
      </c>
      <c r="B16" s="53">
        <v>11747.537639021873</v>
      </c>
      <c r="C16" s="54">
        <v>1459.4415488672889</v>
      </c>
      <c r="D16" s="53">
        <v>4633.0879610776901</v>
      </c>
      <c r="E16" s="54">
        <v>1253.9544621824721</v>
      </c>
      <c r="F16" s="53">
        <v>157761.72405433664</v>
      </c>
      <c r="G16" s="53">
        <v>1403.1235435009003</v>
      </c>
      <c r="H16" s="54">
        <v>205.48708668481578</v>
      </c>
      <c r="I16" s="53">
        <v>30543.842325210557</v>
      </c>
      <c r="J16" s="53">
        <v>54335.773956775673</v>
      </c>
      <c r="K16" s="53">
        <v>19490.899329662323</v>
      </c>
    </row>
    <row r="17" spans="1:11" ht="20.45" customHeight="1" x14ac:dyDescent="0.2">
      <c r="A17" s="30" t="s">
        <v>9</v>
      </c>
      <c r="B17" s="53">
        <v>3988.305807352066</v>
      </c>
      <c r="C17" s="54">
        <v>481.15108209389018</v>
      </c>
      <c r="D17" s="53">
        <v>1408.6022872924805</v>
      </c>
      <c r="E17" s="54">
        <v>421.53691564196174</v>
      </c>
      <c r="F17" s="53">
        <v>54429.503711223653</v>
      </c>
      <c r="G17" s="53">
        <v>432.93933010101318</v>
      </c>
      <c r="H17" s="54">
        <v>59.614166451928561</v>
      </c>
      <c r="I17" s="53">
        <v>10501.904563426964</v>
      </c>
      <c r="J17" s="53">
        <v>21136.799236774437</v>
      </c>
      <c r="K17" s="53">
        <v>6554.7198948860196</v>
      </c>
    </row>
    <row r="18" spans="1:11" ht="20.45" customHeight="1" x14ac:dyDescent="0.2">
      <c r="A18" s="30" t="s">
        <v>10</v>
      </c>
      <c r="B18" s="53">
        <v>3813.1434133052826</v>
      </c>
      <c r="C18" s="54">
        <v>903.98646785668518</v>
      </c>
      <c r="D18" s="53">
        <v>1791.8143186569214</v>
      </c>
      <c r="E18" s="54">
        <v>789.40355023417681</v>
      </c>
      <c r="F18" s="53">
        <v>99879.193452835083</v>
      </c>
      <c r="G18" s="53">
        <v>528.16210651397705</v>
      </c>
      <c r="H18" s="54">
        <v>114.58291762250796</v>
      </c>
      <c r="I18" s="53">
        <v>15996.492953300487</v>
      </c>
      <c r="J18" s="53">
        <v>19779.879866600048</v>
      </c>
      <c r="K18" s="53">
        <v>7201.240432024003</v>
      </c>
    </row>
    <row r="19" spans="1:11" ht="20.45" customHeight="1" x14ac:dyDescent="0.2">
      <c r="A19" s="30" t="s">
        <v>11</v>
      </c>
      <c r="B19" s="53">
        <v>597.19171380996704</v>
      </c>
      <c r="C19" s="54">
        <v>184.13630925558238</v>
      </c>
      <c r="D19" s="53">
        <v>251.861900806427</v>
      </c>
      <c r="E19" s="54">
        <v>180.01422497872764</v>
      </c>
      <c r="F19" s="53">
        <v>10830.297987937929</v>
      </c>
      <c r="G19" s="53">
        <v>68.985846519470215</v>
      </c>
      <c r="H19" s="54">
        <v>4.1220842768547401</v>
      </c>
      <c r="I19" s="53">
        <v>1060.4795780181887</v>
      </c>
      <c r="J19" s="53">
        <v>6099.1918869018555</v>
      </c>
      <c r="K19" s="53">
        <v>2589.7026648521419</v>
      </c>
    </row>
    <row r="20" spans="1:11" s="6" customFormat="1" ht="20.45" customHeight="1" x14ac:dyDescent="0.2">
      <c r="A20" s="31" t="s">
        <v>12</v>
      </c>
      <c r="B20" s="25">
        <f>B8+B9</f>
        <v>1228103.8710819483</v>
      </c>
      <c r="C20" s="26">
        <f t="shared" ref="C20:K20" si="0">C8+C9</f>
        <v>19781.655058812117</v>
      </c>
      <c r="D20" s="25">
        <f t="shared" si="0"/>
        <v>224095.35197591782</v>
      </c>
      <c r="E20" s="26">
        <f t="shared" si="0"/>
        <v>16905.73456295138</v>
      </c>
      <c r="F20" s="25">
        <f t="shared" si="0"/>
        <v>3208048.6136822063</v>
      </c>
      <c r="G20" s="25">
        <f t="shared" si="0"/>
        <v>66526.959511041641</v>
      </c>
      <c r="H20" s="26">
        <f t="shared" si="0"/>
        <v>2875.9204958605546</v>
      </c>
      <c r="I20" s="25">
        <f t="shared" si="0"/>
        <v>929645.86304521142</v>
      </c>
      <c r="J20" s="25">
        <f t="shared" si="0"/>
        <v>2422708.4659329471</v>
      </c>
      <c r="K20" s="25">
        <f t="shared" si="0"/>
        <v>1305599.4393406094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074" priority="13" stopIfTrue="1" operator="equal">
      <formula>0</formula>
    </cfRule>
  </conditionalFormatting>
  <conditionalFormatting sqref="D8:D19">
    <cfRule type="cellIs" dxfId="1073" priority="12" stopIfTrue="1" operator="equal">
      <formula>0</formula>
    </cfRule>
  </conditionalFormatting>
  <conditionalFormatting sqref="F8:F19">
    <cfRule type="cellIs" dxfId="1072" priority="11" stopIfTrue="1" operator="equal">
      <formula>0</formula>
    </cfRule>
  </conditionalFormatting>
  <conditionalFormatting sqref="G8:G19">
    <cfRule type="cellIs" dxfId="1071" priority="10" stopIfTrue="1" operator="equal">
      <formula>0</formula>
    </cfRule>
  </conditionalFormatting>
  <conditionalFormatting sqref="I8:I19">
    <cfRule type="cellIs" dxfId="1070" priority="9" stopIfTrue="1" operator="equal">
      <formula>0</formula>
    </cfRule>
  </conditionalFormatting>
  <conditionalFormatting sqref="J8:J19">
    <cfRule type="cellIs" dxfId="1069" priority="8" stopIfTrue="1" operator="equal">
      <formula>0</formula>
    </cfRule>
  </conditionalFormatting>
  <conditionalFormatting sqref="K8:K19">
    <cfRule type="cellIs" dxfId="1068" priority="7" stopIfTrue="1" operator="equal">
      <formula>0</formula>
    </cfRule>
  </conditionalFormatting>
  <conditionalFormatting sqref="C20">
    <cfRule type="cellIs" dxfId="1067" priority="6" stopIfTrue="1" operator="equal">
      <formula>0</formula>
    </cfRule>
  </conditionalFormatting>
  <conditionalFormatting sqref="C8:C19">
    <cfRule type="cellIs" dxfId="1066" priority="5" stopIfTrue="1" operator="equal">
      <formula>0</formula>
    </cfRule>
  </conditionalFormatting>
  <conditionalFormatting sqref="E20">
    <cfRule type="cellIs" dxfId="1065" priority="4" stopIfTrue="1" operator="equal">
      <formula>0</formula>
    </cfRule>
  </conditionalFormatting>
  <conditionalFormatting sqref="E8:E19">
    <cfRule type="cellIs" dxfId="1064" priority="3" stopIfTrue="1" operator="equal">
      <formula>0</formula>
    </cfRule>
  </conditionalFormatting>
  <conditionalFormatting sqref="H20">
    <cfRule type="cellIs" dxfId="1063" priority="2" stopIfTrue="1" operator="equal">
      <formula>0</formula>
    </cfRule>
  </conditionalFormatting>
  <conditionalFormatting sqref="H8:H19">
    <cfRule type="cellIs" dxfId="106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466D-9534-40A9-AA0E-EECD6FBA8BB1}">
  <dimension ref="A1:K20"/>
  <sheetViews>
    <sheetView zoomScale="91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1.42578125" customWidth="1"/>
    <col min="4" max="4" width="9.5703125" customWidth="1"/>
    <col min="5" max="5" width="9.42578125" bestFit="1" customWidth="1"/>
    <col min="6" max="6" width="11" customWidth="1"/>
    <col min="7" max="7" width="9.5703125" customWidth="1"/>
    <col min="8" max="8" width="8.5703125" customWidth="1"/>
    <col min="10" max="10" width="11.42578125" customWidth="1"/>
    <col min="11" max="11" width="11.5703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173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172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8.5" customHeight="1" x14ac:dyDescent="0.2">
      <c r="A5" s="123"/>
      <c r="B5" s="127" t="s">
        <v>158</v>
      </c>
      <c r="C5" s="127" t="s">
        <v>151</v>
      </c>
      <c r="D5" s="158" t="s">
        <v>152</v>
      </c>
      <c r="E5" s="158"/>
      <c r="F5" s="158"/>
      <c r="G5" s="158"/>
      <c r="H5" s="158"/>
      <c r="I5" s="158"/>
      <c r="J5" s="121" t="s">
        <v>153</v>
      </c>
      <c r="K5" s="121"/>
    </row>
    <row r="6" spans="1:11" s="7" customFormat="1" ht="28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5926.4880440235138</v>
      </c>
      <c r="C8" s="50">
        <v>1.5517918769988448</v>
      </c>
      <c r="D8" s="49">
        <v>359.87179470062256</v>
      </c>
      <c r="E8" s="50">
        <v>1.4293919269266278</v>
      </c>
      <c r="F8" s="49">
        <v>3766.6623086929321</v>
      </c>
      <c r="G8" s="49">
        <v>39.649257659912109</v>
      </c>
      <c r="H8" s="50">
        <v>0.1223999500722185</v>
      </c>
      <c r="I8" s="49">
        <v>400.3626155853263</v>
      </c>
      <c r="J8" s="49">
        <v>27297.988116025968</v>
      </c>
      <c r="K8" s="49">
        <v>22971.385631084409</v>
      </c>
    </row>
    <row r="9" spans="1:11" s="6" customFormat="1" ht="20.45" customHeight="1" x14ac:dyDescent="0.2">
      <c r="A9" s="29" t="s">
        <v>1</v>
      </c>
      <c r="B9" s="51">
        <v>704766.09807908535</v>
      </c>
      <c r="C9" s="52">
        <v>7896.6372438404005</v>
      </c>
      <c r="D9" s="51">
        <v>150281.37110197544</v>
      </c>
      <c r="E9" s="52">
        <v>5907.0597385224128</v>
      </c>
      <c r="F9" s="51">
        <v>7323152.5493204352</v>
      </c>
      <c r="G9" s="51">
        <v>66711.832143187523</v>
      </c>
      <c r="H9" s="52">
        <v>1989.577505317799</v>
      </c>
      <c r="I9" s="51">
        <v>3071202.8001594134</v>
      </c>
      <c r="J9" s="51">
        <v>2752087.8572343569</v>
      </c>
      <c r="K9" s="51">
        <v>2542573.8429284375</v>
      </c>
    </row>
    <row r="10" spans="1:11" ht="20.45" customHeight="1" x14ac:dyDescent="0.2">
      <c r="A10" s="30" t="s">
        <v>2</v>
      </c>
      <c r="B10" s="53">
        <v>45421.744304656982</v>
      </c>
      <c r="C10" s="54">
        <v>68.603596317510892</v>
      </c>
      <c r="D10" s="53">
        <v>5896.2999491691589</v>
      </c>
      <c r="E10" s="54">
        <v>52.566750622716206</v>
      </c>
      <c r="F10" s="53">
        <v>81061.352070808469</v>
      </c>
      <c r="G10" s="53">
        <v>2339.3269114494324</v>
      </c>
      <c r="H10" s="54">
        <v>16.036845694794703</v>
      </c>
      <c r="I10" s="53">
        <v>37408.583804607551</v>
      </c>
      <c r="J10" s="53">
        <v>118003.63359069853</v>
      </c>
      <c r="K10" s="53">
        <v>108431.51301622344</v>
      </c>
    </row>
    <row r="11" spans="1:11" ht="20.45" customHeight="1" x14ac:dyDescent="0.2">
      <c r="A11" s="30" t="s">
        <v>3</v>
      </c>
      <c r="B11" s="53">
        <v>90557.634418725967</v>
      </c>
      <c r="C11" s="54">
        <v>267.33163094287187</v>
      </c>
      <c r="D11" s="53">
        <v>14242.096464633942</v>
      </c>
      <c r="E11" s="54">
        <v>199.85185492140482</v>
      </c>
      <c r="F11" s="53">
        <v>294664.25132656225</v>
      </c>
      <c r="G11" s="53">
        <v>6234.1651139259338</v>
      </c>
      <c r="H11" s="54">
        <v>67.47977602146716</v>
      </c>
      <c r="I11" s="53">
        <v>188268.53381633715</v>
      </c>
      <c r="J11" s="53">
        <v>284452.28255963308</v>
      </c>
      <c r="K11" s="53">
        <v>291994.109473705</v>
      </c>
    </row>
    <row r="12" spans="1:11" ht="20.45" customHeight="1" x14ac:dyDescent="0.2">
      <c r="A12" s="30" t="s">
        <v>4</v>
      </c>
      <c r="B12" s="53">
        <v>256999.89029920101</v>
      </c>
      <c r="C12" s="54">
        <v>1443.5178929415961</v>
      </c>
      <c r="D12" s="53">
        <v>51903.376782894135</v>
      </c>
      <c r="E12" s="54">
        <v>1041.3635980242989</v>
      </c>
      <c r="F12" s="53">
        <v>1494964.4675781771</v>
      </c>
      <c r="G12" s="53">
        <v>22969.318061828613</v>
      </c>
      <c r="H12" s="54">
        <v>402.15429491728429</v>
      </c>
      <c r="I12" s="53">
        <v>718074.64662193786</v>
      </c>
      <c r="J12" s="53">
        <v>949995.96870506601</v>
      </c>
      <c r="K12" s="53">
        <v>926584.13020015194</v>
      </c>
    </row>
    <row r="13" spans="1:11" ht="20.45" customHeight="1" x14ac:dyDescent="0.2">
      <c r="A13" s="30" t="s">
        <v>5</v>
      </c>
      <c r="B13" s="53">
        <v>195617.33060073853</v>
      </c>
      <c r="C13" s="54">
        <v>2252.4121697237792</v>
      </c>
      <c r="D13" s="53">
        <v>46294.051396727562</v>
      </c>
      <c r="E13" s="54">
        <v>1625.7354211720999</v>
      </c>
      <c r="F13" s="53">
        <v>2076060.0960193891</v>
      </c>
      <c r="G13" s="53">
        <v>21187.504987835884</v>
      </c>
      <c r="H13" s="54">
        <v>626.6767485516749</v>
      </c>
      <c r="I13" s="53">
        <v>974561.44214165118</v>
      </c>
      <c r="J13" s="53">
        <v>808483.03305257531</v>
      </c>
      <c r="K13" s="53">
        <v>721886.54658591736</v>
      </c>
    </row>
    <row r="14" spans="1:11" ht="20.45" customHeight="1" x14ac:dyDescent="0.2">
      <c r="A14" s="30" t="s">
        <v>6</v>
      </c>
      <c r="B14" s="53">
        <v>91519.981284618378</v>
      </c>
      <c r="C14" s="54">
        <v>1954.4982255234809</v>
      </c>
      <c r="D14" s="53">
        <v>24680.201144933701</v>
      </c>
      <c r="E14" s="54">
        <v>1389.7589653364478</v>
      </c>
      <c r="F14" s="53">
        <v>1624277.3919460881</v>
      </c>
      <c r="G14" s="53">
        <v>11053.991867303848</v>
      </c>
      <c r="H14" s="54">
        <v>564.73926018702957</v>
      </c>
      <c r="I14" s="53">
        <v>822101.06310808391</v>
      </c>
      <c r="J14" s="53">
        <v>426975.72092259052</v>
      </c>
      <c r="K14" s="53">
        <v>375554.75835549785</v>
      </c>
    </row>
    <row r="15" spans="1:11" ht="20.45" customHeight="1" x14ac:dyDescent="0.2">
      <c r="A15" s="30" t="s">
        <v>7</v>
      </c>
      <c r="B15" s="53">
        <v>17015.306973695755</v>
      </c>
      <c r="C15" s="54">
        <v>721.31295021097947</v>
      </c>
      <c r="D15" s="53">
        <v>4854.1920099258423</v>
      </c>
      <c r="E15" s="54">
        <v>567.95022295803267</v>
      </c>
      <c r="F15" s="53">
        <v>944069.53544616594</v>
      </c>
      <c r="G15" s="53">
        <v>2145.0046496391296</v>
      </c>
      <c r="H15" s="54">
        <v>153.36272725294918</v>
      </c>
      <c r="I15" s="53">
        <v>182587.82105636576</v>
      </c>
      <c r="J15" s="53">
        <v>94385.50780725501</v>
      </c>
      <c r="K15" s="53">
        <v>71403.126726150527</v>
      </c>
    </row>
    <row r="16" spans="1:11" ht="20.45" customHeight="1" x14ac:dyDescent="0.2">
      <c r="A16" s="30" t="s">
        <v>8</v>
      </c>
      <c r="B16" s="53">
        <v>4741.7272915840149</v>
      </c>
      <c r="C16" s="54">
        <v>394.18355370466924</v>
      </c>
      <c r="D16" s="53">
        <v>1435.2681465148926</v>
      </c>
      <c r="E16" s="54">
        <v>312.6088747170744</v>
      </c>
      <c r="F16" s="53">
        <v>271725.4225072863</v>
      </c>
      <c r="G16" s="53">
        <v>493.53022527694702</v>
      </c>
      <c r="H16" s="54">
        <v>81.574678987595178</v>
      </c>
      <c r="I16" s="53">
        <v>102444.60660982128</v>
      </c>
      <c r="J16" s="53">
        <v>43930.501448154435</v>
      </c>
      <c r="K16" s="53">
        <v>32802.558179855339</v>
      </c>
    </row>
    <row r="17" spans="1:11" ht="20.45" customHeight="1" x14ac:dyDescent="0.2">
      <c r="A17" s="30" t="s">
        <v>9</v>
      </c>
      <c r="B17" s="53">
        <v>1437.1995978355408</v>
      </c>
      <c r="C17" s="54">
        <v>249.35876101828217</v>
      </c>
      <c r="D17" s="53">
        <v>421.70304727554321</v>
      </c>
      <c r="E17" s="54">
        <v>224.0622988683489</v>
      </c>
      <c r="F17" s="53">
        <v>171537.41631650925</v>
      </c>
      <c r="G17" s="53">
        <v>178.61814594268799</v>
      </c>
      <c r="H17" s="54">
        <v>25.296462149933223</v>
      </c>
      <c r="I17" s="53">
        <v>9043.3928155899048</v>
      </c>
      <c r="J17" s="53">
        <v>10578.511154651636</v>
      </c>
      <c r="K17" s="53">
        <v>7492.0920052528418</v>
      </c>
    </row>
    <row r="18" spans="1:11" ht="20.45" customHeight="1" x14ac:dyDescent="0.2">
      <c r="A18" s="30" t="s">
        <v>10</v>
      </c>
      <c r="B18" s="53">
        <v>1201.8934760093689</v>
      </c>
      <c r="C18" s="54">
        <v>234.69110238774306</v>
      </c>
      <c r="D18" s="53">
        <v>479.1286416053772</v>
      </c>
      <c r="E18" s="54">
        <v>185.6868171209305</v>
      </c>
      <c r="F18" s="53">
        <v>237744.95843839645</v>
      </c>
      <c r="G18" s="53">
        <v>99.255439758300781</v>
      </c>
      <c r="H18" s="54">
        <v>49.004285266812431</v>
      </c>
      <c r="I18" s="53">
        <v>24484.295935630827</v>
      </c>
      <c r="J18" s="53">
        <v>5003.6761188507062</v>
      </c>
      <c r="K18" s="53">
        <v>2348.094338417055</v>
      </c>
    </row>
    <row r="19" spans="1:11" ht="20.45" customHeight="1" x14ac:dyDescent="0.2">
      <c r="A19" s="30" t="s">
        <v>11</v>
      </c>
      <c r="B19" s="53">
        <v>253.38983201980591</v>
      </c>
      <c r="C19" s="54">
        <v>310.72736106932393</v>
      </c>
      <c r="D19" s="53">
        <v>75.053518295288086</v>
      </c>
      <c r="E19" s="54">
        <v>307.4749347810627</v>
      </c>
      <c r="F19" s="53">
        <v>127047.65767097476</v>
      </c>
      <c r="G19" s="53">
        <v>11.116740226745605</v>
      </c>
      <c r="H19" s="54">
        <v>3.2524262882610344</v>
      </c>
      <c r="I19" s="53">
        <v>12228.414249420166</v>
      </c>
      <c r="J19" s="53">
        <v>10279.021874904631</v>
      </c>
      <c r="K19" s="53">
        <v>4076.9140472412118</v>
      </c>
    </row>
    <row r="20" spans="1:11" s="6" customFormat="1" ht="20.45" customHeight="1" x14ac:dyDescent="0.2">
      <c r="A20" s="31" t="s">
        <v>12</v>
      </c>
      <c r="B20" s="25">
        <f>B8+B9</f>
        <v>710692.58612310886</v>
      </c>
      <c r="C20" s="26">
        <f t="shared" ref="C20:K20" si="0">C8+C9</f>
        <v>7898.1890357173997</v>
      </c>
      <c r="D20" s="25">
        <f t="shared" si="0"/>
        <v>150641.24289667606</v>
      </c>
      <c r="E20" s="26">
        <f t="shared" si="0"/>
        <v>5908.4891304493394</v>
      </c>
      <c r="F20" s="25">
        <f t="shared" si="0"/>
        <v>7326919.2116291281</v>
      </c>
      <c r="G20" s="25">
        <f t="shared" si="0"/>
        <v>66751.481400847435</v>
      </c>
      <c r="H20" s="26">
        <f t="shared" si="0"/>
        <v>1989.6999052678711</v>
      </c>
      <c r="I20" s="25">
        <f t="shared" si="0"/>
        <v>3071603.1627749987</v>
      </c>
      <c r="J20" s="25">
        <f t="shared" si="0"/>
        <v>2779385.8453503828</v>
      </c>
      <c r="K20" s="25">
        <f t="shared" si="0"/>
        <v>2565545.228559522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061" priority="13" stopIfTrue="1" operator="equal">
      <formula>0</formula>
    </cfRule>
  </conditionalFormatting>
  <conditionalFormatting sqref="D8:D19">
    <cfRule type="cellIs" dxfId="1060" priority="12" stopIfTrue="1" operator="equal">
      <formula>0</formula>
    </cfRule>
  </conditionalFormatting>
  <conditionalFormatting sqref="F8:F19">
    <cfRule type="cellIs" dxfId="1059" priority="11" stopIfTrue="1" operator="equal">
      <formula>0</formula>
    </cfRule>
  </conditionalFormatting>
  <conditionalFormatting sqref="G8:G19">
    <cfRule type="cellIs" dxfId="1058" priority="10" stopIfTrue="1" operator="equal">
      <formula>0</formula>
    </cfRule>
  </conditionalFormatting>
  <conditionalFormatting sqref="I8:I19">
    <cfRule type="cellIs" dxfId="1057" priority="9" stopIfTrue="1" operator="equal">
      <formula>0</formula>
    </cfRule>
  </conditionalFormatting>
  <conditionalFormatting sqref="J8:J19">
    <cfRule type="cellIs" dxfId="1056" priority="8" stopIfTrue="1" operator="equal">
      <formula>0</formula>
    </cfRule>
  </conditionalFormatting>
  <conditionalFormatting sqref="K8:K19">
    <cfRule type="cellIs" dxfId="1055" priority="7" stopIfTrue="1" operator="equal">
      <formula>0</formula>
    </cfRule>
  </conditionalFormatting>
  <conditionalFormatting sqref="C20">
    <cfRule type="cellIs" dxfId="1054" priority="6" stopIfTrue="1" operator="equal">
      <formula>0</formula>
    </cfRule>
  </conditionalFormatting>
  <conditionalFormatting sqref="C8:C19">
    <cfRule type="cellIs" dxfId="1053" priority="5" stopIfTrue="1" operator="equal">
      <formula>0</formula>
    </cfRule>
  </conditionalFormatting>
  <conditionalFormatting sqref="E20">
    <cfRule type="cellIs" dxfId="1052" priority="4" stopIfTrue="1" operator="equal">
      <formula>0</formula>
    </cfRule>
  </conditionalFormatting>
  <conditionalFormatting sqref="E8:E19">
    <cfRule type="cellIs" dxfId="1051" priority="3" stopIfTrue="1" operator="equal">
      <formula>0</formula>
    </cfRule>
  </conditionalFormatting>
  <conditionalFormatting sqref="H20">
    <cfRule type="cellIs" dxfId="1050" priority="2" stopIfTrue="1" operator="equal">
      <formula>0</formula>
    </cfRule>
  </conditionalFormatting>
  <conditionalFormatting sqref="H8:H19">
    <cfRule type="cellIs" dxfId="104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4F3D-45FC-40A0-8F97-204C6420637E}">
  <dimension ref="A1:K20"/>
  <sheetViews>
    <sheetView zoomScale="93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1.42578125" customWidth="1"/>
    <col min="4" max="4" width="10" customWidth="1"/>
    <col min="5" max="5" width="9.85546875" customWidth="1"/>
    <col min="6" max="6" width="10.42578125" customWidth="1"/>
    <col min="7" max="7" width="10.5703125" customWidth="1"/>
    <col min="8" max="8" width="10.140625" customWidth="1"/>
    <col min="9" max="9" width="9.5703125" customWidth="1"/>
    <col min="10" max="10" width="11.42578125" customWidth="1"/>
    <col min="11" max="11" width="12.42578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 t="s">
        <v>32</v>
      </c>
    </row>
    <row r="3" spans="1:11" x14ac:dyDescent="0.2">
      <c r="A3" s="27" t="s">
        <v>175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123" t="s">
        <v>30</v>
      </c>
      <c r="B4" s="157" t="s">
        <v>174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2.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8916.7968866825104</v>
      </c>
      <c r="C8" s="50">
        <v>0.31572746411821673</v>
      </c>
      <c r="D8" s="49">
        <v>146.59887599945068</v>
      </c>
      <c r="E8" s="50">
        <v>0.31572746411821645</v>
      </c>
      <c r="F8" s="49">
        <v>302.64264678955141</v>
      </c>
      <c r="G8" s="49">
        <v>0</v>
      </c>
      <c r="H8" s="50"/>
      <c r="I8" s="49">
        <v>0</v>
      </c>
      <c r="J8" s="49">
        <v>11661.994811296447</v>
      </c>
      <c r="K8" s="49">
        <v>5053.1164524555252</v>
      </c>
    </row>
    <row r="9" spans="1:11" s="6" customFormat="1" ht="20.45" customHeight="1" x14ac:dyDescent="0.2">
      <c r="A9" s="29" t="s">
        <v>1</v>
      </c>
      <c r="B9" s="51">
        <v>440243.84915578365</v>
      </c>
      <c r="C9" s="52">
        <v>363.93144813351097</v>
      </c>
      <c r="D9" s="51">
        <v>26319.357576966286</v>
      </c>
      <c r="E9" s="52">
        <v>281.80849488960018</v>
      </c>
      <c r="F9" s="51">
        <v>138698.68216884285</v>
      </c>
      <c r="G9" s="51">
        <v>6894.5179648399353</v>
      </c>
      <c r="H9" s="52">
        <v>82.122953243907702</v>
      </c>
      <c r="I9" s="51">
        <v>111364.87606167773</v>
      </c>
      <c r="J9" s="51">
        <v>718831.64253318007</v>
      </c>
      <c r="K9" s="51">
        <v>245097.99960732597</v>
      </c>
    </row>
    <row r="10" spans="1:11" ht="20.45" customHeight="1" x14ac:dyDescent="0.2">
      <c r="A10" s="30" t="s">
        <v>2</v>
      </c>
      <c r="B10" s="53">
        <v>47757.86351275444</v>
      </c>
      <c r="C10" s="54">
        <v>7.1112819738406765</v>
      </c>
      <c r="D10" s="53">
        <v>1852.4851551055908</v>
      </c>
      <c r="E10" s="54">
        <v>5.6784424662282627</v>
      </c>
      <c r="F10" s="53">
        <v>4189.8551187515232</v>
      </c>
      <c r="G10" s="53">
        <v>426.35643672943115</v>
      </c>
      <c r="H10" s="54">
        <v>1.4328395076124232</v>
      </c>
      <c r="I10" s="53">
        <v>1297.4876623153721</v>
      </c>
      <c r="J10" s="53">
        <v>60376.806909799649</v>
      </c>
      <c r="K10" s="53">
        <v>21691.300729274746</v>
      </c>
    </row>
    <row r="11" spans="1:11" ht="20.45" customHeight="1" x14ac:dyDescent="0.2">
      <c r="A11" s="30" t="s">
        <v>3</v>
      </c>
      <c r="B11" s="53">
        <v>65479.361196517944</v>
      </c>
      <c r="C11" s="54">
        <v>20.396480194789891</v>
      </c>
      <c r="D11" s="53">
        <v>3052.8180704116821</v>
      </c>
      <c r="E11" s="54">
        <v>16.540819366217512</v>
      </c>
      <c r="F11" s="53">
        <v>10505.140516281186</v>
      </c>
      <c r="G11" s="53">
        <v>841.53542470932007</v>
      </c>
      <c r="H11" s="54">
        <v>3.8556608285723781</v>
      </c>
      <c r="I11" s="53">
        <v>2236.2934412956251</v>
      </c>
      <c r="J11" s="53">
        <v>92622.115504265093</v>
      </c>
      <c r="K11" s="53">
        <v>36137.22368621816</v>
      </c>
    </row>
    <row r="12" spans="1:11" ht="20.45" customHeight="1" x14ac:dyDescent="0.2">
      <c r="A12" s="30" t="s">
        <v>4</v>
      </c>
      <c r="B12" s="53">
        <v>148066.45968842506</v>
      </c>
      <c r="C12" s="54">
        <v>81.119088923047187</v>
      </c>
      <c r="D12" s="53">
        <v>8799.3404626846313</v>
      </c>
      <c r="E12" s="54">
        <v>61.14484625089306</v>
      </c>
      <c r="F12" s="53">
        <v>40821.761081218967</v>
      </c>
      <c r="G12" s="53">
        <v>2410.2677531242371</v>
      </c>
      <c r="H12" s="54">
        <v>19.974242672154553</v>
      </c>
      <c r="I12" s="53">
        <v>49805.943645954016</v>
      </c>
      <c r="J12" s="53">
        <v>232367.53307247008</v>
      </c>
      <c r="K12" s="53">
        <v>84016.501804352054</v>
      </c>
    </row>
    <row r="13" spans="1:11" ht="20.45" customHeight="1" x14ac:dyDescent="0.2">
      <c r="A13" s="30" t="s">
        <v>5</v>
      </c>
      <c r="B13" s="53">
        <v>109632.06644570827</v>
      </c>
      <c r="C13" s="54">
        <v>102.7050310040277</v>
      </c>
      <c r="D13" s="53">
        <v>6757.4389499425888</v>
      </c>
      <c r="E13" s="54">
        <v>72.900445814269446</v>
      </c>
      <c r="F13" s="53">
        <v>38140.403381705044</v>
      </c>
      <c r="G13" s="53">
        <v>1931.3615472316742</v>
      </c>
      <c r="H13" s="54">
        <v>29.804585189758257</v>
      </c>
      <c r="I13" s="53">
        <v>42323.667169570537</v>
      </c>
      <c r="J13" s="53">
        <v>195955.09898912697</v>
      </c>
      <c r="K13" s="53">
        <v>63125.371402025121</v>
      </c>
    </row>
    <row r="14" spans="1:11" ht="20.45" customHeight="1" x14ac:dyDescent="0.2">
      <c r="A14" s="30" t="s">
        <v>6</v>
      </c>
      <c r="B14" s="53">
        <v>54270.599892377853</v>
      </c>
      <c r="C14" s="54">
        <v>104.01553957942102</v>
      </c>
      <c r="D14" s="53">
        <v>4423.9258329868317</v>
      </c>
      <c r="E14" s="54">
        <v>85.948132557652912</v>
      </c>
      <c r="F14" s="53">
        <v>32211.72608470924</v>
      </c>
      <c r="G14" s="53">
        <v>951.39724850654602</v>
      </c>
      <c r="H14" s="54">
        <v>18.067407021767494</v>
      </c>
      <c r="I14" s="53">
        <v>13088.18087315553</v>
      </c>
      <c r="J14" s="53">
        <v>104465.01990151487</v>
      </c>
      <c r="K14" s="53">
        <v>31739.29107713707</v>
      </c>
    </row>
    <row r="15" spans="1:11" ht="20.45" customHeight="1" x14ac:dyDescent="0.2">
      <c r="A15" s="30" t="s">
        <v>7</v>
      </c>
      <c r="B15" s="53">
        <v>10443.73011636734</v>
      </c>
      <c r="C15" s="54">
        <v>30.755671299361286</v>
      </c>
      <c r="D15" s="53">
        <v>883.72808074951172</v>
      </c>
      <c r="E15" s="54">
        <v>23.554554732337945</v>
      </c>
      <c r="F15" s="53">
        <v>6880.3974962234397</v>
      </c>
      <c r="G15" s="53">
        <v>278.40305328369141</v>
      </c>
      <c r="H15" s="54">
        <v>7.201116567023238</v>
      </c>
      <c r="I15" s="53">
        <v>2120.4960551261897</v>
      </c>
      <c r="J15" s="53">
        <v>22998.927944660172</v>
      </c>
      <c r="K15" s="53">
        <v>5440.5500230789066</v>
      </c>
    </row>
    <row r="16" spans="1:11" ht="20.45" customHeight="1" x14ac:dyDescent="0.2">
      <c r="A16" s="30" t="s">
        <v>8</v>
      </c>
      <c r="B16" s="53">
        <v>2590.7374496459961</v>
      </c>
      <c r="C16" s="54">
        <v>12.05869957916574</v>
      </c>
      <c r="D16" s="53">
        <v>349.13577127456665</v>
      </c>
      <c r="E16" s="54">
        <v>10.439003720655174</v>
      </c>
      <c r="F16" s="53">
        <v>3998.5144309997554</v>
      </c>
      <c r="G16" s="53">
        <v>50.466089248657227</v>
      </c>
      <c r="H16" s="54">
        <v>1.6196958585105528</v>
      </c>
      <c r="I16" s="53">
        <v>431.31185817718551</v>
      </c>
      <c r="J16" s="53">
        <v>5391.4463572502164</v>
      </c>
      <c r="K16" s="53">
        <v>2210.8339939117436</v>
      </c>
    </row>
    <row r="17" spans="1:11" ht="20.45" customHeight="1" x14ac:dyDescent="0.2">
      <c r="A17" s="30" t="s">
        <v>9</v>
      </c>
      <c r="B17" s="53">
        <v>1146.8525915145874</v>
      </c>
      <c r="C17" s="54">
        <v>2.0965132768820673</v>
      </c>
      <c r="D17" s="53">
        <v>90.830840587615967</v>
      </c>
      <c r="E17" s="54">
        <v>1.9291076783733359</v>
      </c>
      <c r="F17" s="53">
        <v>516.22926235198986</v>
      </c>
      <c r="G17" s="53">
        <v>4.7304120063781738</v>
      </c>
      <c r="H17" s="54">
        <v>0.16740559850873057</v>
      </c>
      <c r="I17" s="53">
        <v>61.495356082916253</v>
      </c>
      <c r="J17" s="53">
        <v>2476.6193561553964</v>
      </c>
      <c r="K17" s="53">
        <v>303.37682342529314</v>
      </c>
    </row>
    <row r="18" spans="1:11" ht="20.45" customHeight="1" x14ac:dyDescent="0.2">
      <c r="A18" s="30" t="s">
        <v>10</v>
      </c>
      <c r="B18" s="53">
        <v>689.61058163642883</v>
      </c>
      <c r="C18" s="54">
        <v>3.6514507410234582</v>
      </c>
      <c r="D18" s="53">
        <v>96.3089599609375</v>
      </c>
      <c r="E18" s="54">
        <v>3.6514507410234569</v>
      </c>
      <c r="F18" s="53">
        <v>1407.9638900756854</v>
      </c>
      <c r="G18" s="53">
        <v>0</v>
      </c>
      <c r="H18" s="54"/>
      <c r="I18" s="53">
        <v>0</v>
      </c>
      <c r="J18" s="53">
        <v>1459.2818949222567</v>
      </c>
      <c r="K18" s="53">
        <v>273.25039291381808</v>
      </c>
    </row>
    <row r="19" spans="1:11" ht="20.45" customHeight="1" x14ac:dyDescent="0.2">
      <c r="A19" s="30" t="s">
        <v>11</v>
      </c>
      <c r="B19" s="53">
        <v>166.56768083572388</v>
      </c>
      <c r="C19" s="54">
        <v>2.1691561948922414E-2</v>
      </c>
      <c r="D19" s="53">
        <v>13.345453262329102</v>
      </c>
      <c r="E19" s="54">
        <v>2.1691561948922411E-2</v>
      </c>
      <c r="F19" s="53">
        <v>26.690906524658203</v>
      </c>
      <c r="G19" s="53">
        <v>0</v>
      </c>
      <c r="H19" s="54"/>
      <c r="I19" s="53">
        <v>0</v>
      </c>
      <c r="J19" s="53">
        <v>718.79260301589977</v>
      </c>
      <c r="K19" s="53">
        <v>160.299674987793</v>
      </c>
    </row>
    <row r="20" spans="1:11" s="6" customFormat="1" ht="20.45" customHeight="1" x14ac:dyDescent="0.2">
      <c r="A20" s="31" t="s">
        <v>12</v>
      </c>
      <c r="B20" s="25">
        <f>B8+B9</f>
        <v>449160.64604246616</v>
      </c>
      <c r="C20" s="26">
        <f t="shared" ref="C20:K20" si="0">C8+C9</f>
        <v>364.24717559762917</v>
      </c>
      <c r="D20" s="25">
        <f t="shared" si="0"/>
        <v>26465.956452965736</v>
      </c>
      <c r="E20" s="26">
        <f t="shared" si="0"/>
        <v>282.12422235371838</v>
      </c>
      <c r="F20" s="25">
        <f t="shared" si="0"/>
        <v>139001.3248156324</v>
      </c>
      <c r="G20" s="25">
        <f t="shared" si="0"/>
        <v>6894.5179648399353</v>
      </c>
      <c r="H20" s="26">
        <f t="shared" si="0"/>
        <v>82.122953243907702</v>
      </c>
      <c r="I20" s="25">
        <f t="shared" si="0"/>
        <v>111364.87606167773</v>
      </c>
      <c r="J20" s="25">
        <f t="shared" si="0"/>
        <v>730493.63734447653</v>
      </c>
      <c r="K20" s="25">
        <f t="shared" si="0"/>
        <v>250151.11605978149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048" priority="13" stopIfTrue="1" operator="equal">
      <formula>0</formula>
    </cfRule>
  </conditionalFormatting>
  <conditionalFormatting sqref="D8:D19">
    <cfRule type="cellIs" dxfId="1047" priority="12" stopIfTrue="1" operator="equal">
      <formula>0</formula>
    </cfRule>
  </conditionalFormatting>
  <conditionalFormatting sqref="F8:F19">
    <cfRule type="cellIs" dxfId="1046" priority="11" stopIfTrue="1" operator="equal">
      <formula>0</formula>
    </cfRule>
  </conditionalFormatting>
  <conditionalFormatting sqref="G8:G19">
    <cfRule type="cellIs" dxfId="1045" priority="10" stopIfTrue="1" operator="equal">
      <formula>0</formula>
    </cfRule>
  </conditionalFormatting>
  <conditionalFormatting sqref="I8:I19">
    <cfRule type="cellIs" dxfId="1044" priority="9" stopIfTrue="1" operator="equal">
      <formula>0</formula>
    </cfRule>
  </conditionalFormatting>
  <conditionalFormatting sqref="J8:J19">
    <cfRule type="cellIs" dxfId="1043" priority="8" stopIfTrue="1" operator="equal">
      <formula>0</formula>
    </cfRule>
  </conditionalFormatting>
  <conditionalFormatting sqref="K8:K19">
    <cfRule type="cellIs" dxfId="1042" priority="7" stopIfTrue="1" operator="equal">
      <formula>0</formula>
    </cfRule>
  </conditionalFormatting>
  <conditionalFormatting sqref="C20">
    <cfRule type="cellIs" dxfId="1041" priority="6" stopIfTrue="1" operator="equal">
      <formula>0</formula>
    </cfRule>
  </conditionalFormatting>
  <conditionalFormatting sqref="C8:C19">
    <cfRule type="cellIs" dxfId="1040" priority="5" stopIfTrue="1" operator="equal">
      <formula>0</formula>
    </cfRule>
  </conditionalFormatting>
  <conditionalFormatting sqref="E20">
    <cfRule type="cellIs" dxfId="1039" priority="4" stopIfTrue="1" operator="equal">
      <formula>0</formula>
    </cfRule>
  </conditionalFormatting>
  <conditionalFormatting sqref="E8:E19">
    <cfRule type="cellIs" dxfId="1038" priority="3" stopIfTrue="1" operator="equal">
      <formula>0</formula>
    </cfRule>
  </conditionalFormatting>
  <conditionalFormatting sqref="H20">
    <cfRule type="cellIs" dxfId="1037" priority="2" stopIfTrue="1" operator="equal">
      <formula>0</formula>
    </cfRule>
  </conditionalFormatting>
  <conditionalFormatting sqref="H8:H19">
    <cfRule type="cellIs" dxfId="1036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AD96-8962-456F-A591-2F87EAD88970}">
  <dimension ref="A1:K20"/>
  <sheetViews>
    <sheetView zoomScale="103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2" customWidth="1"/>
    <col min="4" max="4" width="10" customWidth="1"/>
    <col min="6" max="6" width="10.5703125" customWidth="1"/>
    <col min="7" max="7" width="9.5703125" customWidth="1"/>
    <col min="8" max="8" width="9" customWidth="1"/>
    <col min="9" max="9" width="9.42578125" customWidth="1"/>
    <col min="10" max="10" width="11.42578125" customWidth="1"/>
    <col min="11" max="11" width="13.5703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177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123" t="s">
        <v>30</v>
      </c>
      <c r="B4" s="157" t="s">
        <v>176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1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2441.2392272949219</v>
      </c>
      <c r="C8" s="50">
        <v>0</v>
      </c>
      <c r="D8" s="49">
        <v>0</v>
      </c>
      <c r="E8" s="50"/>
      <c r="F8" s="49">
        <v>0</v>
      </c>
      <c r="G8" s="49">
        <v>0</v>
      </c>
      <c r="H8" s="50"/>
      <c r="I8" s="49">
        <v>0</v>
      </c>
      <c r="J8" s="49">
        <v>2578.6288290023817</v>
      </c>
      <c r="K8" s="49">
        <v>1241.8901176452646</v>
      </c>
    </row>
    <row r="9" spans="1:11" s="6" customFormat="1" ht="20.45" customHeight="1" x14ac:dyDescent="0.2">
      <c r="A9" s="29" t="s">
        <v>1</v>
      </c>
      <c r="B9" s="51">
        <v>204902.95477354527</v>
      </c>
      <c r="C9" s="52">
        <v>459.12183780250717</v>
      </c>
      <c r="D9" s="51">
        <v>19827.366046190262</v>
      </c>
      <c r="E9" s="52">
        <v>391.65470704399752</v>
      </c>
      <c r="F9" s="51">
        <v>110557.92140936751</v>
      </c>
      <c r="G9" s="51">
        <v>4230.2734456062317</v>
      </c>
      <c r="H9" s="52">
        <v>67.467130758504211</v>
      </c>
      <c r="I9" s="51">
        <v>52358.801942824866</v>
      </c>
      <c r="J9" s="51">
        <v>227511.03777789968</v>
      </c>
      <c r="K9" s="51">
        <v>118351.36503469771</v>
      </c>
    </row>
    <row r="10" spans="1:11" ht="20.45" customHeight="1" x14ac:dyDescent="0.2">
      <c r="A10" s="30" t="s">
        <v>2</v>
      </c>
      <c r="B10" s="53">
        <v>12534.888415336609</v>
      </c>
      <c r="C10" s="54">
        <v>3.1536563920441552</v>
      </c>
      <c r="D10" s="53">
        <v>552.00957870483398</v>
      </c>
      <c r="E10" s="54">
        <v>3.0332216416004689</v>
      </c>
      <c r="F10" s="53">
        <v>1285.5779199600086</v>
      </c>
      <c r="G10" s="53">
        <v>42.613187789916992</v>
      </c>
      <c r="H10" s="54">
        <v>0.12043475044368222</v>
      </c>
      <c r="I10" s="53">
        <v>151.38353729247964</v>
      </c>
      <c r="J10" s="53">
        <v>12861.819160461404</v>
      </c>
      <c r="K10" s="53">
        <v>7016.3904409408606</v>
      </c>
    </row>
    <row r="11" spans="1:11" ht="20.45" customHeight="1" x14ac:dyDescent="0.2">
      <c r="A11" s="30" t="s">
        <v>3</v>
      </c>
      <c r="B11" s="53">
        <v>23913.449070453644</v>
      </c>
      <c r="C11" s="54">
        <v>13.703274911682351</v>
      </c>
      <c r="D11" s="53">
        <v>1452.1847991943359</v>
      </c>
      <c r="E11" s="54">
        <v>11.021110077655534</v>
      </c>
      <c r="F11" s="53">
        <v>6461.2213225364721</v>
      </c>
      <c r="G11" s="53">
        <v>386.29281568527222</v>
      </c>
      <c r="H11" s="54">
        <v>2.6821648340267563</v>
      </c>
      <c r="I11" s="53">
        <v>3692.0507564544382</v>
      </c>
      <c r="J11" s="53">
        <v>25322.195375442585</v>
      </c>
      <c r="K11" s="53">
        <v>12818.492979049668</v>
      </c>
    </row>
    <row r="12" spans="1:11" ht="20.45" customHeight="1" x14ac:dyDescent="0.2">
      <c r="A12" s="30" t="s">
        <v>4</v>
      </c>
      <c r="B12" s="53">
        <v>62527.35226392746</v>
      </c>
      <c r="C12" s="54">
        <v>56.046314807239519</v>
      </c>
      <c r="D12" s="53">
        <v>4846.4089255332947</v>
      </c>
      <c r="E12" s="54">
        <v>47.816028323198672</v>
      </c>
      <c r="F12" s="53">
        <v>25246.525385379824</v>
      </c>
      <c r="G12" s="53">
        <v>903.16241121292114</v>
      </c>
      <c r="H12" s="54">
        <v>8.2302864840402066</v>
      </c>
      <c r="I12" s="53">
        <v>15635.394599437868</v>
      </c>
      <c r="J12" s="53">
        <v>67059.068770646496</v>
      </c>
      <c r="K12" s="53">
        <v>34980.532538652747</v>
      </c>
    </row>
    <row r="13" spans="1:11" ht="20.45" customHeight="1" x14ac:dyDescent="0.2">
      <c r="A13" s="30" t="s">
        <v>5</v>
      </c>
      <c r="B13" s="53">
        <v>59261.242322206497</v>
      </c>
      <c r="C13" s="54">
        <v>120.62624549011979</v>
      </c>
      <c r="D13" s="53">
        <v>6188.9616193771362</v>
      </c>
      <c r="E13" s="54">
        <v>95.844620921381562</v>
      </c>
      <c r="F13" s="53">
        <v>31667.431357860689</v>
      </c>
      <c r="G13" s="53">
        <v>1506.2086486816406</v>
      </c>
      <c r="H13" s="54">
        <v>24.781624568738245</v>
      </c>
      <c r="I13" s="53">
        <v>17223.346231937496</v>
      </c>
      <c r="J13" s="53">
        <v>64432.097711563103</v>
      </c>
      <c r="K13" s="53">
        <v>35510.264648914315</v>
      </c>
    </row>
    <row r="14" spans="1:11" ht="20.45" customHeight="1" x14ac:dyDescent="0.2">
      <c r="A14" s="30" t="s">
        <v>6</v>
      </c>
      <c r="B14" s="53">
        <v>34777.537329792976</v>
      </c>
      <c r="C14" s="54">
        <v>133.03540099050198</v>
      </c>
      <c r="D14" s="53">
        <v>4502.436066865921</v>
      </c>
      <c r="E14" s="54">
        <v>111.81409557298363</v>
      </c>
      <c r="F14" s="53">
        <v>23356.176666021278</v>
      </c>
      <c r="G14" s="53">
        <v>905.27507209777832</v>
      </c>
      <c r="H14" s="54">
        <v>21.221305417518231</v>
      </c>
      <c r="I14" s="53">
        <v>7104.9933013915961</v>
      </c>
      <c r="J14" s="53">
        <v>40971.178910732262</v>
      </c>
      <c r="K14" s="53">
        <v>19569.593650221846</v>
      </c>
    </row>
    <row r="15" spans="1:11" ht="20.45" customHeight="1" x14ac:dyDescent="0.2">
      <c r="A15" s="30" t="s">
        <v>7</v>
      </c>
      <c r="B15" s="53">
        <v>7530.2749409675589</v>
      </c>
      <c r="C15" s="54">
        <v>60.53424808142168</v>
      </c>
      <c r="D15" s="53">
        <v>1302.2760534286499</v>
      </c>
      <c r="E15" s="54">
        <v>53.414096050676314</v>
      </c>
      <c r="F15" s="53">
        <v>12694.139162540372</v>
      </c>
      <c r="G15" s="53">
        <v>347.11007452011108</v>
      </c>
      <c r="H15" s="54">
        <v>7.1201520307455004</v>
      </c>
      <c r="I15" s="53">
        <v>7958.7666769027928</v>
      </c>
      <c r="J15" s="53">
        <v>8989.5644202232452</v>
      </c>
      <c r="K15" s="53">
        <v>5553.4165134429977</v>
      </c>
    </row>
    <row r="16" spans="1:11" ht="20.45" customHeight="1" x14ac:dyDescent="0.2">
      <c r="A16" s="30" t="s">
        <v>8</v>
      </c>
      <c r="B16" s="53">
        <v>2458.3938875198364</v>
      </c>
      <c r="C16" s="54">
        <v>32.933438038994282</v>
      </c>
      <c r="D16" s="53">
        <v>500.2367148399353</v>
      </c>
      <c r="E16" s="54">
        <v>31.150200347656181</v>
      </c>
      <c r="F16" s="53">
        <v>4967.2489175796627</v>
      </c>
      <c r="G16" s="53">
        <v>73.019830703735352</v>
      </c>
      <c r="H16" s="54">
        <v>1.783237691337993</v>
      </c>
      <c r="I16" s="53">
        <v>443.67074871063255</v>
      </c>
      <c r="J16" s="53">
        <v>4676.2684750556973</v>
      </c>
      <c r="K16" s="53">
        <v>1195.4360036849964</v>
      </c>
    </row>
    <row r="17" spans="1:11" ht="20.45" customHeight="1" x14ac:dyDescent="0.2">
      <c r="A17" s="30" t="s">
        <v>9</v>
      </c>
      <c r="B17" s="53">
        <v>956.93886470794678</v>
      </c>
      <c r="C17" s="54">
        <v>10.168972869265248</v>
      </c>
      <c r="D17" s="53">
        <v>215.7265453338623</v>
      </c>
      <c r="E17" s="54">
        <v>10.168972869265257</v>
      </c>
      <c r="F17" s="53">
        <v>1079.4383659362798</v>
      </c>
      <c r="G17" s="53">
        <v>0</v>
      </c>
      <c r="H17" s="54"/>
      <c r="I17" s="53">
        <v>0</v>
      </c>
      <c r="J17" s="53">
        <v>1374.9418797492974</v>
      </c>
      <c r="K17" s="53">
        <v>372.01044607162459</v>
      </c>
    </row>
    <row r="18" spans="1:11" ht="20.45" customHeight="1" x14ac:dyDescent="0.2">
      <c r="A18" s="30" t="s">
        <v>10</v>
      </c>
      <c r="B18" s="53">
        <v>714.3554594516753</v>
      </c>
      <c r="C18" s="54">
        <v>24.753568707707192</v>
      </c>
      <c r="D18" s="53">
        <v>183.41769981384277</v>
      </c>
      <c r="E18" s="54">
        <v>23.385222122969388</v>
      </c>
      <c r="F18" s="53">
        <v>3213.0569400787372</v>
      </c>
      <c r="G18" s="53">
        <v>23.179286956787109</v>
      </c>
      <c r="H18" s="54">
        <v>1.3683465847377931</v>
      </c>
      <c r="I18" s="53">
        <v>91.978206634521342</v>
      </c>
      <c r="J18" s="53">
        <v>1532.1257679462435</v>
      </c>
      <c r="K18" s="53">
        <v>1252.2205610275269</v>
      </c>
    </row>
    <row r="19" spans="1:11" ht="20.45" customHeight="1" x14ac:dyDescent="0.2">
      <c r="A19" s="30" t="s">
        <v>11</v>
      </c>
      <c r="B19" s="53">
        <v>228.52221918106079</v>
      </c>
      <c r="C19" s="54">
        <v>4.1667175135256995</v>
      </c>
      <c r="D19" s="53">
        <v>83.708043098449707</v>
      </c>
      <c r="E19" s="54">
        <v>4.0071391166099382</v>
      </c>
      <c r="F19" s="53">
        <v>587.1053714752195</v>
      </c>
      <c r="G19" s="53">
        <v>43.412117958068848</v>
      </c>
      <c r="H19" s="54">
        <v>0.15957839691576206</v>
      </c>
      <c r="I19" s="53">
        <v>57.217884063720724</v>
      </c>
      <c r="J19" s="53">
        <v>291.7773060798645</v>
      </c>
      <c r="K19" s="53">
        <v>83.007252693176255</v>
      </c>
    </row>
    <row r="20" spans="1:11" s="6" customFormat="1" ht="20.45" customHeight="1" x14ac:dyDescent="0.2">
      <c r="A20" s="31" t="s">
        <v>12</v>
      </c>
      <c r="B20" s="25">
        <f>B8+B9</f>
        <v>207344.19400084019</v>
      </c>
      <c r="C20" s="26">
        <f t="shared" ref="C20:K20" si="0">C8+C9</f>
        <v>459.12183780250717</v>
      </c>
      <c r="D20" s="25">
        <f t="shared" si="0"/>
        <v>19827.366046190262</v>
      </c>
      <c r="E20" s="26">
        <f t="shared" si="0"/>
        <v>391.65470704399752</v>
      </c>
      <c r="F20" s="25">
        <f t="shared" si="0"/>
        <v>110557.92140936751</v>
      </c>
      <c r="G20" s="25">
        <f t="shared" si="0"/>
        <v>4230.2734456062317</v>
      </c>
      <c r="H20" s="26">
        <f t="shared" si="0"/>
        <v>67.467130758504211</v>
      </c>
      <c r="I20" s="25">
        <f t="shared" si="0"/>
        <v>52358.801942824866</v>
      </c>
      <c r="J20" s="25">
        <f t="shared" si="0"/>
        <v>230089.66660690206</v>
      </c>
      <c r="K20" s="25">
        <f t="shared" si="0"/>
        <v>119593.25515234297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035" priority="13" stopIfTrue="1" operator="equal">
      <formula>0</formula>
    </cfRule>
  </conditionalFormatting>
  <conditionalFormatting sqref="D8:D19">
    <cfRule type="cellIs" dxfId="1034" priority="12" stopIfTrue="1" operator="equal">
      <formula>0</formula>
    </cfRule>
  </conditionalFormatting>
  <conditionalFormatting sqref="F8:F19">
    <cfRule type="cellIs" dxfId="1033" priority="11" stopIfTrue="1" operator="equal">
      <formula>0</formula>
    </cfRule>
  </conditionalFormatting>
  <conditionalFormatting sqref="G8:G19">
    <cfRule type="cellIs" dxfId="1032" priority="10" stopIfTrue="1" operator="equal">
      <formula>0</formula>
    </cfRule>
  </conditionalFormatting>
  <conditionalFormatting sqref="I8:I19">
    <cfRule type="cellIs" dxfId="1031" priority="9" stopIfTrue="1" operator="equal">
      <formula>0</formula>
    </cfRule>
  </conditionalFormatting>
  <conditionalFormatting sqref="J8:J19">
    <cfRule type="cellIs" dxfId="1030" priority="8" stopIfTrue="1" operator="equal">
      <formula>0</formula>
    </cfRule>
  </conditionalFormatting>
  <conditionalFormatting sqref="K8:K19">
    <cfRule type="cellIs" dxfId="1029" priority="7" stopIfTrue="1" operator="equal">
      <formula>0</formula>
    </cfRule>
  </conditionalFormatting>
  <conditionalFormatting sqref="C20">
    <cfRule type="cellIs" dxfId="1028" priority="6" stopIfTrue="1" operator="equal">
      <formula>0</formula>
    </cfRule>
  </conditionalFormatting>
  <conditionalFormatting sqref="C8:C19">
    <cfRule type="cellIs" dxfId="1027" priority="5" stopIfTrue="1" operator="equal">
      <formula>0</formula>
    </cfRule>
  </conditionalFormatting>
  <conditionalFormatting sqref="E20">
    <cfRule type="cellIs" dxfId="1026" priority="4" stopIfTrue="1" operator="equal">
      <formula>0</formula>
    </cfRule>
  </conditionalFormatting>
  <conditionalFormatting sqref="E8:E19">
    <cfRule type="cellIs" dxfId="1025" priority="3" stopIfTrue="1" operator="equal">
      <formula>0</formula>
    </cfRule>
  </conditionalFormatting>
  <conditionalFormatting sqref="H20">
    <cfRule type="cellIs" dxfId="1024" priority="2" stopIfTrue="1" operator="equal">
      <formula>0</formula>
    </cfRule>
  </conditionalFormatting>
  <conditionalFormatting sqref="H8:H19">
    <cfRule type="cellIs" dxfId="1023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C1DD-3F52-457B-AB82-760E1BA1DF28}">
  <dimension ref="A1:K20"/>
  <sheetViews>
    <sheetView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2" customWidth="1"/>
    <col min="4" max="4" width="10" customWidth="1"/>
    <col min="6" max="6" width="10.5703125" customWidth="1"/>
    <col min="7" max="7" width="9.5703125" customWidth="1"/>
    <col min="8" max="8" width="9" customWidth="1"/>
    <col min="9" max="9" width="9.42578125" customWidth="1"/>
    <col min="10" max="10" width="11.42578125" customWidth="1"/>
    <col min="11" max="11" width="13.5703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179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123" t="s">
        <v>30</v>
      </c>
      <c r="B4" s="157" t="s">
        <v>178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1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165.76993846893311</v>
      </c>
      <c r="C8" s="50">
        <v>4.6057939065375069E-3</v>
      </c>
      <c r="D8" s="49">
        <v>11.143004417419434</v>
      </c>
      <c r="E8" s="50">
        <v>4.6057939065375086E-3</v>
      </c>
      <c r="F8" s="49">
        <v>144.85905742645252</v>
      </c>
      <c r="G8" s="49">
        <v>0</v>
      </c>
      <c r="H8" s="50"/>
      <c r="I8" s="49">
        <v>0</v>
      </c>
      <c r="J8" s="49">
        <v>203.81212902069089</v>
      </c>
      <c r="K8" s="49">
        <v>213.78435230255118</v>
      </c>
    </row>
    <row r="9" spans="1:11" s="6" customFormat="1" ht="20.45" customHeight="1" x14ac:dyDescent="0.2">
      <c r="A9" s="29" t="s">
        <v>1</v>
      </c>
      <c r="B9" s="51">
        <v>44025.185393095016</v>
      </c>
      <c r="C9" s="52">
        <v>391.52619028232891</v>
      </c>
      <c r="D9" s="51">
        <v>10187.175781011581</v>
      </c>
      <c r="E9" s="52">
        <v>311.18371017701469</v>
      </c>
      <c r="F9" s="51">
        <v>876924.79862021818</v>
      </c>
      <c r="G9" s="51">
        <v>2866.4630646705627</v>
      </c>
      <c r="H9" s="52">
        <v>80.34248010531951</v>
      </c>
      <c r="I9" s="51">
        <v>197772.86516808931</v>
      </c>
      <c r="J9" s="51">
        <v>208693.68676233708</v>
      </c>
      <c r="K9" s="51">
        <v>116911.76705312745</v>
      </c>
    </row>
    <row r="10" spans="1:11" ht="20.45" customHeight="1" x14ac:dyDescent="0.2">
      <c r="A10" s="30" t="s">
        <v>2</v>
      </c>
      <c r="B10" s="53">
        <v>1884.0913622379303</v>
      </c>
      <c r="C10" s="54">
        <v>1.2226556762106033</v>
      </c>
      <c r="D10" s="53">
        <v>164.58588767051697</v>
      </c>
      <c r="E10" s="54">
        <v>0.96211844228824683</v>
      </c>
      <c r="F10" s="53">
        <v>1379.2230420112576</v>
      </c>
      <c r="G10" s="53">
        <v>46.246084213256836</v>
      </c>
      <c r="H10" s="54">
        <v>0.26053723392234845</v>
      </c>
      <c r="I10" s="53">
        <v>1453.1019191741891</v>
      </c>
      <c r="J10" s="53">
        <v>5859.8819117546118</v>
      </c>
      <c r="K10" s="53">
        <v>1589.6531381607072</v>
      </c>
    </row>
    <row r="11" spans="1:11" ht="20.45" customHeight="1" x14ac:dyDescent="0.2">
      <c r="A11" s="30" t="s">
        <v>3</v>
      </c>
      <c r="B11" s="53">
        <v>4105.1174349784851</v>
      </c>
      <c r="C11" s="54">
        <v>5.8253473813472985</v>
      </c>
      <c r="D11" s="53">
        <v>680.47584819793701</v>
      </c>
      <c r="E11" s="54">
        <v>5.3807873775528154</v>
      </c>
      <c r="F11" s="53">
        <v>24986.455360412532</v>
      </c>
      <c r="G11" s="53">
        <v>79.205466270446777</v>
      </c>
      <c r="H11" s="54">
        <v>0.44456000379453553</v>
      </c>
      <c r="I11" s="53">
        <v>794.51501750945829</v>
      </c>
      <c r="J11" s="53">
        <v>16176.388497829554</v>
      </c>
      <c r="K11" s="53">
        <v>9576.5350236892409</v>
      </c>
    </row>
    <row r="12" spans="1:11" ht="20.45" customHeight="1" x14ac:dyDescent="0.2">
      <c r="A12" s="30" t="s">
        <v>4</v>
      </c>
      <c r="B12" s="53">
        <v>13582.293144702911</v>
      </c>
      <c r="C12" s="54">
        <v>65.539587879579855</v>
      </c>
      <c r="D12" s="53">
        <v>2808.1219635009766</v>
      </c>
      <c r="E12" s="54">
        <v>53.248039971316494</v>
      </c>
      <c r="F12" s="53">
        <v>173043.25387239183</v>
      </c>
      <c r="G12" s="53">
        <v>787.52834033966064</v>
      </c>
      <c r="H12" s="54">
        <v>12.291547908263263</v>
      </c>
      <c r="I12" s="53">
        <v>43538.078465938546</v>
      </c>
      <c r="J12" s="53">
        <v>65837.510807514569</v>
      </c>
      <c r="K12" s="53">
        <v>35611.428134441463</v>
      </c>
    </row>
    <row r="13" spans="1:11" ht="20.45" customHeight="1" x14ac:dyDescent="0.2">
      <c r="A13" s="30" t="s">
        <v>5</v>
      </c>
      <c r="B13" s="53">
        <v>14475.380334377289</v>
      </c>
      <c r="C13" s="54">
        <v>98.389843767513739</v>
      </c>
      <c r="D13" s="53">
        <v>3248.5220007896423</v>
      </c>
      <c r="E13" s="54">
        <v>74.389690824653741</v>
      </c>
      <c r="F13" s="53">
        <v>277190.44177389139</v>
      </c>
      <c r="G13" s="53">
        <v>970.03493309020996</v>
      </c>
      <c r="H13" s="54">
        <v>24.000152942860378</v>
      </c>
      <c r="I13" s="53">
        <v>33210.1078157425</v>
      </c>
      <c r="J13" s="53">
        <v>75307.589733599831</v>
      </c>
      <c r="K13" s="53">
        <v>37588.508369922703</v>
      </c>
    </row>
    <row r="14" spans="1:11" ht="20.45" customHeight="1" x14ac:dyDescent="0.2">
      <c r="A14" s="30" t="s">
        <v>6</v>
      </c>
      <c r="B14" s="53">
        <v>7783.9525856971741</v>
      </c>
      <c r="C14" s="54">
        <v>131.05360689138993</v>
      </c>
      <c r="D14" s="53">
        <v>2402.5538754463196</v>
      </c>
      <c r="E14" s="54">
        <v>104.89236201039272</v>
      </c>
      <c r="F14" s="53">
        <v>294754.86869001406</v>
      </c>
      <c r="G14" s="53">
        <v>739.80703592300415</v>
      </c>
      <c r="H14" s="54">
        <v>26.161244880996552</v>
      </c>
      <c r="I14" s="53">
        <v>93359.306548595312</v>
      </c>
      <c r="J14" s="53">
        <v>38539.093288421471</v>
      </c>
      <c r="K14" s="53">
        <v>26029.973312377915</v>
      </c>
    </row>
    <row r="15" spans="1:11" ht="20.45" customHeight="1" x14ac:dyDescent="0.2">
      <c r="A15" s="30" t="s">
        <v>7</v>
      </c>
      <c r="B15" s="53">
        <v>1546.5516953468323</v>
      </c>
      <c r="C15" s="54">
        <v>69.484544011571018</v>
      </c>
      <c r="D15" s="53">
        <v>609.26158094406128</v>
      </c>
      <c r="E15" s="54">
        <v>52.528531157227505</v>
      </c>
      <c r="F15" s="53">
        <v>59357.844358444294</v>
      </c>
      <c r="G15" s="53">
        <v>221.70101928710938</v>
      </c>
      <c r="H15" s="54">
        <v>16.95601285434369</v>
      </c>
      <c r="I15" s="53">
        <v>24869.992591857881</v>
      </c>
      <c r="J15" s="53">
        <v>4605.8996090888959</v>
      </c>
      <c r="K15" s="53">
        <v>4792.5055198669397</v>
      </c>
    </row>
    <row r="16" spans="1:11" ht="20.45" customHeight="1" x14ac:dyDescent="0.2">
      <c r="A16" s="30" t="s">
        <v>8</v>
      </c>
      <c r="B16" s="53">
        <v>431.11615467071533</v>
      </c>
      <c r="C16" s="54">
        <v>8.0421599331899056</v>
      </c>
      <c r="D16" s="53">
        <v>140.52473592758179</v>
      </c>
      <c r="E16" s="54">
        <v>7.8207108851520744</v>
      </c>
      <c r="F16" s="53">
        <v>30647.592912673965</v>
      </c>
      <c r="G16" s="53">
        <v>17.209773540496826</v>
      </c>
      <c r="H16" s="54">
        <v>0.22144904803782151</v>
      </c>
      <c r="I16" s="53">
        <v>538.30198526382469</v>
      </c>
      <c r="J16" s="53">
        <v>1882.5479302406309</v>
      </c>
      <c r="K16" s="53">
        <v>642.59738826751743</v>
      </c>
    </row>
    <row r="17" spans="1:11" ht="20.45" customHeight="1" x14ac:dyDescent="0.2">
      <c r="A17" s="30" t="s">
        <v>9</v>
      </c>
      <c r="B17" s="53">
        <v>61.153777122497559</v>
      </c>
      <c r="C17" s="54">
        <v>4.3682719865723145</v>
      </c>
      <c r="D17" s="53">
        <v>34.827115058898926</v>
      </c>
      <c r="E17" s="54">
        <v>4.3612967534713789</v>
      </c>
      <c r="F17" s="53">
        <v>11953.366174697865</v>
      </c>
      <c r="G17" s="53">
        <v>4.7304120063781738</v>
      </c>
      <c r="H17" s="54">
        <v>6.9752331009347015E-3</v>
      </c>
      <c r="I17" s="53">
        <v>9.4608240127563388</v>
      </c>
      <c r="J17" s="53">
        <v>204.12411928176874</v>
      </c>
      <c r="K17" s="53">
        <v>524.7770190238956</v>
      </c>
    </row>
    <row r="18" spans="1:11" ht="20.45" customHeight="1" x14ac:dyDescent="0.2">
      <c r="A18" s="30" t="s">
        <v>10</v>
      </c>
      <c r="B18" s="53">
        <v>140.04779624938965</v>
      </c>
      <c r="C18" s="54">
        <v>7.5765825991700799</v>
      </c>
      <c r="D18" s="53">
        <v>82.82166576385498</v>
      </c>
      <c r="E18" s="54">
        <v>7.576582599170079</v>
      </c>
      <c r="F18" s="53">
        <v>3456.9413585662824</v>
      </c>
      <c r="G18" s="53">
        <v>0</v>
      </c>
      <c r="H18" s="54"/>
      <c r="I18" s="53">
        <v>0</v>
      </c>
      <c r="J18" s="53">
        <v>280.65086460113542</v>
      </c>
      <c r="K18" s="53">
        <v>91.355916023254494</v>
      </c>
    </row>
    <row r="19" spans="1:11" ht="20.45" customHeight="1" x14ac:dyDescent="0.2">
      <c r="A19" s="30" t="s">
        <v>11</v>
      </c>
      <c r="B19" s="53">
        <v>15.481107711791992</v>
      </c>
      <c r="C19" s="54">
        <v>2.3590155789373259E-2</v>
      </c>
      <c r="D19" s="53">
        <v>15.481107711791992</v>
      </c>
      <c r="E19" s="54">
        <v>2.3590155789373256E-2</v>
      </c>
      <c r="F19" s="53">
        <v>154.81107711791989</v>
      </c>
      <c r="G19" s="53">
        <v>0</v>
      </c>
      <c r="H19" s="54"/>
      <c r="I19" s="53">
        <v>0</v>
      </c>
      <c r="J19" s="53">
        <v>0</v>
      </c>
      <c r="K19" s="53">
        <v>464.43323135375982</v>
      </c>
    </row>
    <row r="20" spans="1:11" s="6" customFormat="1" ht="20.45" customHeight="1" x14ac:dyDescent="0.2">
      <c r="A20" s="31" t="s">
        <v>12</v>
      </c>
      <c r="B20" s="25">
        <f>B8+B9</f>
        <v>44190.95533156395</v>
      </c>
      <c r="C20" s="26">
        <f t="shared" ref="C20:K20" si="0">C8+C9</f>
        <v>391.53079607623545</v>
      </c>
      <c r="D20" s="25">
        <f t="shared" si="0"/>
        <v>10198.318785429001</v>
      </c>
      <c r="E20" s="26">
        <f t="shared" si="0"/>
        <v>311.18831597092122</v>
      </c>
      <c r="F20" s="25">
        <f t="shared" si="0"/>
        <v>877069.65767764463</v>
      </c>
      <c r="G20" s="25">
        <f t="shared" si="0"/>
        <v>2866.4630646705627</v>
      </c>
      <c r="H20" s="26">
        <f t="shared" si="0"/>
        <v>80.34248010531951</v>
      </c>
      <c r="I20" s="25">
        <f t="shared" si="0"/>
        <v>197772.86516808931</v>
      </c>
      <c r="J20" s="25">
        <f t="shared" si="0"/>
        <v>208897.49889135777</v>
      </c>
      <c r="K20" s="25">
        <f t="shared" si="0"/>
        <v>117125.55140543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022" priority="13" stopIfTrue="1" operator="equal">
      <formula>0</formula>
    </cfRule>
  </conditionalFormatting>
  <conditionalFormatting sqref="D8:D19">
    <cfRule type="cellIs" dxfId="1021" priority="12" stopIfTrue="1" operator="equal">
      <formula>0</formula>
    </cfRule>
  </conditionalFormatting>
  <conditionalFormatting sqref="F8:F19">
    <cfRule type="cellIs" dxfId="1020" priority="11" stopIfTrue="1" operator="equal">
      <formula>0</formula>
    </cfRule>
  </conditionalFormatting>
  <conditionalFormatting sqref="G8:G19">
    <cfRule type="cellIs" dxfId="1019" priority="10" stopIfTrue="1" operator="equal">
      <formula>0</formula>
    </cfRule>
  </conditionalFormatting>
  <conditionalFormatting sqref="I8:I19">
    <cfRule type="cellIs" dxfId="1018" priority="9" stopIfTrue="1" operator="equal">
      <formula>0</formula>
    </cfRule>
  </conditionalFormatting>
  <conditionalFormatting sqref="J8:J19">
    <cfRule type="cellIs" dxfId="1017" priority="8" stopIfTrue="1" operator="equal">
      <formula>0</formula>
    </cfRule>
  </conditionalFormatting>
  <conditionalFormatting sqref="K8:K19">
    <cfRule type="cellIs" dxfId="1016" priority="7" stopIfTrue="1" operator="equal">
      <formula>0</formula>
    </cfRule>
  </conditionalFormatting>
  <conditionalFormatting sqref="C20">
    <cfRule type="cellIs" dxfId="1015" priority="6" stopIfTrue="1" operator="equal">
      <formula>0</formula>
    </cfRule>
  </conditionalFormatting>
  <conditionalFormatting sqref="C8:C19">
    <cfRule type="cellIs" dxfId="1014" priority="5" stopIfTrue="1" operator="equal">
      <formula>0</formula>
    </cfRule>
  </conditionalFormatting>
  <conditionalFormatting sqref="E20">
    <cfRule type="cellIs" dxfId="1013" priority="4" stopIfTrue="1" operator="equal">
      <formula>0</formula>
    </cfRule>
  </conditionalFormatting>
  <conditionalFormatting sqref="E8:E19">
    <cfRule type="cellIs" dxfId="1012" priority="3" stopIfTrue="1" operator="equal">
      <formula>0</formula>
    </cfRule>
  </conditionalFormatting>
  <conditionalFormatting sqref="H20">
    <cfRule type="cellIs" dxfId="1011" priority="2" stopIfTrue="1" operator="equal">
      <formula>0</formula>
    </cfRule>
  </conditionalFormatting>
  <conditionalFormatting sqref="H8:H19">
    <cfRule type="cellIs" dxfId="101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2151-5D84-4502-8FAB-3CB403846797}">
  <dimension ref="A1:K20"/>
  <sheetViews>
    <sheetView zoomScale="98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9.85546875" customWidth="1"/>
    <col min="5" max="5" width="9.42578125" customWidth="1"/>
    <col min="6" max="7" width="10.5703125" customWidth="1"/>
    <col min="8" max="8" width="9.5703125" customWidth="1"/>
    <col min="9" max="9" width="10.5703125" customWidth="1"/>
    <col min="10" max="10" width="12.140625" customWidth="1"/>
    <col min="11" max="11" width="12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181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123" t="s">
        <v>30</v>
      </c>
      <c r="B4" s="157" t="s">
        <v>180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2.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0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4031.5118651390076</v>
      </c>
      <c r="C8" s="50">
        <v>0.35410915654219466</v>
      </c>
      <c r="D8" s="49">
        <v>79.050239562988281</v>
      </c>
      <c r="E8" s="50">
        <v>0.35410915654219421</v>
      </c>
      <c r="F8" s="49">
        <v>106.55692672729481</v>
      </c>
      <c r="G8" s="49">
        <v>0</v>
      </c>
      <c r="H8" s="50"/>
      <c r="I8" s="49">
        <v>0</v>
      </c>
      <c r="J8" s="49">
        <v>3549.7429027557368</v>
      </c>
      <c r="K8" s="49">
        <v>1925.5140376091006</v>
      </c>
    </row>
    <row r="9" spans="1:11" s="6" customFormat="1" ht="20.45" customHeight="1" x14ac:dyDescent="0.2">
      <c r="A9" s="29" t="s">
        <v>1</v>
      </c>
      <c r="B9" s="51">
        <v>270798.73525631428</v>
      </c>
      <c r="C9" s="52">
        <v>1177.5720669657589</v>
      </c>
      <c r="D9" s="51">
        <v>32461.585477352142</v>
      </c>
      <c r="E9" s="52">
        <v>924.94916887810609</v>
      </c>
      <c r="F9" s="51">
        <v>247300.28166485025</v>
      </c>
      <c r="G9" s="51">
        <v>8570.4459534883499</v>
      </c>
      <c r="H9" s="52">
        <v>252.62289808763495</v>
      </c>
      <c r="I9" s="51">
        <v>151757.85145783031</v>
      </c>
      <c r="J9" s="51">
        <v>284526.71810651018</v>
      </c>
      <c r="K9" s="51">
        <v>178957.47306823407</v>
      </c>
    </row>
    <row r="10" spans="1:11" ht="20.45" customHeight="1" x14ac:dyDescent="0.2">
      <c r="A10" s="30" t="s">
        <v>2</v>
      </c>
      <c r="B10" s="53">
        <v>25085.202469348904</v>
      </c>
      <c r="C10" s="54">
        <v>11.122242755195783</v>
      </c>
      <c r="D10" s="53">
        <v>1766.5052762031555</v>
      </c>
      <c r="E10" s="54">
        <v>10.02034716680431</v>
      </c>
      <c r="F10" s="53">
        <v>5232.5857405662382</v>
      </c>
      <c r="G10" s="53">
        <v>329.10246276855469</v>
      </c>
      <c r="H10" s="54">
        <v>1.1018955883915018</v>
      </c>
      <c r="I10" s="53">
        <v>632.7332592010456</v>
      </c>
      <c r="J10" s="53">
        <v>19946.753777980764</v>
      </c>
      <c r="K10" s="53">
        <v>15588.461906433127</v>
      </c>
    </row>
    <row r="11" spans="1:11" ht="20.45" customHeight="1" x14ac:dyDescent="0.2">
      <c r="A11" s="30" t="s">
        <v>3</v>
      </c>
      <c r="B11" s="53">
        <v>32197.734069108959</v>
      </c>
      <c r="C11" s="54">
        <v>30.116771622092461</v>
      </c>
      <c r="D11" s="53">
        <v>2645.3390102386475</v>
      </c>
      <c r="E11" s="54">
        <v>25.940541076795601</v>
      </c>
      <c r="F11" s="53">
        <v>13790.754320144666</v>
      </c>
      <c r="G11" s="53">
        <v>569.98121023178101</v>
      </c>
      <c r="H11" s="54">
        <v>4.1762305452970363</v>
      </c>
      <c r="I11" s="53">
        <v>2266.0085673332237</v>
      </c>
      <c r="J11" s="53">
        <v>28761.7819941046</v>
      </c>
      <c r="K11" s="53">
        <v>20037.710725784142</v>
      </c>
    </row>
    <row r="12" spans="1:11" ht="20.45" customHeight="1" x14ac:dyDescent="0.2">
      <c r="A12" s="30" t="s">
        <v>4</v>
      </c>
      <c r="B12" s="53">
        <v>84792.714613437653</v>
      </c>
      <c r="C12" s="54">
        <v>184.68021543054874</v>
      </c>
      <c r="D12" s="53">
        <v>9145.4628353118896</v>
      </c>
      <c r="E12" s="54">
        <v>140.09934176943153</v>
      </c>
      <c r="F12" s="53">
        <v>57211.48232173924</v>
      </c>
      <c r="G12" s="53">
        <v>2204.6689801216125</v>
      </c>
      <c r="H12" s="54">
        <v>44.5808736611162</v>
      </c>
      <c r="I12" s="53">
        <v>72428.073092937324</v>
      </c>
      <c r="J12" s="53">
        <v>85269.014474867392</v>
      </c>
      <c r="K12" s="53">
        <v>55647.180027961447</v>
      </c>
    </row>
    <row r="13" spans="1:11" ht="20.45" customHeight="1" x14ac:dyDescent="0.2">
      <c r="A13" s="30" t="s">
        <v>5</v>
      </c>
      <c r="B13" s="53">
        <v>74680.432403922081</v>
      </c>
      <c r="C13" s="54">
        <v>307.216558946514</v>
      </c>
      <c r="D13" s="53">
        <v>9553.7393777370453</v>
      </c>
      <c r="E13" s="54">
        <v>239.08401271894951</v>
      </c>
      <c r="F13" s="53">
        <v>65106.840707779615</v>
      </c>
      <c r="G13" s="53">
        <v>2809.3456250429153</v>
      </c>
      <c r="H13" s="54">
        <v>68.132546227566195</v>
      </c>
      <c r="I13" s="53">
        <v>37954.950641870586</v>
      </c>
      <c r="J13" s="53">
        <v>78989.007684706259</v>
      </c>
      <c r="K13" s="53">
        <v>53446.995363473841</v>
      </c>
    </row>
    <row r="14" spans="1:11" ht="20.45" customHeight="1" x14ac:dyDescent="0.2">
      <c r="A14" s="30" t="s">
        <v>6</v>
      </c>
      <c r="B14" s="53">
        <v>39253.673686027527</v>
      </c>
      <c r="C14" s="54">
        <v>346.57438062417197</v>
      </c>
      <c r="D14" s="53">
        <v>6394.8295383453369</v>
      </c>
      <c r="E14" s="54">
        <v>274.15967778984174</v>
      </c>
      <c r="F14" s="53">
        <v>67028.437683820521</v>
      </c>
      <c r="G14" s="53">
        <v>1834.7540512084961</v>
      </c>
      <c r="H14" s="54">
        <v>72.414702834330782</v>
      </c>
      <c r="I14" s="53">
        <v>24718.501815319018</v>
      </c>
      <c r="J14" s="53">
        <v>50549.060204028981</v>
      </c>
      <c r="K14" s="53">
        <v>24154.196784019503</v>
      </c>
    </row>
    <row r="15" spans="1:11" ht="20.45" customHeight="1" x14ac:dyDescent="0.2">
      <c r="A15" s="30" t="s">
        <v>7</v>
      </c>
      <c r="B15" s="53">
        <v>9546.4080672264099</v>
      </c>
      <c r="C15" s="54">
        <v>132.70389977618817</v>
      </c>
      <c r="D15" s="53">
        <v>1634.7086775302887</v>
      </c>
      <c r="E15" s="54">
        <v>113.97908408539597</v>
      </c>
      <c r="F15" s="53">
        <v>19915.348132371888</v>
      </c>
      <c r="G15" s="53">
        <v>493.9202823638916</v>
      </c>
      <c r="H15" s="54">
        <v>18.724815690792159</v>
      </c>
      <c r="I15" s="53">
        <v>5697.3450741767956</v>
      </c>
      <c r="J15" s="53">
        <v>12033.780072212236</v>
      </c>
      <c r="K15" s="53">
        <v>4627.3021905422156</v>
      </c>
    </row>
    <row r="16" spans="1:11" ht="20.45" customHeight="1" x14ac:dyDescent="0.2">
      <c r="A16" s="30" t="s">
        <v>8</v>
      </c>
      <c r="B16" s="53">
        <v>2907.1117582321167</v>
      </c>
      <c r="C16" s="54">
        <v>49.213130306534566</v>
      </c>
      <c r="D16" s="53">
        <v>722.55433940887451</v>
      </c>
      <c r="E16" s="54">
        <v>42.272348910482378</v>
      </c>
      <c r="F16" s="53">
        <v>6638.0352706909171</v>
      </c>
      <c r="G16" s="53">
        <v>116.66434669494629</v>
      </c>
      <c r="H16" s="54">
        <v>6.9407813960522411</v>
      </c>
      <c r="I16" s="53">
        <v>1209.2983307838458</v>
      </c>
      <c r="J16" s="53">
        <v>4336.6640243530219</v>
      </c>
      <c r="K16" s="53">
        <v>3313.3958015441872</v>
      </c>
    </row>
    <row r="17" spans="1:11" ht="20.45" customHeight="1" x14ac:dyDescent="0.2">
      <c r="A17" s="30" t="s">
        <v>9</v>
      </c>
      <c r="B17" s="53">
        <v>994.62534427642822</v>
      </c>
      <c r="C17" s="54">
        <v>29.549950606908759</v>
      </c>
      <c r="D17" s="53">
        <v>173.72213315963745</v>
      </c>
      <c r="E17" s="54">
        <v>23.658260840415551</v>
      </c>
      <c r="F17" s="53">
        <v>3800.3336167335488</v>
      </c>
      <c r="G17" s="53">
        <v>57.10496711730957</v>
      </c>
      <c r="H17" s="54">
        <v>5.8916897664932408</v>
      </c>
      <c r="I17" s="53">
        <v>4120.8467278480484</v>
      </c>
      <c r="J17" s="53">
        <v>1128.2933845520015</v>
      </c>
      <c r="K17" s="53">
        <v>1181.4590926170358</v>
      </c>
    </row>
    <row r="18" spans="1:11" ht="20.45" customHeight="1" x14ac:dyDescent="0.2">
      <c r="A18" s="30" t="s">
        <v>10</v>
      </c>
      <c r="B18" s="53">
        <v>1101.3923382759094</v>
      </c>
      <c r="C18" s="54">
        <v>60.484859828667027</v>
      </c>
      <c r="D18" s="53">
        <v>337.35012245178223</v>
      </c>
      <c r="E18" s="54">
        <v>31.170748214722678</v>
      </c>
      <c r="F18" s="53">
        <v>5620.056517601015</v>
      </c>
      <c r="G18" s="53">
        <v>125.29767608642578</v>
      </c>
      <c r="H18" s="54">
        <v>29.314111613944352</v>
      </c>
      <c r="I18" s="53">
        <v>2066.3125514984149</v>
      </c>
      <c r="J18" s="53">
        <v>1152.5599927902226</v>
      </c>
      <c r="K18" s="53">
        <v>606.28729867935249</v>
      </c>
    </row>
    <row r="19" spans="1:11" ht="20.45" customHeight="1" x14ac:dyDescent="0.2">
      <c r="A19" s="30" t="s">
        <v>11</v>
      </c>
      <c r="B19" s="53">
        <v>239.44050645828247</v>
      </c>
      <c r="C19" s="54">
        <v>25.910057068915698</v>
      </c>
      <c r="D19" s="53">
        <v>87.374166965484619</v>
      </c>
      <c r="E19" s="54">
        <v>24.564806305264142</v>
      </c>
      <c r="F19" s="53">
        <v>2956.4073534011832</v>
      </c>
      <c r="G19" s="53">
        <v>29.606351852416992</v>
      </c>
      <c r="H19" s="54">
        <v>1.3452507636515663</v>
      </c>
      <c r="I19" s="53">
        <v>663.7813968658445</v>
      </c>
      <c r="J19" s="53">
        <v>2359.8024969100957</v>
      </c>
      <c r="K19" s="53">
        <v>354.48387718200672</v>
      </c>
    </row>
    <row r="20" spans="1:11" s="6" customFormat="1" ht="20.45" customHeight="1" x14ac:dyDescent="0.2">
      <c r="A20" s="31" t="s">
        <v>12</v>
      </c>
      <c r="B20" s="25">
        <f>B8+B9</f>
        <v>274830.24712145329</v>
      </c>
      <c r="C20" s="26">
        <f t="shared" ref="C20:K20" si="0">C8+C9</f>
        <v>1177.9261761223011</v>
      </c>
      <c r="D20" s="25">
        <f t="shared" si="0"/>
        <v>32540.635716915131</v>
      </c>
      <c r="E20" s="26">
        <f t="shared" si="0"/>
        <v>925.30327803464832</v>
      </c>
      <c r="F20" s="25">
        <f t="shared" si="0"/>
        <v>247406.83859157754</v>
      </c>
      <c r="G20" s="25">
        <f t="shared" si="0"/>
        <v>8570.4459534883499</v>
      </c>
      <c r="H20" s="26">
        <f t="shared" si="0"/>
        <v>252.62289808763495</v>
      </c>
      <c r="I20" s="25">
        <f t="shared" si="0"/>
        <v>151757.85145783031</v>
      </c>
      <c r="J20" s="25">
        <f t="shared" si="0"/>
        <v>288076.46100926591</v>
      </c>
      <c r="K20" s="25">
        <f t="shared" si="0"/>
        <v>180882.98710584317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1009" priority="13" stopIfTrue="1" operator="equal">
      <formula>0</formula>
    </cfRule>
  </conditionalFormatting>
  <conditionalFormatting sqref="D8:D19">
    <cfRule type="cellIs" dxfId="1008" priority="12" stopIfTrue="1" operator="equal">
      <formula>0</formula>
    </cfRule>
  </conditionalFormatting>
  <conditionalFormatting sqref="F8:F19">
    <cfRule type="cellIs" dxfId="1007" priority="11" stopIfTrue="1" operator="equal">
      <formula>0</formula>
    </cfRule>
  </conditionalFormatting>
  <conditionalFormatting sqref="G8:G19">
    <cfRule type="cellIs" dxfId="1006" priority="10" stopIfTrue="1" operator="equal">
      <formula>0</formula>
    </cfRule>
  </conditionalFormatting>
  <conditionalFormatting sqref="I8:I19">
    <cfRule type="cellIs" dxfId="1005" priority="9" stopIfTrue="1" operator="equal">
      <formula>0</formula>
    </cfRule>
  </conditionalFormatting>
  <conditionalFormatting sqref="J8:J19">
    <cfRule type="cellIs" dxfId="1004" priority="8" stopIfTrue="1" operator="equal">
      <formula>0</formula>
    </cfRule>
  </conditionalFormatting>
  <conditionalFormatting sqref="K8:K19">
    <cfRule type="cellIs" dxfId="1003" priority="7" stopIfTrue="1" operator="equal">
      <formula>0</formula>
    </cfRule>
  </conditionalFormatting>
  <conditionalFormatting sqref="C20">
    <cfRule type="cellIs" dxfId="1002" priority="6" stopIfTrue="1" operator="equal">
      <formula>0</formula>
    </cfRule>
  </conditionalFormatting>
  <conditionalFormatting sqref="C8:C19">
    <cfRule type="cellIs" dxfId="1001" priority="5" stopIfTrue="1" operator="equal">
      <formula>0</formula>
    </cfRule>
  </conditionalFormatting>
  <conditionalFormatting sqref="E20">
    <cfRule type="cellIs" dxfId="1000" priority="4" stopIfTrue="1" operator="equal">
      <formula>0</formula>
    </cfRule>
  </conditionalFormatting>
  <conditionalFormatting sqref="E8:E19">
    <cfRule type="cellIs" dxfId="999" priority="3" stopIfTrue="1" operator="equal">
      <formula>0</formula>
    </cfRule>
  </conditionalFormatting>
  <conditionalFormatting sqref="H20">
    <cfRule type="cellIs" dxfId="998" priority="2" stopIfTrue="1" operator="equal">
      <formula>0</formula>
    </cfRule>
  </conditionalFormatting>
  <conditionalFormatting sqref="H8:H19">
    <cfRule type="cellIs" dxfId="99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9D7A-AF50-4312-8831-77E6451B316B}">
  <dimension ref="A1:K20"/>
  <sheetViews>
    <sheetView zoomScale="75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9.85546875" customWidth="1"/>
    <col min="5" max="5" width="9.42578125" customWidth="1"/>
    <col min="6" max="7" width="10.5703125" customWidth="1"/>
    <col min="8" max="8" width="9.5703125" customWidth="1"/>
    <col min="9" max="9" width="10.5703125" customWidth="1"/>
    <col min="10" max="10" width="12.140625" customWidth="1"/>
    <col min="11" max="11" width="12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183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5" customHeight="1" x14ac:dyDescent="0.2">
      <c r="A4" s="123" t="s">
        <v>30</v>
      </c>
      <c r="B4" s="157" t="s">
        <v>182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2.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0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172.46449077129364</v>
      </c>
      <c r="C8" s="50">
        <v>0.13302925644166236</v>
      </c>
      <c r="D8" s="49">
        <v>10.518396854400635</v>
      </c>
      <c r="E8" s="50">
        <v>9.5233389133119628E-2</v>
      </c>
      <c r="F8" s="49">
        <v>163.71963357925409</v>
      </c>
      <c r="G8" s="49">
        <v>2.9718403816223145</v>
      </c>
      <c r="H8" s="50">
        <v>3.7795867308542792E-2</v>
      </c>
      <c r="I8" s="49">
        <v>29.718403816223081</v>
      </c>
      <c r="J8" s="49">
        <v>293.51734507083836</v>
      </c>
      <c r="K8" s="49">
        <v>1316.7068027257922</v>
      </c>
    </row>
    <row r="9" spans="1:11" s="6" customFormat="1" ht="20.45" customHeight="1" x14ac:dyDescent="0.2">
      <c r="A9" s="29" t="s">
        <v>1</v>
      </c>
      <c r="B9" s="51">
        <v>67017.68340742588</v>
      </c>
      <c r="C9" s="52">
        <v>3080.0242866472472</v>
      </c>
      <c r="D9" s="51">
        <v>27428.29333293438</v>
      </c>
      <c r="E9" s="52">
        <v>1783.6709531438648</v>
      </c>
      <c r="F9" s="51">
        <v>1551573.5931233331</v>
      </c>
      <c r="G9" s="51">
        <v>20026.453192353249</v>
      </c>
      <c r="H9" s="52">
        <v>1296.3533335033717</v>
      </c>
      <c r="I9" s="51">
        <v>1177998.159503941</v>
      </c>
      <c r="J9" s="51">
        <v>246405.12535882121</v>
      </c>
      <c r="K9" s="51">
        <v>212705.43721080065</v>
      </c>
    </row>
    <row r="10" spans="1:11" ht="20.45" customHeight="1" x14ac:dyDescent="0.2">
      <c r="A10" s="30" t="s">
        <v>2</v>
      </c>
      <c r="B10" s="53">
        <v>2939.5485081672668</v>
      </c>
      <c r="C10" s="54">
        <v>21.399688361923527</v>
      </c>
      <c r="D10" s="53">
        <v>856.52556467056274</v>
      </c>
      <c r="E10" s="54">
        <v>14.754359156398438</v>
      </c>
      <c r="F10" s="53">
        <v>14273.941843867316</v>
      </c>
      <c r="G10" s="53">
        <v>640.08555281162262</v>
      </c>
      <c r="H10" s="54">
        <v>6.6453292055250381</v>
      </c>
      <c r="I10" s="53">
        <v>10662.216763496384</v>
      </c>
      <c r="J10" s="53">
        <v>2251.775028467182</v>
      </c>
      <c r="K10" s="53">
        <v>8096.3865489960035</v>
      </c>
    </row>
    <row r="11" spans="1:11" ht="20.45" customHeight="1" x14ac:dyDescent="0.2">
      <c r="A11" s="30" t="s">
        <v>3</v>
      </c>
      <c r="B11" s="53">
        <v>10291.470267415047</v>
      </c>
      <c r="C11" s="54">
        <v>194.37453253622994</v>
      </c>
      <c r="D11" s="53">
        <v>4450.9127372503281</v>
      </c>
      <c r="E11" s="54">
        <v>120.44184837456541</v>
      </c>
      <c r="F11" s="53">
        <v>131167.807443381</v>
      </c>
      <c r="G11" s="53">
        <v>3122.0807970762253</v>
      </c>
      <c r="H11" s="54">
        <v>73.932684161665065</v>
      </c>
      <c r="I11" s="53">
        <v>103322.20331573459</v>
      </c>
      <c r="J11" s="53">
        <v>25296.872300505613</v>
      </c>
      <c r="K11" s="53">
        <v>30937.711983323105</v>
      </c>
    </row>
    <row r="12" spans="1:11" ht="20.45" customHeight="1" x14ac:dyDescent="0.2">
      <c r="A12" s="30" t="s">
        <v>4</v>
      </c>
      <c r="B12" s="53">
        <v>28315.252386927605</v>
      </c>
      <c r="C12" s="54">
        <v>978.93569744434251</v>
      </c>
      <c r="D12" s="53">
        <v>12897.286515474319</v>
      </c>
      <c r="E12" s="54">
        <v>670.564097578663</v>
      </c>
      <c r="F12" s="53">
        <v>795985.81188416167</v>
      </c>
      <c r="G12" s="53">
        <v>8363.47503221035</v>
      </c>
      <c r="H12" s="54">
        <v>308.37159986567031</v>
      </c>
      <c r="I12" s="53">
        <v>394544.9361283789</v>
      </c>
      <c r="J12" s="53">
        <v>140460.09579467704</v>
      </c>
      <c r="K12" s="53">
        <v>82468.568172216299</v>
      </c>
    </row>
    <row r="13" spans="1:11" ht="20.45" customHeight="1" x14ac:dyDescent="0.2">
      <c r="A13" s="30" t="s">
        <v>5</v>
      </c>
      <c r="B13" s="53">
        <v>16827.774423360825</v>
      </c>
      <c r="C13" s="54">
        <v>859.87588387267056</v>
      </c>
      <c r="D13" s="53">
        <v>6625.101505279541</v>
      </c>
      <c r="E13" s="54">
        <v>528.38104895391791</v>
      </c>
      <c r="F13" s="53">
        <v>405366.84929752257</v>
      </c>
      <c r="G13" s="53">
        <v>5345.0864675045013</v>
      </c>
      <c r="H13" s="54">
        <v>331.49483491875367</v>
      </c>
      <c r="I13" s="53">
        <v>311581.54777276434</v>
      </c>
      <c r="J13" s="53">
        <v>53591.975621938793</v>
      </c>
      <c r="K13" s="53">
        <v>56534.386207104057</v>
      </c>
    </row>
    <row r="14" spans="1:11" ht="20.45" customHeight="1" x14ac:dyDescent="0.2">
      <c r="A14" s="30" t="s">
        <v>6</v>
      </c>
      <c r="B14" s="53">
        <v>6693.9605641365051</v>
      </c>
      <c r="C14" s="54">
        <v>513.56644029591678</v>
      </c>
      <c r="D14" s="53">
        <v>1948.1308369636536</v>
      </c>
      <c r="E14" s="54">
        <v>269.49571547565915</v>
      </c>
      <c r="F14" s="53">
        <v>124496.5762881042</v>
      </c>
      <c r="G14" s="53">
        <v>1960.5809458494186</v>
      </c>
      <c r="H14" s="54">
        <v>244.07072482025652</v>
      </c>
      <c r="I14" s="53">
        <v>119588.90741205201</v>
      </c>
      <c r="J14" s="53">
        <v>20251.546186447184</v>
      </c>
      <c r="K14" s="53">
        <v>29236.999871373002</v>
      </c>
    </row>
    <row r="15" spans="1:11" ht="20.45" customHeight="1" x14ac:dyDescent="0.2">
      <c r="A15" s="30" t="s">
        <v>7</v>
      </c>
      <c r="B15" s="53">
        <v>1304.5166887044907</v>
      </c>
      <c r="C15" s="54">
        <v>142.78118147536267</v>
      </c>
      <c r="D15" s="53">
        <v>413.53829073905945</v>
      </c>
      <c r="E15" s="54">
        <v>75.099838857333779</v>
      </c>
      <c r="F15" s="53">
        <v>33849.507704257951</v>
      </c>
      <c r="G15" s="53">
        <v>357.64435493946075</v>
      </c>
      <c r="H15" s="54">
        <v>67.681342618028594</v>
      </c>
      <c r="I15" s="53">
        <v>35717.104169368715</v>
      </c>
      <c r="J15" s="53">
        <v>1686.7268329858778</v>
      </c>
      <c r="K15" s="53">
        <v>3335.7243201732567</v>
      </c>
    </row>
    <row r="16" spans="1:11" ht="20.45" customHeight="1" x14ac:dyDescent="0.2">
      <c r="A16" s="30" t="s">
        <v>8</v>
      </c>
      <c r="B16" s="53">
        <v>384.1639529466629</v>
      </c>
      <c r="C16" s="54">
        <v>67.258216157607407</v>
      </c>
      <c r="D16" s="53">
        <v>141.21637547016144</v>
      </c>
      <c r="E16" s="54">
        <v>40.55406875744756</v>
      </c>
      <c r="F16" s="53">
        <v>6891.3542773723648</v>
      </c>
      <c r="G16" s="53">
        <v>148.1312700510025</v>
      </c>
      <c r="H16" s="54">
        <v>26.704147400159844</v>
      </c>
      <c r="I16" s="53">
        <v>11565.485305070875</v>
      </c>
      <c r="J16" s="53">
        <v>502.60170769691467</v>
      </c>
      <c r="K16" s="53">
        <v>623.03335905074994</v>
      </c>
    </row>
    <row r="17" spans="1:11" ht="20.45" customHeight="1" x14ac:dyDescent="0.2">
      <c r="A17" s="30" t="s">
        <v>9</v>
      </c>
      <c r="B17" s="53">
        <v>92.636964321136475</v>
      </c>
      <c r="C17" s="54">
        <v>14.015913021861058</v>
      </c>
      <c r="D17" s="53">
        <v>13.800695419311523</v>
      </c>
      <c r="E17" s="54">
        <v>7.9204671849177188</v>
      </c>
      <c r="F17" s="53">
        <v>1267.8261923789983</v>
      </c>
      <c r="G17" s="53">
        <v>32.914438724517822</v>
      </c>
      <c r="H17" s="54">
        <v>6.0954458369433402</v>
      </c>
      <c r="I17" s="53">
        <v>1447.9686756134022</v>
      </c>
      <c r="J17" s="53">
        <v>675.13694763183548</v>
      </c>
      <c r="K17" s="53">
        <v>535.91187286376999</v>
      </c>
    </row>
    <row r="18" spans="1:11" ht="20.45" customHeight="1" x14ac:dyDescent="0.2">
      <c r="A18" s="30" t="s">
        <v>10</v>
      </c>
      <c r="B18" s="53">
        <v>137.24355590343475</v>
      </c>
      <c r="C18" s="54">
        <v>34.309963597909892</v>
      </c>
      <c r="D18" s="53">
        <v>50.664716124534607</v>
      </c>
      <c r="E18" s="54">
        <v>23.759341680275543</v>
      </c>
      <c r="F18" s="53">
        <v>4194.9713252782813</v>
      </c>
      <c r="G18" s="53">
        <v>25.338237643241882</v>
      </c>
      <c r="H18" s="54">
        <v>10.55062191763434</v>
      </c>
      <c r="I18" s="53">
        <v>2201.1921755075455</v>
      </c>
      <c r="J18" s="53">
        <v>890.33575725555352</v>
      </c>
      <c r="K18" s="53">
        <v>237.29222249984744</v>
      </c>
    </row>
    <row r="19" spans="1:11" ht="20.45" customHeight="1" x14ac:dyDescent="0.2">
      <c r="A19" s="30" t="s">
        <v>11</v>
      </c>
      <c r="B19" s="53">
        <v>31.116095542907715</v>
      </c>
      <c r="C19" s="54">
        <v>253.50676988342948</v>
      </c>
      <c r="D19" s="53">
        <v>31.116095542907715</v>
      </c>
      <c r="E19" s="54">
        <v>32.700167124692094</v>
      </c>
      <c r="F19" s="53">
        <v>34078.94686698915</v>
      </c>
      <c r="G19" s="53">
        <v>31.116095542907715</v>
      </c>
      <c r="H19" s="54">
        <v>220.80660275873737</v>
      </c>
      <c r="I19" s="53">
        <v>187366.59778594974</v>
      </c>
      <c r="J19" s="53">
        <v>798.05918121337925</v>
      </c>
      <c r="K19" s="53">
        <v>699.42265319824196</v>
      </c>
    </row>
    <row r="20" spans="1:11" s="6" customFormat="1" ht="20.45" customHeight="1" x14ac:dyDescent="0.2">
      <c r="A20" s="31" t="s">
        <v>12</v>
      </c>
      <c r="B20" s="25">
        <f>B8+B9</f>
        <v>67190.147898197174</v>
      </c>
      <c r="C20" s="26">
        <f t="shared" ref="C20:K20" si="0">C8+C9</f>
        <v>3080.1573159036889</v>
      </c>
      <c r="D20" s="25">
        <f t="shared" si="0"/>
        <v>27438.81172978878</v>
      </c>
      <c r="E20" s="26">
        <f t="shared" si="0"/>
        <v>1783.7661865329981</v>
      </c>
      <c r="F20" s="25">
        <f t="shared" si="0"/>
        <v>1551737.3127569123</v>
      </c>
      <c r="G20" s="25">
        <f t="shared" si="0"/>
        <v>20029.425032734871</v>
      </c>
      <c r="H20" s="26">
        <f t="shared" si="0"/>
        <v>1296.3911293706801</v>
      </c>
      <c r="I20" s="25">
        <f t="shared" si="0"/>
        <v>1178027.8779077572</v>
      </c>
      <c r="J20" s="25">
        <f t="shared" si="0"/>
        <v>246698.64270389205</v>
      </c>
      <c r="K20" s="25">
        <f t="shared" si="0"/>
        <v>214022.14401352644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996" priority="13" stopIfTrue="1" operator="equal">
      <formula>0</formula>
    </cfRule>
  </conditionalFormatting>
  <conditionalFormatting sqref="D8:D19">
    <cfRule type="cellIs" dxfId="995" priority="12" stopIfTrue="1" operator="equal">
      <formula>0</formula>
    </cfRule>
  </conditionalFormatting>
  <conditionalFormatting sqref="F8:F19">
    <cfRule type="cellIs" dxfId="994" priority="11" stopIfTrue="1" operator="equal">
      <formula>0</formula>
    </cfRule>
  </conditionalFormatting>
  <conditionalFormatting sqref="G8:G19">
    <cfRule type="cellIs" dxfId="993" priority="10" stopIfTrue="1" operator="equal">
      <formula>0</formula>
    </cfRule>
  </conditionalFormatting>
  <conditionalFormatting sqref="I8:I19">
    <cfRule type="cellIs" dxfId="992" priority="9" stopIfTrue="1" operator="equal">
      <formula>0</formula>
    </cfRule>
  </conditionalFormatting>
  <conditionalFormatting sqref="J8:J19">
    <cfRule type="cellIs" dxfId="991" priority="8" stopIfTrue="1" operator="equal">
      <formula>0</formula>
    </cfRule>
  </conditionalFormatting>
  <conditionalFormatting sqref="K8:K19">
    <cfRule type="cellIs" dxfId="990" priority="7" stopIfTrue="1" operator="equal">
      <formula>0</formula>
    </cfRule>
  </conditionalFormatting>
  <conditionalFormatting sqref="C20">
    <cfRule type="cellIs" dxfId="989" priority="6" stopIfTrue="1" operator="equal">
      <formula>0</formula>
    </cfRule>
  </conditionalFormatting>
  <conditionalFormatting sqref="C8:C19">
    <cfRule type="cellIs" dxfId="988" priority="5" stopIfTrue="1" operator="equal">
      <formula>0</formula>
    </cfRule>
  </conditionalFormatting>
  <conditionalFormatting sqref="E20">
    <cfRule type="cellIs" dxfId="987" priority="4" stopIfTrue="1" operator="equal">
      <formula>0</formula>
    </cfRule>
  </conditionalFormatting>
  <conditionalFormatting sqref="E8:E19">
    <cfRule type="cellIs" dxfId="986" priority="3" stopIfTrue="1" operator="equal">
      <formula>0</formula>
    </cfRule>
  </conditionalFormatting>
  <conditionalFormatting sqref="H20">
    <cfRule type="cellIs" dxfId="985" priority="2" stopIfTrue="1" operator="equal">
      <formula>0</formula>
    </cfRule>
  </conditionalFormatting>
  <conditionalFormatting sqref="H8:H19">
    <cfRule type="cellIs" dxfId="98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FA47-AE73-4511-BE14-E578C6122072}">
  <dimension ref="A1:K20"/>
  <sheetViews>
    <sheetView zoomScale="89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5703125" customWidth="1"/>
    <col min="3" max="3" width="11.42578125" customWidth="1"/>
    <col min="4" max="4" width="9.85546875" customWidth="1"/>
    <col min="5" max="5" width="9.42578125" customWidth="1"/>
    <col min="6" max="6" width="10.85546875" customWidth="1"/>
    <col min="7" max="7" width="10.5703125" customWidth="1"/>
    <col min="8" max="8" width="9.5703125" customWidth="1"/>
    <col min="9" max="9" width="10.5703125" customWidth="1"/>
    <col min="10" max="10" width="12.5703125" customWidth="1"/>
    <col min="11" max="11" width="12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185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184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19.5" customHeight="1" x14ac:dyDescent="0.2">
      <c r="A5" s="123"/>
      <c r="B5" s="127" t="s">
        <v>158</v>
      </c>
      <c r="C5" s="127" t="s">
        <v>151</v>
      </c>
      <c r="D5" s="158" t="s">
        <v>152</v>
      </c>
      <c r="E5" s="158"/>
      <c r="F5" s="158"/>
      <c r="G5" s="158"/>
      <c r="H5" s="158"/>
      <c r="I5" s="158"/>
      <c r="J5" s="121" t="s">
        <v>153</v>
      </c>
      <c r="K5" s="121"/>
    </row>
    <row r="6" spans="1:11" s="7" customFormat="1" ht="22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907.54374027252197</v>
      </c>
      <c r="C8" s="50">
        <v>4.307928285466682E-2</v>
      </c>
      <c r="D8" s="49">
        <v>13.549074172973633</v>
      </c>
      <c r="E8" s="50">
        <v>4.3079282854666889E-2</v>
      </c>
      <c r="F8" s="49">
        <v>40.647222518920856</v>
      </c>
      <c r="G8" s="49">
        <v>0</v>
      </c>
      <c r="H8" s="50"/>
      <c r="I8" s="49">
        <v>0</v>
      </c>
      <c r="J8" s="49">
        <v>1294.6131267547601</v>
      </c>
      <c r="K8" s="49">
        <v>245.57023334503185</v>
      </c>
    </row>
    <row r="9" spans="1:11" s="6" customFormat="1" ht="20.45" customHeight="1" x14ac:dyDescent="0.2">
      <c r="A9" s="29" t="s">
        <v>1</v>
      </c>
      <c r="B9" s="51">
        <v>127400.4671664238</v>
      </c>
      <c r="C9" s="52">
        <v>180.81521075483468</v>
      </c>
      <c r="D9" s="51">
        <v>10226.93278002739</v>
      </c>
      <c r="E9" s="52">
        <v>146.80647142500877</v>
      </c>
      <c r="F9" s="51">
        <v>60277.629894018202</v>
      </c>
      <c r="G9" s="51">
        <v>2253.9571938514709</v>
      </c>
      <c r="H9" s="52">
        <v>34.008739329832544</v>
      </c>
      <c r="I9" s="51">
        <v>20308.333040594334</v>
      </c>
      <c r="J9" s="51">
        <v>175607.145712258</v>
      </c>
      <c r="K9" s="51">
        <v>67076.896042227585</v>
      </c>
    </row>
    <row r="10" spans="1:11" ht="20.45" customHeight="1" x14ac:dyDescent="0.2">
      <c r="A10" s="30" t="s">
        <v>2</v>
      </c>
      <c r="B10" s="53">
        <v>5877.3041446208954</v>
      </c>
      <c r="C10" s="54">
        <v>2.0036599879115551</v>
      </c>
      <c r="D10" s="53">
        <v>484.44689321517944</v>
      </c>
      <c r="E10" s="54">
        <v>1.950883761657856</v>
      </c>
      <c r="F10" s="53">
        <v>2442.828261852263</v>
      </c>
      <c r="G10" s="53">
        <v>27.317790031433105</v>
      </c>
      <c r="H10" s="54">
        <v>5.2776226253691411E-2</v>
      </c>
      <c r="I10" s="53">
        <v>49.709439754486006</v>
      </c>
      <c r="J10" s="53">
        <v>6400.5757865905416</v>
      </c>
      <c r="K10" s="53">
        <v>3555.2991313934426</v>
      </c>
    </row>
    <row r="11" spans="1:11" ht="20.45" customHeight="1" x14ac:dyDescent="0.2">
      <c r="A11" s="30" t="s">
        <v>3</v>
      </c>
      <c r="B11" s="53">
        <v>15591.368156433105</v>
      </c>
      <c r="C11" s="54">
        <v>9.0917504812608634</v>
      </c>
      <c r="D11" s="53">
        <v>1056.9069881439209</v>
      </c>
      <c r="E11" s="54">
        <v>7.503502089253189</v>
      </c>
      <c r="F11" s="53">
        <v>4689.9231243133645</v>
      </c>
      <c r="G11" s="53">
        <v>315.17801713943481</v>
      </c>
      <c r="H11" s="54">
        <v>1.5882483920076109</v>
      </c>
      <c r="I11" s="53">
        <v>1056.6766848564162</v>
      </c>
      <c r="J11" s="53">
        <v>18607.167731761896</v>
      </c>
      <c r="K11" s="53">
        <v>9207.9298005103974</v>
      </c>
    </row>
    <row r="12" spans="1:11" ht="20.45" customHeight="1" x14ac:dyDescent="0.2">
      <c r="A12" s="30" t="s">
        <v>4</v>
      </c>
      <c r="B12" s="53">
        <v>46204.648856759071</v>
      </c>
      <c r="C12" s="54">
        <v>44.166774062147915</v>
      </c>
      <c r="D12" s="53">
        <v>3607.9919131994247</v>
      </c>
      <c r="E12" s="54">
        <v>36.986059776499609</v>
      </c>
      <c r="F12" s="53">
        <v>18434.355836749066</v>
      </c>
      <c r="G12" s="53">
        <v>910.64072048664093</v>
      </c>
      <c r="H12" s="54">
        <v>7.1807142856487181</v>
      </c>
      <c r="I12" s="53">
        <v>4615.8892379999088</v>
      </c>
      <c r="J12" s="53">
        <v>61795.717838644618</v>
      </c>
      <c r="K12" s="53">
        <v>23648.501926303023</v>
      </c>
    </row>
    <row r="13" spans="1:11" ht="20.45" customHeight="1" x14ac:dyDescent="0.2">
      <c r="A13" s="30" t="s">
        <v>5</v>
      </c>
      <c r="B13" s="53">
        <v>35800.055796861649</v>
      </c>
      <c r="C13" s="54">
        <v>71.301509658738595</v>
      </c>
      <c r="D13" s="53">
        <v>3215.9451282024384</v>
      </c>
      <c r="E13" s="54">
        <v>59.278978148698691</v>
      </c>
      <c r="F13" s="53">
        <v>21743.139000177409</v>
      </c>
      <c r="G13" s="53">
        <v>581.29933059215546</v>
      </c>
      <c r="H13" s="54">
        <v>12.02253151003978</v>
      </c>
      <c r="I13" s="53">
        <v>4900.2570607662701</v>
      </c>
      <c r="J13" s="53">
        <v>51513.42879450303</v>
      </c>
      <c r="K13" s="53">
        <v>16461.768434047663</v>
      </c>
    </row>
    <row r="14" spans="1:11" ht="20.45" customHeight="1" x14ac:dyDescent="0.2">
      <c r="A14" s="30" t="s">
        <v>6</v>
      </c>
      <c r="B14" s="53">
        <v>18728.713345885277</v>
      </c>
      <c r="C14" s="54">
        <v>29.697652329134211</v>
      </c>
      <c r="D14" s="53">
        <v>1314.0022531747818</v>
      </c>
      <c r="E14" s="54">
        <v>23.517454903935192</v>
      </c>
      <c r="F14" s="53">
        <v>8866.7168794870413</v>
      </c>
      <c r="G14" s="53">
        <v>246.88371801376343</v>
      </c>
      <c r="H14" s="54">
        <v>6.1801974251991663</v>
      </c>
      <c r="I14" s="53">
        <v>7541.1877069473512</v>
      </c>
      <c r="J14" s="53">
        <v>29818.003177761995</v>
      </c>
      <c r="K14" s="53">
        <v>10786.328806161882</v>
      </c>
    </row>
    <row r="15" spans="1:11" ht="20.45" customHeight="1" x14ac:dyDescent="0.2">
      <c r="A15" s="30" t="s">
        <v>7</v>
      </c>
      <c r="B15" s="53">
        <v>3916.0856332778931</v>
      </c>
      <c r="C15" s="54">
        <v>22.010370861367555</v>
      </c>
      <c r="D15" s="53">
        <v>476.44411611557007</v>
      </c>
      <c r="E15" s="54">
        <v>16.381937643130296</v>
      </c>
      <c r="F15" s="53">
        <v>3285.774260997774</v>
      </c>
      <c r="G15" s="53">
        <v>117.622483253479</v>
      </c>
      <c r="H15" s="54">
        <v>5.628433218237177</v>
      </c>
      <c r="I15" s="53">
        <v>1964.8272113800131</v>
      </c>
      <c r="J15" s="53">
        <v>5642.9974062442698</v>
      </c>
      <c r="K15" s="53">
        <v>1825.5514833927236</v>
      </c>
    </row>
    <row r="16" spans="1:11" ht="20.45" customHeight="1" x14ac:dyDescent="0.2">
      <c r="A16" s="30" t="s">
        <v>8</v>
      </c>
      <c r="B16" s="53">
        <v>841.43965291976929</v>
      </c>
      <c r="C16" s="54">
        <v>2.372156478523654</v>
      </c>
      <c r="D16" s="53">
        <v>51.742899417877197</v>
      </c>
      <c r="E16" s="54">
        <v>1.0684080141661361</v>
      </c>
      <c r="F16" s="53">
        <v>181.3472208976743</v>
      </c>
      <c r="G16" s="53">
        <v>31.491841316223145</v>
      </c>
      <c r="H16" s="54">
        <v>1.3037484643575152</v>
      </c>
      <c r="I16" s="53">
        <v>148.278642654419</v>
      </c>
      <c r="J16" s="53">
        <v>1257.9684991836548</v>
      </c>
      <c r="K16" s="53">
        <v>1289.2415380477919</v>
      </c>
    </row>
    <row r="17" spans="1:11" ht="20.45" customHeight="1" x14ac:dyDescent="0.2">
      <c r="A17" s="30" t="s">
        <v>9</v>
      </c>
      <c r="B17" s="53">
        <v>309.64679145812988</v>
      </c>
      <c r="C17" s="54">
        <v>7.3564254757137307E-2</v>
      </c>
      <c r="D17" s="53">
        <v>13.432071685791016</v>
      </c>
      <c r="E17" s="54">
        <v>2.1474446668272171E-2</v>
      </c>
      <c r="F17" s="53">
        <v>13.432071685791017</v>
      </c>
      <c r="G17" s="53">
        <v>23.523293018341064</v>
      </c>
      <c r="H17" s="54">
        <v>5.2089808088865132E-2</v>
      </c>
      <c r="I17" s="53">
        <v>31.507056236267065</v>
      </c>
      <c r="J17" s="53">
        <v>326.36802482604975</v>
      </c>
      <c r="K17" s="53">
        <v>225.49815464019721</v>
      </c>
    </row>
    <row r="18" spans="1:11" ht="20.45" customHeight="1" x14ac:dyDescent="0.2">
      <c r="A18" s="30" t="s">
        <v>10</v>
      </c>
      <c r="B18" s="53">
        <v>108.0299515724182</v>
      </c>
      <c r="C18" s="54">
        <v>9.7772640999546898E-2</v>
      </c>
      <c r="D18" s="53">
        <v>6.0205168724060059</v>
      </c>
      <c r="E18" s="54">
        <v>9.77726409995468E-2</v>
      </c>
      <c r="F18" s="53">
        <v>620.11323785781872</v>
      </c>
      <c r="G18" s="53">
        <v>0</v>
      </c>
      <c r="H18" s="54"/>
      <c r="I18" s="53">
        <v>0</v>
      </c>
      <c r="J18" s="53">
        <v>141.12953090667725</v>
      </c>
      <c r="K18" s="53">
        <v>61.585694313049281</v>
      </c>
    </row>
    <row r="19" spans="1:11" ht="20.45" customHeight="1" x14ac:dyDescent="0.2">
      <c r="A19" s="30" t="s">
        <v>11</v>
      </c>
      <c r="B19" s="53">
        <v>23.1748366355896</v>
      </c>
      <c r="C19" s="54">
        <v>0</v>
      </c>
      <c r="D19" s="53">
        <v>0</v>
      </c>
      <c r="E19" s="54"/>
      <c r="F19" s="53">
        <v>0</v>
      </c>
      <c r="G19" s="53">
        <v>0</v>
      </c>
      <c r="H19" s="54"/>
      <c r="I19" s="53">
        <v>0</v>
      </c>
      <c r="J19" s="53">
        <v>103.78892183303834</v>
      </c>
      <c r="K19" s="53">
        <v>15.191073417663581</v>
      </c>
    </row>
    <row r="20" spans="1:11" s="6" customFormat="1" ht="20.45" customHeight="1" x14ac:dyDescent="0.2">
      <c r="A20" s="31" t="s">
        <v>12</v>
      </c>
      <c r="B20" s="25">
        <f>B8+B9</f>
        <v>128308.01090669632</v>
      </c>
      <c r="C20" s="26">
        <f t="shared" ref="C20:K20" si="0">C8+C9</f>
        <v>180.85829003768936</v>
      </c>
      <c r="D20" s="25">
        <f t="shared" si="0"/>
        <v>10240.481854200363</v>
      </c>
      <c r="E20" s="26">
        <f t="shared" si="0"/>
        <v>146.84955070786344</v>
      </c>
      <c r="F20" s="25">
        <f t="shared" si="0"/>
        <v>60318.277116537123</v>
      </c>
      <c r="G20" s="25">
        <f t="shared" si="0"/>
        <v>2253.9571938514709</v>
      </c>
      <c r="H20" s="26">
        <f t="shared" si="0"/>
        <v>34.008739329832544</v>
      </c>
      <c r="I20" s="25">
        <f t="shared" si="0"/>
        <v>20308.333040594334</v>
      </c>
      <c r="J20" s="25">
        <f t="shared" si="0"/>
        <v>176901.75883901276</v>
      </c>
      <c r="K20" s="25">
        <f t="shared" si="0"/>
        <v>67322.466275572617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983" priority="13" stopIfTrue="1" operator="equal">
      <formula>0</formula>
    </cfRule>
  </conditionalFormatting>
  <conditionalFormatting sqref="D8:D19">
    <cfRule type="cellIs" dxfId="982" priority="12" stopIfTrue="1" operator="equal">
      <formula>0</formula>
    </cfRule>
  </conditionalFormatting>
  <conditionalFormatting sqref="F8:F19">
    <cfRule type="cellIs" dxfId="981" priority="11" stopIfTrue="1" operator="equal">
      <formula>0</formula>
    </cfRule>
  </conditionalFormatting>
  <conditionalFormatting sqref="G8:G19">
    <cfRule type="cellIs" dxfId="980" priority="10" stopIfTrue="1" operator="equal">
      <formula>0</formula>
    </cfRule>
  </conditionalFormatting>
  <conditionalFormatting sqref="I8:I19">
    <cfRule type="cellIs" dxfId="979" priority="9" stopIfTrue="1" operator="equal">
      <formula>0</formula>
    </cfRule>
  </conditionalFormatting>
  <conditionalFormatting sqref="J8:J19">
    <cfRule type="cellIs" dxfId="978" priority="8" stopIfTrue="1" operator="equal">
      <formula>0</formula>
    </cfRule>
  </conditionalFormatting>
  <conditionalFormatting sqref="K8:K19">
    <cfRule type="cellIs" dxfId="977" priority="7" stopIfTrue="1" operator="equal">
      <formula>0</formula>
    </cfRule>
  </conditionalFormatting>
  <conditionalFormatting sqref="C20">
    <cfRule type="cellIs" dxfId="976" priority="6" stopIfTrue="1" operator="equal">
      <formula>0</formula>
    </cfRule>
  </conditionalFormatting>
  <conditionalFormatting sqref="C8:C19">
    <cfRule type="cellIs" dxfId="975" priority="5" stopIfTrue="1" operator="equal">
      <formula>0</formula>
    </cfRule>
  </conditionalFormatting>
  <conditionalFormatting sqref="E20">
    <cfRule type="cellIs" dxfId="974" priority="4" stopIfTrue="1" operator="equal">
      <formula>0</formula>
    </cfRule>
  </conditionalFormatting>
  <conditionalFormatting sqref="E8:E19">
    <cfRule type="cellIs" dxfId="973" priority="3" stopIfTrue="1" operator="equal">
      <formula>0</formula>
    </cfRule>
  </conditionalFormatting>
  <conditionalFormatting sqref="H20">
    <cfRule type="cellIs" dxfId="972" priority="2" stopIfTrue="1" operator="equal">
      <formula>0</formula>
    </cfRule>
  </conditionalFormatting>
  <conditionalFormatting sqref="H8:H19">
    <cfRule type="cellIs" dxfId="971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BE2A-43F6-4C21-8D5B-FDA11A00E7D2}">
  <dimension ref="A1:K20"/>
  <sheetViews>
    <sheetView zoomScale="93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1.85546875" customWidth="1"/>
    <col min="3" max="3" width="11.42578125" customWidth="1"/>
    <col min="4" max="4" width="8.5703125" customWidth="1"/>
    <col min="5" max="5" width="8.140625" bestFit="1" customWidth="1"/>
    <col min="6" max="6" width="11.42578125" customWidth="1"/>
    <col min="7" max="7" width="9" customWidth="1"/>
    <col min="8" max="8" width="8" customWidth="1"/>
    <col min="9" max="9" width="9.42578125" customWidth="1"/>
    <col min="10" max="10" width="11.42578125" customWidth="1"/>
    <col min="11" max="11" width="13.1406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187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186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3.2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2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1512.1132497787476</v>
      </c>
      <c r="C8" s="50">
        <v>0.1518546180634967</v>
      </c>
      <c r="D8" s="49">
        <v>46.174531936645508</v>
      </c>
      <c r="E8" s="50">
        <v>0.11369932802754756</v>
      </c>
      <c r="F8" s="49">
        <v>92.34906387329093</v>
      </c>
      <c r="G8" s="49">
        <v>12.000405311584473</v>
      </c>
      <c r="H8" s="50">
        <v>3.8155290035948974E-2</v>
      </c>
      <c r="I8" s="49">
        <v>24.000810623168924</v>
      </c>
      <c r="J8" s="49">
        <v>2121.1721677780188</v>
      </c>
      <c r="K8" s="49">
        <v>469.53252601623512</v>
      </c>
    </row>
    <row r="9" spans="1:11" s="6" customFormat="1" ht="20.45" customHeight="1" x14ac:dyDescent="0.2">
      <c r="A9" s="29" t="s">
        <v>1</v>
      </c>
      <c r="B9" s="51">
        <v>249715.66206133366</v>
      </c>
      <c r="C9" s="52">
        <v>225.56401432629076</v>
      </c>
      <c r="D9" s="51">
        <v>17570.655847191811</v>
      </c>
      <c r="E9" s="52">
        <v>175.31402999206438</v>
      </c>
      <c r="F9" s="51">
        <v>73966.334399103667</v>
      </c>
      <c r="G9" s="51">
        <v>4576.3106442689896</v>
      </c>
      <c r="H9" s="52">
        <v>50.249984334226433</v>
      </c>
      <c r="I9" s="51">
        <v>33918.644917487909</v>
      </c>
      <c r="J9" s="51">
        <v>359928.52411055419</v>
      </c>
      <c r="K9" s="51">
        <v>140858.46910619887</v>
      </c>
    </row>
    <row r="10" spans="1:11" ht="20.45" customHeight="1" x14ac:dyDescent="0.2">
      <c r="A10" s="30" t="s">
        <v>2</v>
      </c>
      <c r="B10" s="53">
        <v>16028.623664617538</v>
      </c>
      <c r="C10" s="54">
        <v>3.9232669366990307</v>
      </c>
      <c r="D10" s="53">
        <v>847.14829683303833</v>
      </c>
      <c r="E10" s="54">
        <v>3.2305703367771144</v>
      </c>
      <c r="F10" s="53">
        <v>2232.2716355323801</v>
      </c>
      <c r="G10" s="53">
        <v>214.71961069107056</v>
      </c>
      <c r="H10" s="54">
        <v>0.69269659992192156</v>
      </c>
      <c r="I10" s="53">
        <v>541.56828880310161</v>
      </c>
      <c r="J10" s="53">
        <v>17935.565502643596</v>
      </c>
      <c r="K10" s="53">
        <v>7738.9522778987739</v>
      </c>
    </row>
    <row r="11" spans="1:11" ht="20.45" customHeight="1" x14ac:dyDescent="0.2">
      <c r="A11" s="30" t="s">
        <v>3</v>
      </c>
      <c r="B11" s="53">
        <v>37329.036269068711</v>
      </c>
      <c r="C11" s="54">
        <v>14.359081768979458</v>
      </c>
      <c r="D11" s="53">
        <v>2377.1840549707413</v>
      </c>
      <c r="E11" s="54">
        <v>12.035360586490981</v>
      </c>
      <c r="F11" s="53">
        <v>6941.4244363307971</v>
      </c>
      <c r="G11" s="53">
        <v>436.4348201751709</v>
      </c>
      <c r="H11" s="54">
        <v>2.3237211824884803</v>
      </c>
      <c r="I11" s="53">
        <v>2018.9877061843813</v>
      </c>
      <c r="J11" s="53">
        <v>48989.208072662215</v>
      </c>
      <c r="K11" s="53">
        <v>18459.277554035169</v>
      </c>
    </row>
    <row r="12" spans="1:11" ht="20.45" customHeight="1" x14ac:dyDescent="0.2">
      <c r="A12" s="30" t="s">
        <v>4</v>
      </c>
      <c r="B12" s="53">
        <v>96483.677737593651</v>
      </c>
      <c r="C12" s="54">
        <v>68.298104749664759</v>
      </c>
      <c r="D12" s="53">
        <v>6904.7429800033569</v>
      </c>
      <c r="E12" s="54">
        <v>51.409258268545081</v>
      </c>
      <c r="F12" s="53">
        <v>28263.452157974163</v>
      </c>
      <c r="G12" s="53">
        <v>2094.4930896759033</v>
      </c>
      <c r="H12" s="54">
        <v>16.888846481119966</v>
      </c>
      <c r="I12" s="53">
        <v>7747.6875510216369</v>
      </c>
      <c r="J12" s="53">
        <v>136945.08690941447</v>
      </c>
      <c r="K12" s="53">
        <v>55764.34647512377</v>
      </c>
    </row>
    <row r="13" spans="1:11" ht="20.45" customHeight="1" x14ac:dyDescent="0.2">
      <c r="A13" s="30" t="s">
        <v>5</v>
      </c>
      <c r="B13" s="53">
        <v>64287.864760756493</v>
      </c>
      <c r="C13" s="54">
        <v>72.913485699944417</v>
      </c>
      <c r="D13" s="53">
        <v>4957.394432425499</v>
      </c>
      <c r="E13" s="54">
        <v>56.580682551474709</v>
      </c>
      <c r="F13" s="53">
        <v>24012.574552297516</v>
      </c>
      <c r="G13" s="53">
        <v>1253.2623014450073</v>
      </c>
      <c r="H13" s="54">
        <v>16.332803148469729</v>
      </c>
      <c r="I13" s="53">
        <v>9502.325953960366</v>
      </c>
      <c r="J13" s="53">
        <v>98325.191214322971</v>
      </c>
      <c r="K13" s="53">
        <v>39856.173902511648</v>
      </c>
    </row>
    <row r="14" spans="1:11" ht="20.45" customHeight="1" x14ac:dyDescent="0.2">
      <c r="A14" s="30" t="s">
        <v>6</v>
      </c>
      <c r="B14" s="53">
        <v>28888.698826789856</v>
      </c>
      <c r="C14" s="54">
        <v>45.19874572404759</v>
      </c>
      <c r="D14" s="53">
        <v>2069.2648721933365</v>
      </c>
      <c r="E14" s="54">
        <v>36.440093768142582</v>
      </c>
      <c r="F14" s="53">
        <v>9063.2782891988718</v>
      </c>
      <c r="G14" s="53">
        <v>372.87580692768097</v>
      </c>
      <c r="H14" s="54">
        <v>8.7586519559049663</v>
      </c>
      <c r="I14" s="53">
        <v>11129.5021901131</v>
      </c>
      <c r="J14" s="53">
        <v>45745.070935607022</v>
      </c>
      <c r="K14" s="53">
        <v>13638.07888674738</v>
      </c>
    </row>
    <row r="15" spans="1:11" ht="20.45" customHeight="1" x14ac:dyDescent="0.2">
      <c r="A15" s="30" t="s">
        <v>7</v>
      </c>
      <c r="B15" s="53">
        <v>4835.5740034580231</v>
      </c>
      <c r="C15" s="54">
        <v>11.769679868094949</v>
      </c>
      <c r="D15" s="53">
        <v>281.14843320846558</v>
      </c>
      <c r="E15" s="54">
        <v>8.3021451091545071</v>
      </c>
      <c r="F15" s="53">
        <v>2013.9952626228323</v>
      </c>
      <c r="G15" s="53">
        <v>102.40757465362549</v>
      </c>
      <c r="H15" s="54">
        <v>3.4675347589404453</v>
      </c>
      <c r="I15" s="53">
        <v>2059.0902051925677</v>
      </c>
      <c r="J15" s="53">
        <v>8595.6342206001464</v>
      </c>
      <c r="K15" s="53">
        <v>4340.302772045131</v>
      </c>
    </row>
    <row r="16" spans="1:11" ht="20.45" customHeight="1" x14ac:dyDescent="0.2">
      <c r="A16" s="30" t="s">
        <v>8</v>
      </c>
      <c r="B16" s="53">
        <v>1151.4587316513062</v>
      </c>
      <c r="C16" s="54">
        <v>2.5712975787308539</v>
      </c>
      <c r="D16" s="53">
        <v>67.637782096862793</v>
      </c>
      <c r="E16" s="54">
        <v>1.4524416389552111</v>
      </c>
      <c r="F16" s="53">
        <v>241.35117912292509</v>
      </c>
      <c r="G16" s="53">
        <v>56.725618362426758</v>
      </c>
      <c r="H16" s="54">
        <v>1.1188559397756435</v>
      </c>
      <c r="I16" s="53">
        <v>569.42943477630649</v>
      </c>
      <c r="J16" s="53">
        <v>2278.9278502464326</v>
      </c>
      <c r="K16" s="53">
        <v>814.65971946716274</v>
      </c>
    </row>
    <row r="17" spans="1:11" ht="20.45" customHeight="1" x14ac:dyDescent="0.2">
      <c r="A17" s="30" t="s">
        <v>9</v>
      </c>
      <c r="B17" s="53">
        <v>319.24364900588989</v>
      </c>
      <c r="C17" s="54">
        <v>1.9159637707076143</v>
      </c>
      <c r="D17" s="53">
        <v>22.65577507019043</v>
      </c>
      <c r="E17" s="54">
        <v>1.8814150588337069</v>
      </c>
      <c r="F17" s="53">
        <v>210.78346824645988</v>
      </c>
      <c r="G17" s="53">
        <v>19.164960384368896</v>
      </c>
      <c r="H17" s="54">
        <v>3.454871187390867E-2</v>
      </c>
      <c r="I17" s="53">
        <v>84.643604755401668</v>
      </c>
      <c r="J17" s="53">
        <v>528.91379261016857</v>
      </c>
      <c r="K17" s="53">
        <v>108.07350587844847</v>
      </c>
    </row>
    <row r="18" spans="1:11" ht="20.45" customHeight="1" x14ac:dyDescent="0.2">
      <c r="A18" s="30" t="s">
        <v>10</v>
      </c>
      <c r="B18" s="53">
        <v>310.6106481552124</v>
      </c>
      <c r="C18" s="54">
        <v>4.1130400218936751</v>
      </c>
      <c r="D18" s="53">
        <v>27.218321800231934</v>
      </c>
      <c r="E18" s="54">
        <v>3.6060515157497601</v>
      </c>
      <c r="F18" s="53">
        <v>922.15982341766346</v>
      </c>
      <c r="G18" s="53">
        <v>9.9659633636474609</v>
      </c>
      <c r="H18" s="54">
        <v>0.50698850614391944</v>
      </c>
      <c r="I18" s="53">
        <v>249.14908409118652</v>
      </c>
      <c r="J18" s="53">
        <v>500.55779695510887</v>
      </c>
      <c r="K18" s="53">
        <v>25.429816722869877</v>
      </c>
    </row>
    <row r="19" spans="1:11" ht="20.45" customHeight="1" x14ac:dyDescent="0.2">
      <c r="A19" s="30" t="s">
        <v>11</v>
      </c>
      <c r="B19" s="53">
        <v>80.873770236968994</v>
      </c>
      <c r="C19" s="54">
        <v>0.50134820752813924</v>
      </c>
      <c r="D19" s="53">
        <v>16.260898590087891</v>
      </c>
      <c r="E19" s="54">
        <v>0.37601115794067158</v>
      </c>
      <c r="F19" s="53">
        <v>65.043594360351563</v>
      </c>
      <c r="G19" s="53">
        <v>16.260898590087891</v>
      </c>
      <c r="H19" s="54">
        <v>0.12533704958746766</v>
      </c>
      <c r="I19" s="53">
        <v>16.260898590087891</v>
      </c>
      <c r="J19" s="53">
        <v>84.367815494537368</v>
      </c>
      <c r="K19" s="53">
        <v>113.17419576644902</v>
      </c>
    </row>
    <row r="20" spans="1:11" s="6" customFormat="1" ht="20.45" customHeight="1" x14ac:dyDescent="0.2">
      <c r="A20" s="31" t="s">
        <v>12</v>
      </c>
      <c r="B20" s="25">
        <f>B8+B9</f>
        <v>251227.7753111124</v>
      </c>
      <c r="C20" s="26">
        <f t="shared" ref="C20:K20" si="0">C8+C9</f>
        <v>225.71586894435427</v>
      </c>
      <c r="D20" s="25">
        <f t="shared" si="0"/>
        <v>17616.830379128456</v>
      </c>
      <c r="E20" s="26">
        <f t="shared" si="0"/>
        <v>175.42772932009191</v>
      </c>
      <c r="F20" s="25">
        <f t="shared" si="0"/>
        <v>74058.683462976958</v>
      </c>
      <c r="G20" s="25">
        <f t="shared" si="0"/>
        <v>4588.311049580574</v>
      </c>
      <c r="H20" s="26">
        <f t="shared" si="0"/>
        <v>50.288139624262385</v>
      </c>
      <c r="I20" s="25">
        <f t="shared" si="0"/>
        <v>33942.645728111078</v>
      </c>
      <c r="J20" s="25">
        <f t="shared" si="0"/>
        <v>362049.69627833221</v>
      </c>
      <c r="K20" s="25">
        <f t="shared" si="0"/>
        <v>141328.00163221511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970" priority="13" stopIfTrue="1" operator="equal">
      <formula>0</formula>
    </cfRule>
  </conditionalFormatting>
  <conditionalFormatting sqref="D8:D19">
    <cfRule type="cellIs" dxfId="969" priority="12" stopIfTrue="1" operator="equal">
      <formula>0</formula>
    </cfRule>
  </conditionalFormatting>
  <conditionalFormatting sqref="F8:F19">
    <cfRule type="cellIs" dxfId="968" priority="11" stopIfTrue="1" operator="equal">
      <formula>0</formula>
    </cfRule>
  </conditionalFormatting>
  <conditionalFormatting sqref="G8:G19">
    <cfRule type="cellIs" dxfId="967" priority="10" stopIfTrue="1" operator="equal">
      <formula>0</formula>
    </cfRule>
  </conditionalFormatting>
  <conditionalFormatting sqref="I8:I19">
    <cfRule type="cellIs" dxfId="966" priority="9" stopIfTrue="1" operator="equal">
      <formula>0</formula>
    </cfRule>
  </conditionalFormatting>
  <conditionalFormatting sqref="J8:J19">
    <cfRule type="cellIs" dxfId="965" priority="8" stopIfTrue="1" operator="equal">
      <formula>0</formula>
    </cfRule>
  </conditionalFormatting>
  <conditionalFormatting sqref="K8:K19">
    <cfRule type="cellIs" dxfId="964" priority="7" stopIfTrue="1" operator="equal">
      <formula>0</formula>
    </cfRule>
  </conditionalFormatting>
  <conditionalFormatting sqref="C20">
    <cfRule type="cellIs" dxfId="963" priority="6" stopIfTrue="1" operator="equal">
      <formula>0</formula>
    </cfRule>
  </conditionalFormatting>
  <conditionalFormatting sqref="C8:C19">
    <cfRule type="cellIs" dxfId="962" priority="5" stopIfTrue="1" operator="equal">
      <formula>0</formula>
    </cfRule>
  </conditionalFormatting>
  <conditionalFormatting sqref="E20">
    <cfRule type="cellIs" dxfId="961" priority="4" stopIfTrue="1" operator="equal">
      <formula>0</formula>
    </cfRule>
  </conditionalFormatting>
  <conditionalFormatting sqref="E8:E19">
    <cfRule type="cellIs" dxfId="960" priority="3" stopIfTrue="1" operator="equal">
      <formula>0</formula>
    </cfRule>
  </conditionalFormatting>
  <conditionalFormatting sqref="H20">
    <cfRule type="cellIs" dxfId="959" priority="2" stopIfTrue="1" operator="equal">
      <formula>0</formula>
    </cfRule>
  </conditionalFormatting>
  <conditionalFormatting sqref="H8:H19">
    <cfRule type="cellIs" dxfId="958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692F-A24D-4E25-82A1-D52231078825}">
  <dimension ref="A1:K20"/>
  <sheetViews>
    <sheetView zoomScale="102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2.5703125" customWidth="1"/>
    <col min="3" max="3" width="11.42578125" customWidth="1"/>
    <col min="4" max="4" width="8.5703125" customWidth="1"/>
    <col min="5" max="5" width="8.140625" bestFit="1" customWidth="1"/>
    <col min="6" max="6" width="11.42578125" customWidth="1"/>
    <col min="7" max="7" width="9" customWidth="1"/>
    <col min="8" max="8" width="8" customWidth="1"/>
    <col min="9" max="9" width="9.5703125" customWidth="1"/>
    <col min="10" max="10" width="11.42578125" customWidth="1"/>
    <col min="11" max="11" width="12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189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188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2.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2.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49">
        <v>3532.7170271873474</v>
      </c>
      <c r="C8" s="50">
        <v>0.17631244518469574</v>
      </c>
      <c r="D8" s="49">
        <v>83.061705589294434</v>
      </c>
      <c r="E8" s="50">
        <v>0.17631244518469577</v>
      </c>
      <c r="F8" s="49">
        <v>196.10656261444146</v>
      </c>
      <c r="G8" s="49">
        <v>0</v>
      </c>
      <c r="H8" s="50"/>
      <c r="I8" s="49">
        <v>0</v>
      </c>
      <c r="J8" s="49">
        <v>4125.0647459030115</v>
      </c>
      <c r="K8" s="49">
        <v>1889.537623882298</v>
      </c>
    </row>
    <row r="9" spans="1:11" s="6" customFormat="1" ht="20.45" customHeight="1" x14ac:dyDescent="0.2">
      <c r="A9" s="29" t="s">
        <v>1</v>
      </c>
      <c r="B9" s="51">
        <v>188136.17466032505</v>
      </c>
      <c r="C9" s="52">
        <v>156.91217888030687</v>
      </c>
      <c r="D9" s="51">
        <v>10336.829792022705</v>
      </c>
      <c r="E9" s="52">
        <v>120.72953839360427</v>
      </c>
      <c r="F9" s="51">
        <v>125475.68371749099</v>
      </c>
      <c r="G9" s="51">
        <v>2686.6891283988953</v>
      </c>
      <c r="H9" s="52">
        <v>36.182640486705935</v>
      </c>
      <c r="I9" s="51">
        <v>50085.882441997666</v>
      </c>
      <c r="J9" s="51">
        <v>274956.27320563863</v>
      </c>
      <c r="K9" s="51">
        <v>115771.77918410489</v>
      </c>
    </row>
    <row r="10" spans="1:11" ht="20.45" customHeight="1" x14ac:dyDescent="0.2">
      <c r="A10" s="30" t="s">
        <v>2</v>
      </c>
      <c r="B10" s="53">
        <v>21842.860510349274</v>
      </c>
      <c r="C10" s="54">
        <v>2.8865611670032703</v>
      </c>
      <c r="D10" s="53">
        <v>833.17635345458984</v>
      </c>
      <c r="E10" s="54">
        <v>2.1751712840448474</v>
      </c>
      <c r="F10" s="53">
        <v>2435.3937811851492</v>
      </c>
      <c r="G10" s="53">
        <v>246.83964729309082</v>
      </c>
      <c r="H10" s="54">
        <v>0.71138988295842687</v>
      </c>
      <c r="I10" s="53">
        <v>2171.9551887512248</v>
      </c>
      <c r="J10" s="53">
        <v>28073.392567157829</v>
      </c>
      <c r="K10" s="53">
        <v>9890.1813979148701</v>
      </c>
    </row>
    <row r="11" spans="1:11" ht="20.45" customHeight="1" x14ac:dyDescent="0.2">
      <c r="A11" s="30" t="s">
        <v>3</v>
      </c>
      <c r="B11" s="53">
        <v>28867.822670936584</v>
      </c>
      <c r="C11" s="54">
        <v>8.9707194774681636</v>
      </c>
      <c r="D11" s="53">
        <v>1232.1179275512695</v>
      </c>
      <c r="E11" s="54">
        <v>6.6959121734758131</v>
      </c>
      <c r="F11" s="53">
        <v>4230.3406658172516</v>
      </c>
      <c r="G11" s="53">
        <v>435.93802356719971</v>
      </c>
      <c r="H11" s="54">
        <v>2.2748073039923127</v>
      </c>
      <c r="I11" s="53">
        <v>1201.5633354187057</v>
      </c>
      <c r="J11" s="53">
        <v>38806.066082000638</v>
      </c>
      <c r="K11" s="53">
        <v>18349.503919124705</v>
      </c>
    </row>
    <row r="12" spans="1:11" ht="20.45" customHeight="1" x14ac:dyDescent="0.2">
      <c r="A12" s="30" t="s">
        <v>4</v>
      </c>
      <c r="B12" s="53">
        <v>66264.071702480316</v>
      </c>
      <c r="C12" s="54">
        <v>34.242010953895246</v>
      </c>
      <c r="D12" s="53">
        <v>3857.0600819587708</v>
      </c>
      <c r="E12" s="54">
        <v>27.880767057090235</v>
      </c>
      <c r="F12" s="53">
        <v>22531.590733528206</v>
      </c>
      <c r="G12" s="53">
        <v>910.6727466583252</v>
      </c>
      <c r="H12" s="54">
        <v>6.3612438968051572</v>
      </c>
      <c r="I12" s="53">
        <v>25354.028265953064</v>
      </c>
      <c r="J12" s="53">
        <v>93203.687157631823</v>
      </c>
      <c r="K12" s="53">
        <v>37555.970014572005</v>
      </c>
    </row>
    <row r="13" spans="1:11" ht="20.45" customHeight="1" x14ac:dyDescent="0.2">
      <c r="A13" s="30" t="s">
        <v>5</v>
      </c>
      <c r="B13" s="53">
        <v>46073.327360033989</v>
      </c>
      <c r="C13" s="54">
        <v>45.202656624950997</v>
      </c>
      <c r="D13" s="53">
        <v>2524.0164139270782</v>
      </c>
      <c r="E13" s="54">
        <v>25.911608924932089</v>
      </c>
      <c r="F13" s="53">
        <v>15144.647895574695</v>
      </c>
      <c r="G13" s="53">
        <v>683.62124109268188</v>
      </c>
      <c r="H13" s="54">
        <v>19.291047700018861</v>
      </c>
      <c r="I13" s="53">
        <v>16413.952763557427</v>
      </c>
      <c r="J13" s="53">
        <v>72651.947127222957</v>
      </c>
      <c r="K13" s="53">
        <v>30243.154930353281</v>
      </c>
    </row>
    <row r="14" spans="1:11" ht="20.45" customHeight="1" x14ac:dyDescent="0.2">
      <c r="A14" s="30" t="s">
        <v>6</v>
      </c>
      <c r="B14" s="53">
        <v>19661.116948843002</v>
      </c>
      <c r="C14" s="54">
        <v>35.462677443870405</v>
      </c>
      <c r="D14" s="53">
        <v>1416.9110238552094</v>
      </c>
      <c r="E14" s="54">
        <v>29.533711285109934</v>
      </c>
      <c r="F14" s="53">
        <v>15373.124436378497</v>
      </c>
      <c r="G14" s="53">
        <v>347.51567220687866</v>
      </c>
      <c r="H14" s="54">
        <v>5.9289661587604252</v>
      </c>
      <c r="I14" s="53">
        <v>4465.1566605568214</v>
      </c>
      <c r="J14" s="53">
        <v>31349.888773918039</v>
      </c>
      <c r="K14" s="53">
        <v>16788.820760727031</v>
      </c>
    </row>
    <row r="15" spans="1:11" ht="20.45" customHeight="1" x14ac:dyDescent="0.2">
      <c r="A15" s="30" t="s">
        <v>7</v>
      </c>
      <c r="B15" s="53">
        <v>3766.8729357719421</v>
      </c>
      <c r="C15" s="54">
        <v>7.8696805108134384</v>
      </c>
      <c r="D15" s="53">
        <v>311.39523696899414</v>
      </c>
      <c r="E15" s="54">
        <v>7.7291398337457373</v>
      </c>
      <c r="F15" s="53">
        <v>8224.663251876822</v>
      </c>
      <c r="G15" s="53">
        <v>16.834366798400879</v>
      </c>
      <c r="H15" s="54">
        <v>0.1405406770676729</v>
      </c>
      <c r="I15" s="53">
        <v>174.11653804779047</v>
      </c>
      <c r="J15" s="53">
        <v>7578.5077133178665</v>
      </c>
      <c r="K15" s="53">
        <v>1929.0878539085365</v>
      </c>
    </row>
    <row r="16" spans="1:11" ht="20.45" customHeight="1" x14ac:dyDescent="0.2">
      <c r="A16" s="30" t="s">
        <v>8</v>
      </c>
      <c r="B16" s="53">
        <v>974.41908121109009</v>
      </c>
      <c r="C16" s="54">
        <v>16.491024203912893</v>
      </c>
      <c r="D16" s="53">
        <v>70.929329395294189</v>
      </c>
      <c r="E16" s="54">
        <v>16.134614338195782</v>
      </c>
      <c r="F16" s="53">
        <v>56709.453053951271</v>
      </c>
      <c r="G16" s="53">
        <v>17.421070575714111</v>
      </c>
      <c r="H16" s="54">
        <v>0.35640986571709982</v>
      </c>
      <c r="I16" s="53">
        <v>115.06686687469478</v>
      </c>
      <c r="J16" s="53">
        <v>1718.3759465217586</v>
      </c>
      <c r="K16" s="53">
        <v>656.33263683318933</v>
      </c>
    </row>
    <row r="17" spans="1:11" ht="20.45" customHeight="1" x14ac:dyDescent="0.2">
      <c r="A17" s="30" t="s">
        <v>9</v>
      </c>
      <c r="B17" s="53">
        <v>355.24738025665283</v>
      </c>
      <c r="C17" s="54">
        <v>0.85204854041111133</v>
      </c>
      <c r="D17" s="53">
        <v>20.366576194763184</v>
      </c>
      <c r="E17" s="54">
        <v>0.85204854041111089</v>
      </c>
      <c r="F17" s="53">
        <v>530.92611217498779</v>
      </c>
      <c r="G17" s="53">
        <v>0</v>
      </c>
      <c r="H17" s="54"/>
      <c r="I17" s="53">
        <v>0</v>
      </c>
      <c r="J17" s="53">
        <v>822.40010738372723</v>
      </c>
      <c r="K17" s="53">
        <v>159.41410541534424</v>
      </c>
    </row>
    <row r="18" spans="1:11" ht="20.45" customHeight="1" x14ac:dyDescent="0.2">
      <c r="A18" s="30" t="s">
        <v>10</v>
      </c>
      <c r="B18" s="53">
        <v>234.71132183074948</v>
      </c>
      <c r="C18" s="54">
        <v>4.3081147008691056</v>
      </c>
      <c r="D18" s="53">
        <v>54.595950126647949</v>
      </c>
      <c r="E18" s="54">
        <v>3.4405537986580712</v>
      </c>
      <c r="F18" s="53">
        <v>263.02198982238775</v>
      </c>
      <c r="G18" s="53">
        <v>11.585461616516113</v>
      </c>
      <c r="H18" s="54">
        <v>0.86756090221103477</v>
      </c>
      <c r="I18" s="53">
        <v>173.78192424774178</v>
      </c>
      <c r="J18" s="53">
        <v>508.1553230285644</v>
      </c>
      <c r="K18" s="53">
        <v>126.66303825378428</v>
      </c>
    </row>
    <row r="19" spans="1:11" ht="20.45" customHeight="1" x14ac:dyDescent="0.2">
      <c r="A19" s="30" t="s">
        <v>11</v>
      </c>
      <c r="B19" s="53">
        <v>95.724748611450195</v>
      </c>
      <c r="C19" s="54">
        <v>0.62668525711560685</v>
      </c>
      <c r="D19" s="53">
        <v>16.260898590087891</v>
      </c>
      <c r="E19" s="54">
        <v>0.37601115794067158</v>
      </c>
      <c r="F19" s="53">
        <v>32.521797180175781</v>
      </c>
      <c r="G19" s="53">
        <v>16.260898590087891</v>
      </c>
      <c r="H19" s="54">
        <v>0.25067409917493533</v>
      </c>
      <c r="I19" s="53">
        <v>16.260898590087891</v>
      </c>
      <c r="J19" s="53">
        <v>243.85240745544434</v>
      </c>
      <c r="K19" s="53">
        <v>72.65052700042726</v>
      </c>
    </row>
    <row r="20" spans="1:11" s="6" customFormat="1" ht="20.45" customHeight="1" x14ac:dyDescent="0.2">
      <c r="A20" s="31" t="s">
        <v>12</v>
      </c>
      <c r="B20" s="25">
        <f>B8+B9</f>
        <v>191668.8916875124</v>
      </c>
      <c r="C20" s="26">
        <f t="shared" ref="C20:K20" si="0">C8+C9</f>
        <v>157.08849132549156</v>
      </c>
      <c r="D20" s="25">
        <f t="shared" si="0"/>
        <v>10419.891497612</v>
      </c>
      <c r="E20" s="26">
        <f t="shared" si="0"/>
        <v>120.90585083878896</v>
      </c>
      <c r="F20" s="25">
        <f t="shared" si="0"/>
        <v>125671.79028010543</v>
      </c>
      <c r="G20" s="25">
        <f t="shared" si="0"/>
        <v>2686.6891283988953</v>
      </c>
      <c r="H20" s="26">
        <f t="shared" si="0"/>
        <v>36.182640486705935</v>
      </c>
      <c r="I20" s="25">
        <f t="shared" si="0"/>
        <v>50085.882441997666</v>
      </c>
      <c r="J20" s="25">
        <f t="shared" si="0"/>
        <v>279081.33795154165</v>
      </c>
      <c r="K20" s="25">
        <f t="shared" si="0"/>
        <v>117661.31680798718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957" priority="13" stopIfTrue="1" operator="equal">
      <formula>0</formula>
    </cfRule>
  </conditionalFormatting>
  <conditionalFormatting sqref="D8:D19">
    <cfRule type="cellIs" dxfId="956" priority="12" stopIfTrue="1" operator="equal">
      <formula>0</formula>
    </cfRule>
  </conditionalFormatting>
  <conditionalFormatting sqref="F8:F19">
    <cfRule type="cellIs" dxfId="955" priority="11" stopIfTrue="1" operator="equal">
      <formula>0</formula>
    </cfRule>
  </conditionalFormatting>
  <conditionalFormatting sqref="G8:G19">
    <cfRule type="cellIs" dxfId="954" priority="10" stopIfTrue="1" operator="equal">
      <formula>0</formula>
    </cfRule>
  </conditionalFormatting>
  <conditionalFormatting sqref="I8:I19">
    <cfRule type="cellIs" dxfId="953" priority="9" stopIfTrue="1" operator="equal">
      <formula>0</formula>
    </cfRule>
  </conditionalFormatting>
  <conditionalFormatting sqref="J8:J19">
    <cfRule type="cellIs" dxfId="952" priority="8" stopIfTrue="1" operator="equal">
      <formula>0</formula>
    </cfRule>
  </conditionalFormatting>
  <conditionalFormatting sqref="K8:K19">
    <cfRule type="cellIs" dxfId="951" priority="7" stopIfTrue="1" operator="equal">
      <formula>0</formula>
    </cfRule>
  </conditionalFormatting>
  <conditionalFormatting sqref="C20">
    <cfRule type="cellIs" dxfId="950" priority="6" stopIfTrue="1" operator="equal">
      <formula>0</formula>
    </cfRule>
  </conditionalFormatting>
  <conditionalFormatting sqref="C8:C19">
    <cfRule type="cellIs" dxfId="949" priority="5" stopIfTrue="1" operator="equal">
      <formula>0</formula>
    </cfRule>
  </conditionalFormatting>
  <conditionalFormatting sqref="E20">
    <cfRule type="cellIs" dxfId="948" priority="4" stopIfTrue="1" operator="equal">
      <formula>0</formula>
    </cfRule>
  </conditionalFormatting>
  <conditionalFormatting sqref="E8:E19">
    <cfRule type="cellIs" dxfId="947" priority="3" stopIfTrue="1" operator="equal">
      <formula>0</formula>
    </cfRule>
  </conditionalFormatting>
  <conditionalFormatting sqref="H20">
    <cfRule type="cellIs" dxfId="946" priority="2" stopIfTrue="1" operator="equal">
      <formula>0</formula>
    </cfRule>
  </conditionalFormatting>
  <conditionalFormatting sqref="H8:H19">
    <cfRule type="cellIs" dxfId="945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1E5E-F416-4AD2-AE05-D8BBD96CD1BE}">
  <dimension ref="A1:K20"/>
  <sheetViews>
    <sheetView zoomScale="95" zoomScaleNormal="75" workbookViewId="0">
      <selection activeCell="A3" sqref="A3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8.140625" bestFit="1" customWidth="1"/>
    <col min="6" max="6" width="9.42578125" customWidth="1"/>
    <col min="7" max="7" width="9" customWidth="1"/>
    <col min="8" max="8" width="8" customWidth="1"/>
    <col min="9" max="9" width="9.42578125" customWidth="1"/>
    <col min="10" max="10" width="11.42578125" customWidth="1"/>
    <col min="11" max="11" width="12.1406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191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190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19.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1.7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70">
        <v>987.46938419342041</v>
      </c>
      <c r="C8" s="71">
        <v>0.15914478234480081</v>
      </c>
      <c r="D8" s="70">
        <v>27.245014190673828</v>
      </c>
      <c r="E8" s="71">
        <v>5.3048260781600298E-2</v>
      </c>
      <c r="F8" s="70">
        <v>81.735042572021513</v>
      </c>
      <c r="G8" s="70">
        <v>27.245014190673828</v>
      </c>
      <c r="H8" s="71">
        <v>0.1060965215632006</v>
      </c>
      <c r="I8" s="70">
        <v>54.490028381347607</v>
      </c>
      <c r="J8" s="70">
        <v>803.09694004058895</v>
      </c>
      <c r="K8" s="70">
        <v>705.20391368866069</v>
      </c>
    </row>
    <row r="9" spans="1:11" s="6" customFormat="1" ht="20.45" customHeight="1" x14ac:dyDescent="0.2">
      <c r="A9" s="29" t="s">
        <v>1</v>
      </c>
      <c r="B9" s="51">
        <v>110084.68861627579</v>
      </c>
      <c r="C9" s="52">
        <v>183.97081703846496</v>
      </c>
      <c r="D9" s="51">
        <v>7814.0205149650574</v>
      </c>
      <c r="E9" s="52">
        <v>99.092503635157158</v>
      </c>
      <c r="F9" s="51">
        <v>48495.735480308758</v>
      </c>
      <c r="G9" s="51">
        <v>3862.3744711875916</v>
      </c>
      <c r="H9" s="52">
        <v>84.878313403308653</v>
      </c>
      <c r="I9" s="51">
        <v>165608.38126802514</v>
      </c>
      <c r="J9" s="51">
        <v>116868.70228028302</v>
      </c>
      <c r="K9" s="51">
        <v>92882.414403440212</v>
      </c>
    </row>
    <row r="10" spans="1:11" ht="20.45" customHeight="1" x14ac:dyDescent="0.2">
      <c r="A10" s="30" t="s">
        <v>2</v>
      </c>
      <c r="B10" s="53">
        <v>8713.1801431179047</v>
      </c>
      <c r="C10" s="54">
        <v>1.1602064665034599</v>
      </c>
      <c r="D10" s="53">
        <v>302.06929349899292</v>
      </c>
      <c r="E10" s="54">
        <v>0.90513470763374315</v>
      </c>
      <c r="F10" s="53">
        <v>618.13307476043644</v>
      </c>
      <c r="G10" s="53">
        <v>100.01549100875854</v>
      </c>
      <c r="H10" s="54">
        <v>0.25507175886972294</v>
      </c>
      <c r="I10" s="53">
        <v>250.95331621170024</v>
      </c>
      <c r="J10" s="53">
        <v>6959.6798524856622</v>
      </c>
      <c r="K10" s="53">
        <v>5685.07049036027</v>
      </c>
    </row>
    <row r="11" spans="1:11" ht="20.45" customHeight="1" x14ac:dyDescent="0.2">
      <c r="A11" s="30" t="s">
        <v>3</v>
      </c>
      <c r="B11" s="53">
        <v>14830.185001373291</v>
      </c>
      <c r="C11" s="54">
        <v>7.4573797223722709</v>
      </c>
      <c r="D11" s="53">
        <v>756.7708420753479</v>
      </c>
      <c r="E11" s="54">
        <v>4.9045323306295083</v>
      </c>
      <c r="F11" s="53">
        <v>2934.0235762596153</v>
      </c>
      <c r="G11" s="53">
        <v>376.17908096313477</v>
      </c>
      <c r="H11" s="54">
        <v>2.5528473917427452</v>
      </c>
      <c r="I11" s="53">
        <v>1873.3933715820285</v>
      </c>
      <c r="J11" s="53">
        <v>12683.138389110571</v>
      </c>
      <c r="K11" s="53">
        <v>10279.335791587757</v>
      </c>
    </row>
    <row r="12" spans="1:11" ht="20.45" customHeight="1" x14ac:dyDescent="0.2">
      <c r="A12" s="30" t="s">
        <v>4</v>
      </c>
      <c r="B12" s="53">
        <v>37502.950998783112</v>
      </c>
      <c r="C12" s="54">
        <v>35.501637045905483</v>
      </c>
      <c r="D12" s="53">
        <v>2538.3029232025146</v>
      </c>
      <c r="E12" s="54">
        <v>20.398698944904297</v>
      </c>
      <c r="F12" s="53">
        <v>14652.65578985227</v>
      </c>
      <c r="G12" s="53">
        <v>1278.5366635322571</v>
      </c>
      <c r="H12" s="54">
        <v>15.102938101001099</v>
      </c>
      <c r="I12" s="53">
        <v>84693.075186251372</v>
      </c>
      <c r="J12" s="53">
        <v>39915.336558819086</v>
      </c>
      <c r="K12" s="53">
        <v>33193.20210218463</v>
      </c>
    </row>
    <row r="13" spans="1:11" ht="20.45" customHeight="1" x14ac:dyDescent="0.2">
      <c r="A13" s="30" t="s">
        <v>5</v>
      </c>
      <c r="B13" s="53">
        <v>30382.306885480881</v>
      </c>
      <c r="C13" s="54">
        <v>69.228965783715267</v>
      </c>
      <c r="D13" s="53">
        <v>2369.6614236831665</v>
      </c>
      <c r="E13" s="54">
        <v>35.131117896770057</v>
      </c>
      <c r="F13" s="53">
        <v>17762.776125907887</v>
      </c>
      <c r="G13" s="53">
        <v>1377.1707234382629</v>
      </c>
      <c r="H13" s="54">
        <v>34.097847886944649</v>
      </c>
      <c r="I13" s="53">
        <v>43006.005509853021</v>
      </c>
      <c r="J13" s="53">
        <v>33158.522263288578</v>
      </c>
      <c r="K13" s="53">
        <v>27118.112487316157</v>
      </c>
    </row>
    <row r="14" spans="1:11" ht="20.45" customHeight="1" x14ac:dyDescent="0.2">
      <c r="A14" s="30" t="s">
        <v>6</v>
      </c>
      <c r="B14" s="53">
        <v>14942.882199764252</v>
      </c>
      <c r="C14" s="54">
        <v>48.993545993828427</v>
      </c>
      <c r="D14" s="53">
        <v>1493.1963963508606</v>
      </c>
      <c r="E14" s="54">
        <v>27.523556047661458</v>
      </c>
      <c r="F14" s="53">
        <v>10167.775330543593</v>
      </c>
      <c r="G14" s="53">
        <v>567.58651733398438</v>
      </c>
      <c r="H14" s="54">
        <v>21.469989946166965</v>
      </c>
      <c r="I14" s="53">
        <v>31706.926542282123</v>
      </c>
      <c r="J14" s="53">
        <v>19182.884346485138</v>
      </c>
      <c r="K14" s="53">
        <v>13414.586442947368</v>
      </c>
    </row>
    <row r="15" spans="1:11" ht="20.45" customHeight="1" x14ac:dyDescent="0.2">
      <c r="A15" s="30" t="s">
        <v>7</v>
      </c>
      <c r="B15" s="53">
        <v>2482.4912509918213</v>
      </c>
      <c r="C15" s="54">
        <v>10.126517118126898</v>
      </c>
      <c r="D15" s="53">
        <v>142.6498851776123</v>
      </c>
      <c r="E15" s="54">
        <v>3.7169319021638145</v>
      </c>
      <c r="F15" s="53">
        <v>1275.7125234603875</v>
      </c>
      <c r="G15" s="53">
        <v>89.332697868347168</v>
      </c>
      <c r="H15" s="54">
        <v>6.4095852159630891</v>
      </c>
      <c r="I15" s="53">
        <v>3241.6056222915713</v>
      </c>
      <c r="J15" s="53">
        <v>3085.8541407585199</v>
      </c>
      <c r="K15" s="53">
        <v>2244.8551573753371</v>
      </c>
    </row>
    <row r="16" spans="1:11" ht="20.45" customHeight="1" x14ac:dyDescent="0.2">
      <c r="A16" s="30" t="s">
        <v>8</v>
      </c>
      <c r="B16" s="53">
        <v>655.27565002441395</v>
      </c>
      <c r="C16" s="54">
        <v>3.8048022474288223</v>
      </c>
      <c r="D16" s="53">
        <v>100.59728765487671</v>
      </c>
      <c r="E16" s="54">
        <v>3.4350743315684391</v>
      </c>
      <c r="F16" s="53">
        <v>477.78444242477428</v>
      </c>
      <c r="G16" s="53">
        <v>17.023364067077637</v>
      </c>
      <c r="H16" s="54">
        <v>0.36972791586038745</v>
      </c>
      <c r="I16" s="53">
        <v>69.282371520995994</v>
      </c>
      <c r="J16" s="53">
        <v>1030.0497555732713</v>
      </c>
      <c r="K16" s="53">
        <v>801.03382396697828</v>
      </c>
    </row>
    <row r="17" spans="1:11" ht="20.45" customHeight="1" x14ac:dyDescent="0.2">
      <c r="A17" s="30" t="s">
        <v>9</v>
      </c>
      <c r="B17" s="53">
        <v>256.71951341629028</v>
      </c>
      <c r="C17" s="54">
        <v>0.60401345920593286</v>
      </c>
      <c r="D17" s="53">
        <v>39.242208003997803</v>
      </c>
      <c r="E17" s="54">
        <v>0.20399315858661715</v>
      </c>
      <c r="F17" s="53">
        <v>86.817952632904166</v>
      </c>
      <c r="G17" s="53">
        <v>15.785143852233887</v>
      </c>
      <c r="H17" s="54">
        <v>0.40002030061931548</v>
      </c>
      <c r="I17" s="53">
        <v>78.56095409393312</v>
      </c>
      <c r="J17" s="53">
        <v>277.47138643264782</v>
      </c>
      <c r="K17" s="53">
        <v>46.644330501556482</v>
      </c>
    </row>
    <row r="18" spans="1:11" ht="20.45" customHeight="1" x14ac:dyDescent="0.2">
      <c r="A18" s="30" t="s">
        <v>10</v>
      </c>
      <c r="B18" s="53">
        <v>263.8981761932373</v>
      </c>
      <c r="C18" s="54">
        <v>4.0522743821499283</v>
      </c>
      <c r="D18" s="53">
        <v>45.410120010375977</v>
      </c>
      <c r="E18" s="54">
        <v>0.83468589270897386</v>
      </c>
      <c r="F18" s="53">
        <v>461.41473197937006</v>
      </c>
      <c r="G18" s="53">
        <v>24.483890533447266</v>
      </c>
      <c r="H18" s="54">
        <v>3.2175884894409541</v>
      </c>
      <c r="I18" s="53">
        <v>672.31749534606934</v>
      </c>
      <c r="J18" s="53">
        <v>411.95246696472219</v>
      </c>
      <c r="K18" s="53">
        <v>72.38058376312263</v>
      </c>
    </row>
    <row r="19" spans="1:11" ht="20.45" customHeight="1" x14ac:dyDescent="0.2">
      <c r="A19" s="30" t="s">
        <v>11</v>
      </c>
      <c r="B19" s="53">
        <v>54.798797130584717</v>
      </c>
      <c r="C19" s="54">
        <v>3.041474819229983</v>
      </c>
      <c r="D19" s="53">
        <v>26.120135307312012</v>
      </c>
      <c r="E19" s="54">
        <v>2.0387784225302426</v>
      </c>
      <c r="F19" s="53">
        <v>58.641932487487786</v>
      </c>
      <c r="G19" s="53">
        <v>16.260898590087891</v>
      </c>
      <c r="H19" s="54">
        <v>1.0026963966997413</v>
      </c>
      <c r="I19" s="53">
        <v>16.260898590087891</v>
      </c>
      <c r="J19" s="53">
        <v>163.81312036514277</v>
      </c>
      <c r="K19" s="53">
        <v>27.193193435668949</v>
      </c>
    </row>
    <row r="20" spans="1:11" s="6" customFormat="1" ht="20.45" customHeight="1" x14ac:dyDescent="0.2">
      <c r="A20" s="31" t="s">
        <v>12</v>
      </c>
      <c r="B20" s="25">
        <f>B8+B9</f>
        <v>111072.15800046921</v>
      </c>
      <c r="C20" s="26">
        <f t="shared" ref="C20:K20" si="0">C8+C9</f>
        <v>184.12996182080977</v>
      </c>
      <c r="D20" s="25">
        <f t="shared" si="0"/>
        <v>7841.2655291557312</v>
      </c>
      <c r="E20" s="26">
        <f t="shared" si="0"/>
        <v>99.145551895938752</v>
      </c>
      <c r="F20" s="25">
        <f t="shared" si="0"/>
        <v>48577.47052288078</v>
      </c>
      <c r="G20" s="25">
        <f t="shared" si="0"/>
        <v>3889.6194853782654</v>
      </c>
      <c r="H20" s="26">
        <f t="shared" si="0"/>
        <v>84.984409924871855</v>
      </c>
      <c r="I20" s="25">
        <f t="shared" si="0"/>
        <v>165662.87129640649</v>
      </c>
      <c r="J20" s="25">
        <f t="shared" si="0"/>
        <v>117671.79922032361</v>
      </c>
      <c r="K20" s="25">
        <f t="shared" si="0"/>
        <v>93587.618317128872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944" priority="13" stopIfTrue="1" operator="equal">
      <formula>0</formula>
    </cfRule>
  </conditionalFormatting>
  <conditionalFormatting sqref="D8:D19">
    <cfRule type="cellIs" dxfId="943" priority="12" stopIfTrue="1" operator="equal">
      <formula>0</formula>
    </cfRule>
  </conditionalFormatting>
  <conditionalFormatting sqref="F8:F19">
    <cfRule type="cellIs" dxfId="942" priority="11" stopIfTrue="1" operator="equal">
      <formula>0</formula>
    </cfRule>
  </conditionalFormatting>
  <conditionalFormatting sqref="G8:G19">
    <cfRule type="cellIs" dxfId="941" priority="10" stopIfTrue="1" operator="equal">
      <formula>0</formula>
    </cfRule>
  </conditionalFormatting>
  <conditionalFormatting sqref="I8:I19">
    <cfRule type="cellIs" dxfId="940" priority="9" stopIfTrue="1" operator="equal">
      <formula>0</formula>
    </cfRule>
  </conditionalFormatting>
  <conditionalFormatting sqref="J8:J19">
    <cfRule type="cellIs" dxfId="939" priority="8" stopIfTrue="1" operator="equal">
      <formula>0</formula>
    </cfRule>
  </conditionalFormatting>
  <conditionalFormatting sqref="K8:K19">
    <cfRule type="cellIs" dxfId="938" priority="7" stopIfTrue="1" operator="equal">
      <formula>0</formula>
    </cfRule>
  </conditionalFormatting>
  <conditionalFormatting sqref="C20">
    <cfRule type="cellIs" dxfId="937" priority="6" stopIfTrue="1" operator="equal">
      <formula>0</formula>
    </cfRule>
  </conditionalFormatting>
  <conditionalFormatting sqref="C8:C19">
    <cfRule type="cellIs" dxfId="936" priority="5" stopIfTrue="1" operator="equal">
      <formula>0</formula>
    </cfRule>
  </conditionalFormatting>
  <conditionalFormatting sqref="E20">
    <cfRule type="cellIs" dxfId="935" priority="4" stopIfTrue="1" operator="equal">
      <formula>0</formula>
    </cfRule>
  </conditionalFormatting>
  <conditionalFormatting sqref="E8:E19">
    <cfRule type="cellIs" dxfId="934" priority="3" stopIfTrue="1" operator="equal">
      <formula>0</formula>
    </cfRule>
  </conditionalFormatting>
  <conditionalFormatting sqref="H20">
    <cfRule type="cellIs" dxfId="933" priority="2" stopIfTrue="1" operator="equal">
      <formula>0</formula>
    </cfRule>
  </conditionalFormatting>
  <conditionalFormatting sqref="H8:H19">
    <cfRule type="cellIs" dxfId="93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1654-BE0D-4C34-A070-D1DD6EE8C2B7}">
  <dimension ref="A1:K20"/>
  <sheetViews>
    <sheetView zoomScale="105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8.140625" bestFit="1" customWidth="1"/>
    <col min="6" max="6" width="10.42578125" bestFit="1" customWidth="1"/>
    <col min="7" max="7" width="9" customWidth="1"/>
    <col min="8" max="8" width="8" customWidth="1"/>
    <col min="9" max="9" width="8.42578125" customWidth="1"/>
    <col min="10" max="10" width="11.42578125" customWidth="1"/>
    <col min="11" max="11" width="12.8554687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197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192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1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70">
        <v>935.6404824256897</v>
      </c>
      <c r="C8" s="71">
        <v>4.0381399975248422E-2</v>
      </c>
      <c r="D8" s="70">
        <v>20.212177276611328</v>
      </c>
      <c r="E8" s="71">
        <v>4.0381399975248478E-2</v>
      </c>
      <c r="F8" s="70">
        <v>40.424354553222642</v>
      </c>
      <c r="G8" s="70">
        <v>0</v>
      </c>
      <c r="H8" s="71"/>
      <c r="I8" s="70">
        <v>0</v>
      </c>
      <c r="J8" s="70">
        <v>843.71725559234608</v>
      </c>
      <c r="K8" s="70">
        <v>656.01354455948001</v>
      </c>
    </row>
    <row r="9" spans="1:11" s="6" customFormat="1" ht="20.45" customHeight="1" x14ac:dyDescent="0.2">
      <c r="A9" s="29" t="s">
        <v>1</v>
      </c>
      <c r="B9" s="51">
        <v>43868.268229961395</v>
      </c>
      <c r="C9" s="52">
        <v>51.468807503391517</v>
      </c>
      <c r="D9" s="51">
        <v>2796.16490650177</v>
      </c>
      <c r="E9" s="52">
        <v>34.460049904803924</v>
      </c>
      <c r="F9" s="51">
        <v>17123.037360191764</v>
      </c>
      <c r="G9" s="51">
        <v>635.86481857299805</v>
      </c>
      <c r="H9" s="52">
        <v>17.008757598587525</v>
      </c>
      <c r="I9" s="51">
        <v>15922.675427436676</v>
      </c>
      <c r="J9" s="51">
        <v>56338.099548339538</v>
      </c>
      <c r="K9" s="51">
        <v>22113.627787113008</v>
      </c>
    </row>
    <row r="10" spans="1:11" ht="20.45" customHeight="1" x14ac:dyDescent="0.2">
      <c r="A10" s="30" t="s">
        <v>2</v>
      </c>
      <c r="B10" s="53">
        <v>2760.2581648826599</v>
      </c>
      <c r="C10" s="54">
        <v>0.56518682945732901</v>
      </c>
      <c r="D10" s="53">
        <v>130.80438041687012</v>
      </c>
      <c r="E10" s="54">
        <v>0.49724732043644665</v>
      </c>
      <c r="F10" s="53">
        <v>420.88082790374716</v>
      </c>
      <c r="G10" s="53">
        <v>11.335295677185059</v>
      </c>
      <c r="H10" s="54">
        <v>6.7939509020883734E-2</v>
      </c>
      <c r="I10" s="53">
        <v>11.335295677185131</v>
      </c>
      <c r="J10" s="53">
        <v>3141.275596141822</v>
      </c>
      <c r="K10" s="53">
        <v>1024.9792904853789</v>
      </c>
    </row>
    <row r="11" spans="1:11" ht="20.45" customHeight="1" x14ac:dyDescent="0.2">
      <c r="A11" s="30" t="s">
        <v>3</v>
      </c>
      <c r="B11" s="53">
        <v>3359.4258284568787</v>
      </c>
      <c r="C11" s="54">
        <v>1.9291278770724056</v>
      </c>
      <c r="D11" s="53">
        <v>219.8683385848999</v>
      </c>
      <c r="E11" s="54">
        <v>1.8505135226996257</v>
      </c>
      <c r="F11" s="53">
        <v>817.90631198882863</v>
      </c>
      <c r="G11" s="53">
        <v>6.1813454627990723</v>
      </c>
      <c r="H11" s="54">
        <v>7.8614354372787534E-2</v>
      </c>
      <c r="I11" s="53">
        <v>494.50763702392521</v>
      </c>
      <c r="J11" s="53">
        <v>3623.2200050353758</v>
      </c>
      <c r="K11" s="53">
        <v>2058.8274192810163</v>
      </c>
    </row>
    <row r="12" spans="1:11" ht="20.45" customHeight="1" x14ac:dyDescent="0.2">
      <c r="A12" s="30" t="s">
        <v>4</v>
      </c>
      <c r="B12" s="53">
        <v>11159.88577747345</v>
      </c>
      <c r="C12" s="54">
        <v>12.693889092211093</v>
      </c>
      <c r="D12" s="53">
        <v>540.43340921401978</v>
      </c>
      <c r="E12" s="54">
        <v>5.2339251637069948</v>
      </c>
      <c r="F12" s="53">
        <v>1910.4041318893574</v>
      </c>
      <c r="G12" s="53">
        <v>160.18519735336304</v>
      </c>
      <c r="H12" s="54">
        <v>7.4599639285041457</v>
      </c>
      <c r="I12" s="53">
        <v>7002.367417812301</v>
      </c>
      <c r="J12" s="53">
        <v>13463.593023776946</v>
      </c>
      <c r="K12" s="53">
        <v>5075.8239779472688</v>
      </c>
    </row>
    <row r="13" spans="1:11" ht="20.45" customHeight="1" x14ac:dyDescent="0.2">
      <c r="A13" s="30" t="s">
        <v>5</v>
      </c>
      <c r="B13" s="53">
        <v>13668.709867477417</v>
      </c>
      <c r="C13" s="54">
        <v>11.673531853146441</v>
      </c>
      <c r="D13" s="53">
        <v>885.68560266494751</v>
      </c>
      <c r="E13" s="54">
        <v>8.8564158233270955</v>
      </c>
      <c r="F13" s="53">
        <v>3188.4171380996872</v>
      </c>
      <c r="G13" s="53">
        <v>219.51485109329224</v>
      </c>
      <c r="H13" s="54">
        <v>2.8171160298193376</v>
      </c>
      <c r="I13" s="53">
        <v>5652.7214779853903</v>
      </c>
      <c r="J13" s="53">
        <v>18089.316346168809</v>
      </c>
      <c r="K13" s="53">
        <v>6996.4970479011317</v>
      </c>
    </row>
    <row r="14" spans="1:11" ht="20.45" customHeight="1" x14ac:dyDescent="0.2">
      <c r="A14" s="30" t="s">
        <v>6</v>
      </c>
      <c r="B14" s="53">
        <v>8774.4785208702087</v>
      </c>
      <c r="C14" s="54">
        <v>15.025000165479344</v>
      </c>
      <c r="D14" s="53">
        <v>704.3758487701416</v>
      </c>
      <c r="E14" s="54">
        <v>11.998616907442166</v>
      </c>
      <c r="F14" s="53">
        <v>7957.7024927138773</v>
      </c>
      <c r="G14" s="53">
        <v>165.70294046401978</v>
      </c>
      <c r="H14" s="54">
        <v>3.0263832580372103</v>
      </c>
      <c r="I14" s="53">
        <v>1044.8242959976201</v>
      </c>
      <c r="J14" s="53">
        <v>12034.243443965868</v>
      </c>
      <c r="K14" s="53">
        <v>4101.6698551178106</v>
      </c>
    </row>
    <row r="15" spans="1:11" ht="20.45" customHeight="1" x14ac:dyDescent="0.2">
      <c r="A15" s="30" t="s">
        <v>7</v>
      </c>
      <c r="B15" s="53">
        <v>2599.6910486221313</v>
      </c>
      <c r="C15" s="54">
        <v>4.4321753026787478</v>
      </c>
      <c r="D15" s="53">
        <v>158.86063575744629</v>
      </c>
      <c r="E15" s="54">
        <v>3.8668729190356266</v>
      </c>
      <c r="F15" s="53">
        <v>1436.8611955642689</v>
      </c>
      <c r="G15" s="53">
        <v>31.624729156494141</v>
      </c>
      <c r="H15" s="54">
        <v>0.565302383643146</v>
      </c>
      <c r="I15" s="53">
        <v>143.67028903961122</v>
      </c>
      <c r="J15" s="53">
        <v>3646.7557940483166</v>
      </c>
      <c r="K15" s="53">
        <v>889.91066837311064</v>
      </c>
    </row>
    <row r="16" spans="1:11" ht="20.45" customHeight="1" x14ac:dyDescent="0.2">
      <c r="A16" s="30" t="s">
        <v>8</v>
      </c>
      <c r="B16" s="53">
        <v>870.77567768096924</v>
      </c>
      <c r="C16" s="54">
        <v>1.2963106936834361</v>
      </c>
      <c r="D16" s="53">
        <v>91.023768424987793</v>
      </c>
      <c r="E16" s="54">
        <v>1.0995329419155593</v>
      </c>
      <c r="F16" s="53">
        <v>1213.1227703094476</v>
      </c>
      <c r="G16" s="53">
        <v>10.744707107543945</v>
      </c>
      <c r="H16" s="54">
        <v>0.19677775176787557</v>
      </c>
      <c r="I16" s="53">
        <v>1181.9177818298331</v>
      </c>
      <c r="J16" s="53">
        <v>1153.3018445968664</v>
      </c>
      <c r="K16" s="53">
        <v>1670.4019699096675</v>
      </c>
    </row>
    <row r="17" spans="1:11" ht="20.45" customHeight="1" x14ac:dyDescent="0.2">
      <c r="A17" s="30" t="s">
        <v>9</v>
      </c>
      <c r="B17" s="53">
        <v>351.42844676971436</v>
      </c>
      <c r="C17" s="54">
        <v>4.0720503551630011E-2</v>
      </c>
      <c r="D17" s="53">
        <v>10.736898422241211</v>
      </c>
      <c r="E17" s="54">
        <v>4.0720503551630038E-2</v>
      </c>
      <c r="F17" s="53">
        <v>21.473796844482411</v>
      </c>
      <c r="G17" s="53">
        <v>0</v>
      </c>
      <c r="H17" s="54"/>
      <c r="I17" s="53">
        <v>0</v>
      </c>
      <c r="J17" s="53">
        <v>570.9968357086176</v>
      </c>
      <c r="K17" s="53">
        <v>111.64333438873278</v>
      </c>
    </row>
    <row r="18" spans="1:11" ht="20.45" customHeight="1" x14ac:dyDescent="0.2">
      <c r="A18" s="30" t="s">
        <v>10</v>
      </c>
      <c r="B18" s="53">
        <v>234.38229751586914</v>
      </c>
      <c r="C18" s="54">
        <v>3.6742367244283085</v>
      </c>
      <c r="D18" s="53">
        <v>30.711021423339844</v>
      </c>
      <c r="E18" s="54">
        <v>0.87757634100616833</v>
      </c>
      <c r="F18" s="53">
        <v>83.30750846862793</v>
      </c>
      <c r="G18" s="53">
        <v>30.575752258300781</v>
      </c>
      <c r="H18" s="54">
        <v>2.7966603834221382</v>
      </c>
      <c r="I18" s="53">
        <v>391.33123207092228</v>
      </c>
      <c r="J18" s="53">
        <v>345.80929660797136</v>
      </c>
      <c r="K18" s="53">
        <v>138.25306892395022</v>
      </c>
    </row>
    <row r="19" spans="1:11" ht="20.45" customHeight="1" x14ac:dyDescent="0.2">
      <c r="A19" s="30" t="s">
        <v>11</v>
      </c>
      <c r="B19" s="53">
        <v>89.232600212097168</v>
      </c>
      <c r="C19" s="54">
        <v>0.13862846168260651</v>
      </c>
      <c r="D19" s="53">
        <v>23.665002822875977</v>
      </c>
      <c r="E19" s="54">
        <v>0.13862846168260651</v>
      </c>
      <c r="F19" s="53">
        <v>72.961186408996582</v>
      </c>
      <c r="G19" s="53">
        <v>0</v>
      </c>
      <c r="H19" s="54"/>
      <c r="I19" s="53">
        <v>0</v>
      </c>
      <c r="J19" s="53">
        <v>269.58736228942877</v>
      </c>
      <c r="K19" s="53">
        <v>45.62115478515625</v>
      </c>
    </row>
    <row r="20" spans="1:11" s="6" customFormat="1" ht="20.45" customHeight="1" x14ac:dyDescent="0.2">
      <c r="A20" s="31" t="s">
        <v>12</v>
      </c>
      <c r="B20" s="25">
        <f>B8+B9</f>
        <v>44803.908712387085</v>
      </c>
      <c r="C20" s="26">
        <f t="shared" ref="C20:K20" si="0">C8+C9</f>
        <v>51.509188903366763</v>
      </c>
      <c r="D20" s="25">
        <f t="shared" si="0"/>
        <v>2816.3770837783813</v>
      </c>
      <c r="E20" s="26">
        <f t="shared" si="0"/>
        <v>34.50043130477917</v>
      </c>
      <c r="F20" s="25">
        <f t="shared" si="0"/>
        <v>17163.461714744986</v>
      </c>
      <c r="G20" s="25">
        <f t="shared" si="0"/>
        <v>635.86481857299805</v>
      </c>
      <c r="H20" s="26">
        <f t="shared" si="0"/>
        <v>17.008757598587525</v>
      </c>
      <c r="I20" s="25">
        <f t="shared" si="0"/>
        <v>15922.675427436676</v>
      </c>
      <c r="J20" s="25">
        <f t="shared" si="0"/>
        <v>57181.816803931884</v>
      </c>
      <c r="K20" s="25">
        <f t="shared" si="0"/>
        <v>22769.641331672487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931" priority="13" stopIfTrue="1" operator="equal">
      <formula>0</formula>
    </cfRule>
  </conditionalFormatting>
  <conditionalFormatting sqref="D8:D19">
    <cfRule type="cellIs" dxfId="930" priority="12" stopIfTrue="1" operator="equal">
      <formula>0</formula>
    </cfRule>
  </conditionalFormatting>
  <conditionalFormatting sqref="F8:F19">
    <cfRule type="cellIs" dxfId="929" priority="11" stopIfTrue="1" operator="equal">
      <formula>0</formula>
    </cfRule>
  </conditionalFormatting>
  <conditionalFormatting sqref="G8:G19">
    <cfRule type="cellIs" dxfId="928" priority="10" stopIfTrue="1" operator="equal">
      <formula>0</formula>
    </cfRule>
  </conditionalFormatting>
  <conditionalFormatting sqref="I8:I19">
    <cfRule type="cellIs" dxfId="927" priority="9" stopIfTrue="1" operator="equal">
      <formula>0</formula>
    </cfRule>
  </conditionalFormatting>
  <conditionalFormatting sqref="J8:J19">
    <cfRule type="cellIs" dxfId="926" priority="8" stopIfTrue="1" operator="equal">
      <formula>0</formula>
    </cfRule>
  </conditionalFormatting>
  <conditionalFormatting sqref="K8:K19">
    <cfRule type="cellIs" dxfId="925" priority="7" stopIfTrue="1" operator="equal">
      <formula>0</formula>
    </cfRule>
  </conditionalFormatting>
  <conditionalFormatting sqref="C20">
    <cfRule type="cellIs" dxfId="924" priority="6" stopIfTrue="1" operator="equal">
      <formula>0</formula>
    </cfRule>
  </conditionalFormatting>
  <conditionalFormatting sqref="C8:C19">
    <cfRule type="cellIs" dxfId="923" priority="5" stopIfTrue="1" operator="equal">
      <formula>0</formula>
    </cfRule>
  </conditionalFormatting>
  <conditionalFormatting sqref="E20">
    <cfRule type="cellIs" dxfId="922" priority="4" stopIfTrue="1" operator="equal">
      <formula>0</formula>
    </cfRule>
  </conditionalFormatting>
  <conditionalFormatting sqref="E8:E19">
    <cfRule type="cellIs" dxfId="921" priority="3" stopIfTrue="1" operator="equal">
      <formula>0</formula>
    </cfRule>
  </conditionalFormatting>
  <conditionalFormatting sqref="H20">
    <cfRule type="cellIs" dxfId="920" priority="2" stopIfTrue="1" operator="equal">
      <formula>0</formula>
    </cfRule>
  </conditionalFormatting>
  <conditionalFormatting sqref="H8:H19">
    <cfRule type="cellIs" dxfId="91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3A91-6484-49A9-8866-DFD57CB0222C}">
  <dimension ref="A1:K20"/>
  <sheetViews>
    <sheetView zoomScale="97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8.140625" bestFit="1" customWidth="1"/>
    <col min="6" max="6" width="10.42578125" bestFit="1" customWidth="1"/>
    <col min="7" max="7" width="9" customWidth="1"/>
    <col min="8" max="8" width="8" customWidth="1"/>
    <col min="9" max="9" width="8.42578125" customWidth="1"/>
    <col min="10" max="10" width="11.42578125" customWidth="1"/>
    <col min="11" max="11" width="12.8554687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196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193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1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70">
        <v>61.715517044067383</v>
      </c>
      <c r="C8" s="71">
        <v>0</v>
      </c>
      <c r="D8" s="70">
        <v>0</v>
      </c>
      <c r="E8" s="71"/>
      <c r="F8" s="70">
        <v>0</v>
      </c>
      <c r="G8" s="70">
        <v>0</v>
      </c>
      <c r="H8" s="71"/>
      <c r="I8" s="70">
        <v>0</v>
      </c>
      <c r="J8" s="70">
        <v>45.454618453979464</v>
      </c>
      <c r="K8" s="70">
        <v>113.77256584167466</v>
      </c>
    </row>
    <row r="9" spans="1:11" s="6" customFormat="1" ht="20.45" customHeight="1" x14ac:dyDescent="0.2">
      <c r="A9" s="29" t="s">
        <v>1</v>
      </c>
      <c r="B9" s="51">
        <v>57222.106498360634</v>
      </c>
      <c r="C9" s="52">
        <v>611.88879130759676</v>
      </c>
      <c r="D9" s="51">
        <v>10106.605052113533</v>
      </c>
      <c r="E9" s="52">
        <v>290.1275754322582</v>
      </c>
      <c r="F9" s="51">
        <v>212266.83870864045</v>
      </c>
      <c r="G9" s="51">
        <v>8159.3963454961777</v>
      </c>
      <c r="H9" s="52">
        <v>321.76121587533572</v>
      </c>
      <c r="I9" s="51">
        <v>304176.28146755556</v>
      </c>
      <c r="J9" s="51">
        <v>90154.213822962149</v>
      </c>
      <c r="K9" s="51">
        <v>117498.0787416698</v>
      </c>
    </row>
    <row r="10" spans="1:11" ht="20.45" customHeight="1" x14ac:dyDescent="0.2">
      <c r="A10" s="30" t="s">
        <v>2</v>
      </c>
      <c r="B10" s="53">
        <v>2584.1866691112518</v>
      </c>
      <c r="C10" s="54">
        <v>2.8920037167370469</v>
      </c>
      <c r="D10" s="53">
        <v>351.48192405700684</v>
      </c>
      <c r="E10" s="54">
        <v>1.3944960565493787</v>
      </c>
      <c r="F10" s="53">
        <v>1031.6683197021521</v>
      </c>
      <c r="G10" s="53">
        <v>256.05503559112549</v>
      </c>
      <c r="H10" s="54">
        <v>1.4975076601876767</v>
      </c>
      <c r="I10" s="53">
        <v>3269.7372317314189</v>
      </c>
      <c r="J10" s="53">
        <v>3985.8250741958577</v>
      </c>
      <c r="K10" s="53">
        <v>3575.1229407787519</v>
      </c>
    </row>
    <row r="11" spans="1:11" ht="20.45" customHeight="1" x14ac:dyDescent="0.2">
      <c r="A11" s="30" t="s">
        <v>3</v>
      </c>
      <c r="B11" s="53">
        <v>8480.0787255763989</v>
      </c>
      <c r="C11" s="54">
        <v>23.086468868235261</v>
      </c>
      <c r="D11" s="53">
        <v>1353.7083983421326</v>
      </c>
      <c r="E11" s="54">
        <v>15.355584365167703</v>
      </c>
      <c r="F11" s="53">
        <v>9502.4508161544672</v>
      </c>
      <c r="G11" s="53">
        <v>764.26945519447327</v>
      </c>
      <c r="H11" s="54">
        <v>7.7308845030676361</v>
      </c>
      <c r="I11" s="53">
        <v>7094.7197892665845</v>
      </c>
      <c r="J11" s="53">
        <v>12419.860184192579</v>
      </c>
      <c r="K11" s="53">
        <v>10317.36886978146</v>
      </c>
    </row>
    <row r="12" spans="1:11" ht="20.45" customHeight="1" x14ac:dyDescent="0.2">
      <c r="A12" s="30" t="s">
        <v>4</v>
      </c>
      <c r="B12" s="53">
        <v>23250.042817592621</v>
      </c>
      <c r="C12" s="54">
        <v>140.40373592312895</v>
      </c>
      <c r="D12" s="53">
        <v>4464.4998091459274</v>
      </c>
      <c r="E12" s="54">
        <v>73.929911197328522</v>
      </c>
      <c r="F12" s="53">
        <v>46184.446254849703</v>
      </c>
      <c r="G12" s="53">
        <v>3266.9876899719238</v>
      </c>
      <c r="H12" s="54">
        <v>66.473824725800682</v>
      </c>
      <c r="I12" s="53">
        <v>58440.808406830081</v>
      </c>
      <c r="J12" s="53">
        <v>31633.409955620864</v>
      </c>
      <c r="K12" s="53">
        <v>48293.446913361542</v>
      </c>
    </row>
    <row r="13" spans="1:11" ht="20.45" customHeight="1" x14ac:dyDescent="0.2">
      <c r="A13" s="30" t="s">
        <v>5</v>
      </c>
      <c r="B13" s="53">
        <v>14956.548104405403</v>
      </c>
      <c r="C13" s="54">
        <v>186.42172113604951</v>
      </c>
      <c r="D13" s="53">
        <v>2515.8800441026688</v>
      </c>
      <c r="E13" s="54">
        <v>81.413786294635514</v>
      </c>
      <c r="F13" s="53">
        <v>123389.14776539772</v>
      </c>
      <c r="G13" s="53">
        <v>2382.5441951751709</v>
      </c>
      <c r="H13" s="54">
        <v>105.00793484141418</v>
      </c>
      <c r="I13" s="53">
        <v>73030.947570324104</v>
      </c>
      <c r="J13" s="53">
        <v>27107.394380092581</v>
      </c>
      <c r="K13" s="53">
        <v>36930.674219966124</v>
      </c>
    </row>
    <row r="14" spans="1:11" ht="20.45" customHeight="1" x14ac:dyDescent="0.2">
      <c r="A14" s="30" t="s">
        <v>6</v>
      </c>
      <c r="B14" s="53">
        <v>6245.3656684160233</v>
      </c>
      <c r="C14" s="54">
        <v>164.81244497487688</v>
      </c>
      <c r="D14" s="53">
        <v>1133.5001579523087</v>
      </c>
      <c r="E14" s="54">
        <v>82.143675642455349</v>
      </c>
      <c r="F14" s="53">
        <v>25412.814320445075</v>
      </c>
      <c r="G14" s="53">
        <v>1225.9991146326065</v>
      </c>
      <c r="H14" s="54">
        <v>82.668769332422031</v>
      </c>
      <c r="I14" s="53">
        <v>152540.31505477466</v>
      </c>
      <c r="J14" s="53">
        <v>10608.916988372846</v>
      </c>
      <c r="K14" s="53">
        <v>15144.375732302598</v>
      </c>
    </row>
    <row r="15" spans="1:11" ht="20.45" customHeight="1" x14ac:dyDescent="0.2">
      <c r="A15" s="30" t="s">
        <v>7</v>
      </c>
      <c r="B15" s="53">
        <v>1098.6696456670761</v>
      </c>
      <c r="C15" s="54">
        <v>34.659777057344293</v>
      </c>
      <c r="D15" s="53">
        <v>176.20458316802979</v>
      </c>
      <c r="E15" s="54">
        <v>14.15535653377658</v>
      </c>
      <c r="F15" s="53">
        <v>5452.0640845298803</v>
      </c>
      <c r="G15" s="53">
        <v>153.62835359573364</v>
      </c>
      <c r="H15" s="54">
        <v>20.504420523567692</v>
      </c>
      <c r="I15" s="53">
        <v>4441.5696368217459</v>
      </c>
      <c r="J15" s="53">
        <v>2734.2459816932756</v>
      </c>
      <c r="K15" s="53">
        <v>2193.9347186088544</v>
      </c>
    </row>
    <row r="16" spans="1:11" ht="20.45" customHeight="1" x14ac:dyDescent="0.2">
      <c r="A16" s="30" t="s">
        <v>8</v>
      </c>
      <c r="B16" s="53">
        <v>372.63861227035522</v>
      </c>
      <c r="C16" s="54">
        <v>8.3596973015604998</v>
      </c>
      <c r="D16" s="53">
        <v>73.456977844238281</v>
      </c>
      <c r="E16" s="54">
        <v>3.8931300076172755</v>
      </c>
      <c r="F16" s="53">
        <v>333.31570148468035</v>
      </c>
      <c r="G16" s="53">
        <v>59.329140186309814</v>
      </c>
      <c r="H16" s="54">
        <v>4.4665672939432302</v>
      </c>
      <c r="I16" s="53">
        <v>1864.9949531555214</v>
      </c>
      <c r="J16" s="53">
        <v>883.09586143493584</v>
      </c>
      <c r="K16" s="53">
        <v>659.22857761383</v>
      </c>
    </row>
    <row r="17" spans="1:11" ht="20.45" customHeight="1" x14ac:dyDescent="0.2">
      <c r="A17" s="30" t="s">
        <v>9</v>
      </c>
      <c r="B17" s="53">
        <v>87.567890644073486</v>
      </c>
      <c r="C17" s="54">
        <v>1.5742254860152973E-3</v>
      </c>
      <c r="D17" s="53">
        <v>0</v>
      </c>
      <c r="E17" s="54"/>
      <c r="F17" s="53">
        <v>0</v>
      </c>
      <c r="G17" s="53">
        <v>7.9837632179260254</v>
      </c>
      <c r="H17" s="54">
        <v>1.5742254860152995E-3</v>
      </c>
      <c r="I17" s="53">
        <v>79.837632179260325</v>
      </c>
      <c r="J17" s="53">
        <v>668.57754755020153</v>
      </c>
      <c r="K17" s="53">
        <v>318.74215269088751</v>
      </c>
    </row>
    <row r="18" spans="1:11" ht="20.45" customHeight="1" x14ac:dyDescent="0.2">
      <c r="A18" s="30" t="s">
        <v>10</v>
      </c>
      <c r="B18" s="53">
        <v>114.34757280349731</v>
      </c>
      <c r="C18" s="54">
        <v>20.188560995051954</v>
      </c>
      <c r="D18" s="53">
        <v>21.473264217376709</v>
      </c>
      <c r="E18" s="54">
        <v>4.2956445091194562</v>
      </c>
      <c r="F18" s="53">
        <v>348.58465862274153</v>
      </c>
      <c r="G18" s="53">
        <v>33.632640838623047</v>
      </c>
      <c r="H18" s="54">
        <v>15.892916485932508</v>
      </c>
      <c r="I18" s="53">
        <v>2426.9859123229962</v>
      </c>
      <c r="J18" s="53">
        <v>80.366052627563491</v>
      </c>
      <c r="K18" s="53">
        <v>32.662819385528586</v>
      </c>
    </row>
    <row r="19" spans="1:11" ht="20.45" customHeight="1" x14ac:dyDescent="0.2">
      <c r="A19" s="30" t="s">
        <v>11</v>
      </c>
      <c r="B19" s="53">
        <v>32.660791873931885</v>
      </c>
      <c r="C19" s="54">
        <v>31.062807109122478</v>
      </c>
      <c r="D19" s="53">
        <v>16.399893283843994</v>
      </c>
      <c r="E19" s="54">
        <v>13.545990825608117</v>
      </c>
      <c r="F19" s="53">
        <v>612.34678745269798</v>
      </c>
      <c r="G19" s="53">
        <v>8.9669570922851563</v>
      </c>
      <c r="H19" s="54">
        <v>17.516816283514345</v>
      </c>
      <c r="I19" s="53">
        <v>986.36528015136696</v>
      </c>
      <c r="J19" s="53">
        <v>32.521797180175781</v>
      </c>
      <c r="K19" s="53">
        <v>32.521797180175781</v>
      </c>
    </row>
    <row r="20" spans="1:11" s="6" customFormat="1" ht="20.45" customHeight="1" x14ac:dyDescent="0.2">
      <c r="A20" s="31" t="s">
        <v>12</v>
      </c>
      <c r="B20" s="25">
        <f>B8+B9</f>
        <v>57283.822015404701</v>
      </c>
      <c r="C20" s="26">
        <f t="shared" ref="C20:K20" si="0">C8+C9</f>
        <v>611.88879130759676</v>
      </c>
      <c r="D20" s="25">
        <f t="shared" si="0"/>
        <v>10106.605052113533</v>
      </c>
      <c r="E20" s="26">
        <f t="shared" si="0"/>
        <v>290.1275754322582</v>
      </c>
      <c r="F20" s="25">
        <f t="shared" si="0"/>
        <v>212266.83870864045</v>
      </c>
      <c r="G20" s="25">
        <f t="shared" si="0"/>
        <v>8159.3963454961777</v>
      </c>
      <c r="H20" s="26">
        <f t="shared" si="0"/>
        <v>321.76121587533572</v>
      </c>
      <c r="I20" s="25">
        <f t="shared" si="0"/>
        <v>304176.28146755556</v>
      </c>
      <c r="J20" s="25">
        <f t="shared" si="0"/>
        <v>90199.668441416128</v>
      </c>
      <c r="K20" s="25">
        <f t="shared" si="0"/>
        <v>117611.85130751148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918" priority="13" stopIfTrue="1" operator="equal">
      <formula>0</formula>
    </cfRule>
  </conditionalFormatting>
  <conditionalFormatting sqref="D8:D19">
    <cfRule type="cellIs" dxfId="917" priority="12" stopIfTrue="1" operator="equal">
      <formula>0</formula>
    </cfRule>
  </conditionalFormatting>
  <conditionalFormatting sqref="F8:F19">
    <cfRule type="cellIs" dxfId="916" priority="11" stopIfTrue="1" operator="equal">
      <formula>0</formula>
    </cfRule>
  </conditionalFormatting>
  <conditionalFormatting sqref="G8:G19">
    <cfRule type="cellIs" dxfId="915" priority="10" stopIfTrue="1" operator="equal">
      <formula>0</formula>
    </cfRule>
  </conditionalFormatting>
  <conditionalFormatting sqref="I8:I19">
    <cfRule type="cellIs" dxfId="914" priority="9" stopIfTrue="1" operator="equal">
      <formula>0</formula>
    </cfRule>
  </conditionalFormatting>
  <conditionalFormatting sqref="J8:J19">
    <cfRule type="cellIs" dxfId="913" priority="8" stopIfTrue="1" operator="equal">
      <formula>0</formula>
    </cfRule>
  </conditionalFormatting>
  <conditionalFormatting sqref="K8:K19">
    <cfRule type="cellIs" dxfId="912" priority="7" stopIfTrue="1" operator="equal">
      <formula>0</formula>
    </cfRule>
  </conditionalFormatting>
  <conditionalFormatting sqref="C20">
    <cfRule type="cellIs" dxfId="911" priority="6" stopIfTrue="1" operator="equal">
      <formula>0</formula>
    </cfRule>
  </conditionalFormatting>
  <conditionalFormatting sqref="C8:C19">
    <cfRule type="cellIs" dxfId="910" priority="5" stopIfTrue="1" operator="equal">
      <formula>0</formula>
    </cfRule>
  </conditionalFormatting>
  <conditionalFormatting sqref="E20">
    <cfRule type="cellIs" dxfId="909" priority="4" stopIfTrue="1" operator="equal">
      <formula>0</formula>
    </cfRule>
  </conditionalFormatting>
  <conditionalFormatting sqref="E8:E19">
    <cfRule type="cellIs" dxfId="908" priority="3" stopIfTrue="1" operator="equal">
      <formula>0</formula>
    </cfRule>
  </conditionalFormatting>
  <conditionalFormatting sqref="H20">
    <cfRule type="cellIs" dxfId="907" priority="2" stopIfTrue="1" operator="equal">
      <formula>0</formula>
    </cfRule>
  </conditionalFormatting>
  <conditionalFormatting sqref="H8:H19">
    <cfRule type="cellIs" dxfId="906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B69F-AC0B-41C1-8354-8020C2D403A3}">
  <dimension ref="A1:K20"/>
  <sheetViews>
    <sheetView zoomScale="95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8.140625" bestFit="1" customWidth="1"/>
    <col min="6" max="6" width="10.42578125" bestFit="1" customWidth="1"/>
    <col min="7" max="7" width="9" customWidth="1"/>
    <col min="8" max="8" width="8" customWidth="1"/>
    <col min="9" max="9" width="10.42578125" customWidth="1"/>
    <col min="10" max="10" width="11.42578125" customWidth="1"/>
    <col min="11" max="11" width="12.8554687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195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194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1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70">
        <v>2467.7609224319458</v>
      </c>
      <c r="C8" s="71">
        <v>0.49060271504309549</v>
      </c>
      <c r="D8" s="70">
        <v>52.910922050476074</v>
      </c>
      <c r="E8" s="71">
        <v>0.34104881968259093</v>
      </c>
      <c r="F8" s="70">
        <v>4288.9264240264874</v>
      </c>
      <c r="G8" s="70">
        <v>48.952667236328125</v>
      </c>
      <c r="H8" s="71">
        <v>0.14955389536050312</v>
      </c>
      <c r="I8" s="70">
        <v>76.283599853515796</v>
      </c>
      <c r="J8" s="70">
        <v>9325.639510154735</v>
      </c>
      <c r="K8" s="70">
        <v>4978.0198545455951</v>
      </c>
    </row>
    <row r="9" spans="1:11" s="6" customFormat="1" ht="20.45" customHeight="1" x14ac:dyDescent="0.2">
      <c r="A9" s="29" t="s">
        <v>1</v>
      </c>
      <c r="B9" s="51">
        <v>115100.47151887417</v>
      </c>
      <c r="C9" s="52">
        <v>2087.4845092260716</v>
      </c>
      <c r="D9" s="51">
        <v>18519.515400528908</v>
      </c>
      <c r="E9" s="52">
        <v>1245.2172821161917</v>
      </c>
      <c r="F9" s="51">
        <v>1451753.8904920896</v>
      </c>
      <c r="G9" s="51">
        <v>10582.35173368454</v>
      </c>
      <c r="H9" s="52">
        <v>842.26722710981346</v>
      </c>
      <c r="I9" s="51">
        <v>1076774.8356747706</v>
      </c>
      <c r="J9" s="51">
        <v>529399.50932633714</v>
      </c>
      <c r="K9" s="51">
        <v>301653.20604132809</v>
      </c>
    </row>
    <row r="10" spans="1:11" ht="20.45" customHeight="1" x14ac:dyDescent="0.2">
      <c r="A10" s="30" t="s">
        <v>2</v>
      </c>
      <c r="B10" s="53">
        <v>13753.541160821915</v>
      </c>
      <c r="C10" s="54">
        <v>39.27028703554015</v>
      </c>
      <c r="D10" s="53">
        <v>1589.7388515472412</v>
      </c>
      <c r="E10" s="54">
        <v>27.859809892756211</v>
      </c>
      <c r="F10" s="53">
        <v>105349.13539409603</v>
      </c>
      <c r="G10" s="53">
        <v>678.67342662811279</v>
      </c>
      <c r="H10" s="54">
        <v>11.410477142783826</v>
      </c>
      <c r="I10" s="53">
        <v>18746.450335502617</v>
      </c>
      <c r="J10" s="53">
        <v>48304.624487638619</v>
      </c>
      <c r="K10" s="53">
        <v>27999.881625652371</v>
      </c>
    </row>
    <row r="11" spans="1:11" ht="20.45" customHeight="1" x14ac:dyDescent="0.2">
      <c r="A11" s="30" t="s">
        <v>3</v>
      </c>
      <c r="B11" s="53">
        <v>12176.65340423584</v>
      </c>
      <c r="C11" s="54">
        <v>121.58148805735455</v>
      </c>
      <c r="D11" s="53">
        <v>2065.9817171096802</v>
      </c>
      <c r="E11" s="54">
        <v>90.176258109841854</v>
      </c>
      <c r="F11" s="53">
        <v>99981.483121872574</v>
      </c>
      <c r="G11" s="53">
        <v>1090.0532712936401</v>
      </c>
      <c r="H11" s="54">
        <v>31.405229947513021</v>
      </c>
      <c r="I11" s="53">
        <v>52185.527740478581</v>
      </c>
      <c r="J11" s="53">
        <v>45448.701031207798</v>
      </c>
      <c r="K11" s="53">
        <v>27913.525027275173</v>
      </c>
    </row>
    <row r="12" spans="1:11" ht="20.45" customHeight="1" x14ac:dyDescent="0.2">
      <c r="A12" s="30" t="s">
        <v>4</v>
      </c>
      <c r="B12" s="53">
        <v>32768.322541236877</v>
      </c>
      <c r="C12" s="54">
        <v>436.9737959302746</v>
      </c>
      <c r="D12" s="53">
        <v>5050.192898273468</v>
      </c>
      <c r="E12" s="54">
        <v>289.27531492628759</v>
      </c>
      <c r="F12" s="53">
        <v>308594.32313584804</v>
      </c>
      <c r="G12" s="53">
        <v>2777.4366965293884</v>
      </c>
      <c r="H12" s="54">
        <v>147.69848100398809</v>
      </c>
      <c r="I12" s="53">
        <v>193242.46890687666</v>
      </c>
      <c r="J12" s="53">
        <v>152936.26108884689</v>
      </c>
      <c r="K12" s="53">
        <v>101391.48678493414</v>
      </c>
    </row>
    <row r="13" spans="1:11" ht="20.45" customHeight="1" x14ac:dyDescent="0.2">
      <c r="A13" s="30" t="s">
        <v>5</v>
      </c>
      <c r="B13" s="53">
        <v>32257.637371182442</v>
      </c>
      <c r="C13" s="54">
        <v>723.18691661131959</v>
      </c>
      <c r="D13" s="53">
        <v>5573.652686715126</v>
      </c>
      <c r="E13" s="54">
        <v>406.14539952891914</v>
      </c>
      <c r="F13" s="53">
        <v>518770.00982678286</v>
      </c>
      <c r="G13" s="53">
        <v>3596.4114389419556</v>
      </c>
      <c r="H13" s="54">
        <v>317.04151708240477</v>
      </c>
      <c r="I13" s="53">
        <v>379688.85031318554</v>
      </c>
      <c r="J13" s="53">
        <v>150178.30018675703</v>
      </c>
      <c r="K13" s="53">
        <v>82486.66128206272</v>
      </c>
    </row>
    <row r="14" spans="1:11" ht="20.45" customHeight="1" x14ac:dyDescent="0.2">
      <c r="A14" s="30" t="s">
        <v>6</v>
      </c>
      <c r="B14" s="53">
        <v>18463.000839710236</v>
      </c>
      <c r="C14" s="54">
        <v>607.99705060795338</v>
      </c>
      <c r="D14" s="53">
        <v>3394.194052696228</v>
      </c>
      <c r="E14" s="54">
        <v>351.93439902720189</v>
      </c>
      <c r="F14" s="53">
        <v>347284.12330675212</v>
      </c>
      <c r="G14" s="53">
        <v>1950.4504776000977</v>
      </c>
      <c r="H14" s="54">
        <v>256.0626515807528</v>
      </c>
      <c r="I14" s="53">
        <v>344372.99357605097</v>
      </c>
      <c r="J14" s="53">
        <v>98080.266412735218</v>
      </c>
      <c r="K14" s="53">
        <v>46620.059734821414</v>
      </c>
    </row>
    <row r="15" spans="1:11" ht="20.45" customHeight="1" x14ac:dyDescent="0.2">
      <c r="A15" s="30" t="s">
        <v>7</v>
      </c>
      <c r="B15" s="53">
        <v>3985.2533078193665</v>
      </c>
      <c r="C15" s="54">
        <v>134.86035911841643</v>
      </c>
      <c r="D15" s="53">
        <v>635.66048622131348</v>
      </c>
      <c r="E15" s="54">
        <v>70.701772522018771</v>
      </c>
      <c r="F15" s="53">
        <v>64846.784083366372</v>
      </c>
      <c r="G15" s="53">
        <v>394.86301708221436</v>
      </c>
      <c r="H15" s="54">
        <v>64.158586596396859</v>
      </c>
      <c r="I15" s="53">
        <v>71865.766724586516</v>
      </c>
      <c r="J15" s="53">
        <v>21621.126996993968</v>
      </c>
      <c r="K15" s="53">
        <v>6454.5585608481988</v>
      </c>
    </row>
    <row r="16" spans="1:11" ht="20.45" customHeight="1" x14ac:dyDescent="0.2">
      <c r="A16" s="30" t="s">
        <v>8</v>
      </c>
      <c r="B16" s="53">
        <v>950.02783727645874</v>
      </c>
      <c r="C16" s="54">
        <v>10.212964724463056</v>
      </c>
      <c r="D16" s="53">
        <v>126.33442544937134</v>
      </c>
      <c r="E16" s="54">
        <v>7.6045666248268597</v>
      </c>
      <c r="F16" s="53">
        <v>5304.4981961250405</v>
      </c>
      <c r="G16" s="53">
        <v>39.098269462585449</v>
      </c>
      <c r="H16" s="54">
        <v>2.6083980996362133</v>
      </c>
      <c r="I16" s="53">
        <v>6837.3096542358444</v>
      </c>
      <c r="J16" s="53">
        <v>5246.4759912490836</v>
      </c>
      <c r="K16" s="53">
        <v>5610.9253511428815</v>
      </c>
    </row>
    <row r="17" spans="1:11" ht="20.45" customHeight="1" x14ac:dyDescent="0.2">
      <c r="A17" s="30" t="s">
        <v>9</v>
      </c>
      <c r="B17" s="53">
        <v>344.13831186294556</v>
      </c>
      <c r="C17" s="54">
        <v>11.516345905473409</v>
      </c>
      <c r="D17" s="53">
        <v>21.38416862487793</v>
      </c>
      <c r="E17" s="54">
        <v>3.5076211294125921E-2</v>
      </c>
      <c r="F17" s="53">
        <v>436.62770652771007</v>
      </c>
      <c r="G17" s="53">
        <v>34.789933204650879</v>
      </c>
      <c r="H17" s="54">
        <v>11.481269694179288</v>
      </c>
      <c r="I17" s="53">
        <v>8189.4521884918258</v>
      </c>
      <c r="J17" s="53">
        <v>4198.8129825591986</v>
      </c>
      <c r="K17" s="53">
        <v>2154.174777984621</v>
      </c>
    </row>
    <row r="18" spans="1:11" ht="20.45" customHeight="1" x14ac:dyDescent="0.2">
      <c r="A18" s="30" t="s">
        <v>10</v>
      </c>
      <c r="B18" s="53">
        <v>305.74542617797852</v>
      </c>
      <c r="C18" s="54">
        <v>1.6356265100534388</v>
      </c>
      <c r="D18" s="53">
        <v>38.711111068725586</v>
      </c>
      <c r="E18" s="54">
        <v>1.2350105478957656</v>
      </c>
      <c r="F18" s="53">
        <v>1046.8960552215581</v>
      </c>
      <c r="G18" s="53">
        <v>20.575202941894531</v>
      </c>
      <c r="H18" s="54">
        <v>0.40061596215767281</v>
      </c>
      <c r="I18" s="53">
        <v>1646.0162353515607</v>
      </c>
      <c r="J18" s="53">
        <v>2836.5191888809177</v>
      </c>
      <c r="K18" s="53">
        <v>817.16346168518021</v>
      </c>
    </row>
    <row r="19" spans="1:11" ht="20.45" customHeight="1" x14ac:dyDescent="0.2">
      <c r="A19" s="30" t="s">
        <v>11</v>
      </c>
      <c r="B19" s="53">
        <v>96.151318550109863</v>
      </c>
      <c r="C19" s="54">
        <v>0.24967472514907049</v>
      </c>
      <c r="D19" s="53">
        <v>23.665002822875977</v>
      </c>
      <c r="E19" s="54">
        <v>0.24967472514907055</v>
      </c>
      <c r="F19" s="53">
        <v>140.00966548919669</v>
      </c>
      <c r="G19" s="53">
        <v>0</v>
      </c>
      <c r="H19" s="54"/>
      <c r="I19" s="53">
        <v>0</v>
      </c>
      <c r="J19" s="53">
        <v>548.42095947265602</v>
      </c>
      <c r="K19" s="53">
        <v>204.76943492889416</v>
      </c>
    </row>
    <row r="20" spans="1:11" s="6" customFormat="1" ht="20.45" customHeight="1" x14ac:dyDescent="0.2">
      <c r="A20" s="31" t="s">
        <v>12</v>
      </c>
      <c r="B20" s="25">
        <f>B8+B9</f>
        <v>117568.23244130611</v>
      </c>
      <c r="C20" s="26">
        <f t="shared" ref="C20:K20" si="0">C8+C9</f>
        <v>2087.9751119411148</v>
      </c>
      <c r="D20" s="25">
        <f t="shared" si="0"/>
        <v>18572.426322579384</v>
      </c>
      <c r="E20" s="26">
        <f t="shared" si="0"/>
        <v>1245.5583309358742</v>
      </c>
      <c r="F20" s="25">
        <f t="shared" si="0"/>
        <v>1456042.816916116</v>
      </c>
      <c r="G20" s="25">
        <f t="shared" si="0"/>
        <v>10631.304400920868</v>
      </c>
      <c r="H20" s="26">
        <f t="shared" si="0"/>
        <v>842.41678100517402</v>
      </c>
      <c r="I20" s="25">
        <f t="shared" si="0"/>
        <v>1076851.1192746242</v>
      </c>
      <c r="J20" s="25">
        <f t="shared" si="0"/>
        <v>538725.14883649186</v>
      </c>
      <c r="K20" s="25">
        <f t="shared" si="0"/>
        <v>306631.22589587368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905" priority="13" stopIfTrue="1" operator="equal">
      <formula>0</formula>
    </cfRule>
  </conditionalFormatting>
  <conditionalFormatting sqref="D8:D19">
    <cfRule type="cellIs" dxfId="904" priority="12" stopIfTrue="1" operator="equal">
      <formula>0</formula>
    </cfRule>
  </conditionalFormatting>
  <conditionalFormatting sqref="F8:F19">
    <cfRule type="cellIs" dxfId="903" priority="11" stopIfTrue="1" operator="equal">
      <formula>0</formula>
    </cfRule>
  </conditionalFormatting>
  <conditionalFormatting sqref="G8:G19">
    <cfRule type="cellIs" dxfId="902" priority="10" stopIfTrue="1" operator="equal">
      <formula>0</formula>
    </cfRule>
  </conditionalFormatting>
  <conditionalFormatting sqref="I8:I19">
    <cfRule type="cellIs" dxfId="901" priority="9" stopIfTrue="1" operator="equal">
      <formula>0</formula>
    </cfRule>
  </conditionalFormatting>
  <conditionalFormatting sqref="J8:J19">
    <cfRule type="cellIs" dxfId="900" priority="8" stopIfTrue="1" operator="equal">
      <formula>0</formula>
    </cfRule>
  </conditionalFormatting>
  <conditionalFormatting sqref="K8:K19">
    <cfRule type="cellIs" dxfId="899" priority="7" stopIfTrue="1" operator="equal">
      <formula>0</formula>
    </cfRule>
  </conditionalFormatting>
  <conditionalFormatting sqref="C20">
    <cfRule type="cellIs" dxfId="898" priority="6" stopIfTrue="1" operator="equal">
      <formula>0</formula>
    </cfRule>
  </conditionalFormatting>
  <conditionalFormatting sqref="C8:C19">
    <cfRule type="cellIs" dxfId="897" priority="5" stopIfTrue="1" operator="equal">
      <formula>0</formula>
    </cfRule>
  </conditionalFormatting>
  <conditionalFormatting sqref="E20">
    <cfRule type="cellIs" dxfId="896" priority="4" stopIfTrue="1" operator="equal">
      <formula>0</formula>
    </cfRule>
  </conditionalFormatting>
  <conditionalFormatting sqref="E8:E19">
    <cfRule type="cellIs" dxfId="895" priority="3" stopIfTrue="1" operator="equal">
      <formula>0</formula>
    </cfRule>
  </conditionalFormatting>
  <conditionalFormatting sqref="H20">
    <cfRule type="cellIs" dxfId="894" priority="2" stopIfTrue="1" operator="equal">
      <formula>0</formula>
    </cfRule>
  </conditionalFormatting>
  <conditionalFormatting sqref="H8:H19">
    <cfRule type="cellIs" dxfId="893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A90F-08C6-4B58-8086-F9AEB10C6AB0}">
  <sheetPr>
    <tabColor rgb="FFFFFF00"/>
  </sheetPr>
  <dimension ref="A1:K20"/>
  <sheetViews>
    <sheetView zoomScale="102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8.140625" bestFit="1" customWidth="1"/>
    <col min="6" max="6" width="10.42578125" bestFit="1" customWidth="1"/>
    <col min="7" max="7" width="9" customWidth="1"/>
    <col min="8" max="8" width="8" customWidth="1"/>
    <col min="9" max="9" width="8.42578125" customWidth="1"/>
    <col min="10" max="10" width="11.42578125" customWidth="1"/>
    <col min="11" max="11" width="12.85546875" customWidth="1"/>
  </cols>
  <sheetData>
    <row r="1" spans="1:11" x14ac:dyDescent="0.2">
      <c r="A1" s="162" t="s">
        <v>34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</row>
    <row r="2" spans="1:11" x14ac:dyDescent="0.2">
      <c r="B2" s="3"/>
      <c r="C2" s="3"/>
      <c r="D2" s="3"/>
      <c r="E2" s="3"/>
      <c r="F2" s="3"/>
      <c r="G2" s="3"/>
      <c r="H2" s="3"/>
      <c r="I2" s="3"/>
      <c r="K2" s="3" t="s">
        <v>32</v>
      </c>
    </row>
    <row r="3" spans="1:11" x14ac:dyDescent="0.2">
      <c r="A3" t="s">
        <v>199</v>
      </c>
    </row>
    <row r="4" spans="1:11" x14ac:dyDescent="0.2">
      <c r="A4" s="163" t="s">
        <v>30</v>
      </c>
      <c r="B4" s="164" t="s">
        <v>198</v>
      </c>
      <c r="C4" s="164"/>
      <c r="D4" s="164"/>
      <c r="E4" s="164"/>
      <c r="F4" s="164"/>
      <c r="G4" s="164"/>
      <c r="H4" s="164"/>
      <c r="I4" s="164"/>
      <c r="J4" s="164"/>
      <c r="K4" s="164"/>
    </row>
    <row r="5" spans="1:11" s="7" customFormat="1" ht="21.75" customHeight="1" x14ac:dyDescent="0.2">
      <c r="A5" s="163"/>
      <c r="B5" s="160" t="s">
        <v>158</v>
      </c>
      <c r="C5" s="160" t="s">
        <v>151</v>
      </c>
      <c r="D5" s="159" t="s">
        <v>152</v>
      </c>
      <c r="E5" s="159"/>
      <c r="F5" s="159"/>
      <c r="G5" s="159"/>
      <c r="H5" s="159"/>
      <c r="I5" s="159"/>
      <c r="J5" s="160" t="s">
        <v>153</v>
      </c>
      <c r="K5" s="160"/>
    </row>
    <row r="6" spans="1:11" s="7" customFormat="1" ht="23.25" customHeight="1" x14ac:dyDescent="0.2">
      <c r="A6" s="163"/>
      <c r="B6" s="160"/>
      <c r="C6" s="160"/>
      <c r="D6" s="159" t="s">
        <v>154</v>
      </c>
      <c r="E6" s="159"/>
      <c r="F6" s="159"/>
      <c r="G6" s="159" t="s">
        <v>155</v>
      </c>
      <c r="H6" s="159"/>
      <c r="I6" s="159"/>
      <c r="J6" s="160" t="s">
        <v>154</v>
      </c>
      <c r="K6" s="161" t="s">
        <v>155</v>
      </c>
    </row>
    <row r="7" spans="1:11" s="7" customFormat="1" ht="28.5" customHeight="1" x14ac:dyDescent="0.2">
      <c r="A7" s="163"/>
      <c r="B7" s="160"/>
      <c r="C7" s="160"/>
      <c r="D7" s="4" t="s">
        <v>41</v>
      </c>
      <c r="E7" s="4" t="s">
        <v>21</v>
      </c>
      <c r="F7" s="4" t="s">
        <v>156</v>
      </c>
      <c r="G7" s="4" t="s">
        <v>41</v>
      </c>
      <c r="H7" s="4" t="s">
        <v>21</v>
      </c>
      <c r="I7" s="4" t="s">
        <v>156</v>
      </c>
      <c r="J7" s="160"/>
      <c r="K7" s="161"/>
    </row>
    <row r="8" spans="1:11" s="6" customFormat="1" ht="20.45" customHeight="1" x14ac:dyDescent="0.2">
      <c r="A8" s="69" t="s">
        <v>0</v>
      </c>
      <c r="B8" s="70">
        <v>233.24751329421997</v>
      </c>
      <c r="C8" s="71">
        <v>0</v>
      </c>
      <c r="D8" s="70">
        <v>0</v>
      </c>
      <c r="E8" s="71"/>
      <c r="F8" s="70">
        <v>0</v>
      </c>
      <c r="G8" s="70">
        <v>0</v>
      </c>
      <c r="H8" s="71"/>
      <c r="I8" s="70">
        <v>0</v>
      </c>
      <c r="J8" s="70">
        <v>1133.2415666580216</v>
      </c>
      <c r="K8" s="70">
        <v>74.166860103607206</v>
      </c>
    </row>
    <row r="9" spans="1:11" s="6" customFormat="1" ht="20.45" customHeight="1" x14ac:dyDescent="0.2">
      <c r="A9" s="29" t="s">
        <v>1</v>
      </c>
      <c r="B9" s="51">
        <v>38741.917266607285</v>
      </c>
      <c r="C9" s="52">
        <v>1485.2521094622145</v>
      </c>
      <c r="D9" s="51">
        <v>12107.726700663567</v>
      </c>
      <c r="E9" s="52">
        <v>959.55932212446623</v>
      </c>
      <c r="F9" s="51">
        <v>344591.03677607008</v>
      </c>
      <c r="G9" s="51">
        <v>7809.6526026725769</v>
      </c>
      <c r="H9" s="52">
        <v>525.69278733775491</v>
      </c>
      <c r="I9" s="51">
        <v>240046.7997467494</v>
      </c>
      <c r="J9" s="51">
        <v>77102.27150774085</v>
      </c>
      <c r="K9" s="51">
        <v>86358.851176617653</v>
      </c>
    </row>
    <row r="10" spans="1:11" ht="20.45" customHeight="1" x14ac:dyDescent="0.2">
      <c r="A10" s="30" t="s">
        <v>2</v>
      </c>
      <c r="B10" s="53">
        <v>968.22724008560181</v>
      </c>
      <c r="C10" s="54">
        <v>2.0846737672370077</v>
      </c>
      <c r="D10" s="53">
        <v>147.51706695556641</v>
      </c>
      <c r="E10" s="54">
        <v>1.5057648614017169</v>
      </c>
      <c r="F10" s="53">
        <v>1019.5574350357037</v>
      </c>
      <c r="G10" s="53">
        <v>63.714840888977051</v>
      </c>
      <c r="H10" s="54">
        <v>0.57890890583528476</v>
      </c>
      <c r="I10" s="53">
        <v>1791.1844174861872</v>
      </c>
      <c r="J10" s="53">
        <v>740.84892988204956</v>
      </c>
      <c r="K10" s="53">
        <v>2965.7805633545013</v>
      </c>
    </row>
    <row r="11" spans="1:11" ht="20.45" customHeight="1" x14ac:dyDescent="0.2">
      <c r="A11" s="30" t="s">
        <v>3</v>
      </c>
      <c r="B11" s="53">
        <v>3307.2132229804993</v>
      </c>
      <c r="C11" s="54">
        <v>16.278544798693492</v>
      </c>
      <c r="D11" s="53">
        <v>456.43923759460449</v>
      </c>
      <c r="E11" s="54">
        <v>8.1878934621446149</v>
      </c>
      <c r="F11" s="53">
        <v>3543.6292662620413</v>
      </c>
      <c r="G11" s="53">
        <v>383.76904964447021</v>
      </c>
      <c r="H11" s="54">
        <v>8.0906513365487527</v>
      </c>
      <c r="I11" s="53">
        <v>5260.6862192153949</v>
      </c>
      <c r="J11" s="53">
        <v>9998.7060561180424</v>
      </c>
      <c r="K11" s="53">
        <v>5749.2840504646165</v>
      </c>
    </row>
    <row r="12" spans="1:11" ht="20.45" customHeight="1" x14ac:dyDescent="0.2">
      <c r="A12" s="30" t="s">
        <v>4</v>
      </c>
      <c r="B12" s="53">
        <v>12320.479143619537</v>
      </c>
      <c r="C12" s="54">
        <v>158.05430386190244</v>
      </c>
      <c r="D12" s="53">
        <v>3013.4794082641602</v>
      </c>
      <c r="E12" s="54">
        <v>91.866353336757541</v>
      </c>
      <c r="F12" s="53">
        <v>48824.166013241178</v>
      </c>
      <c r="G12" s="53">
        <v>2110.5285115242004</v>
      </c>
      <c r="H12" s="54">
        <v>66.187950525144842</v>
      </c>
      <c r="I12" s="53">
        <v>55456.694878578557</v>
      </c>
      <c r="J12" s="53">
        <v>20916.567254066154</v>
      </c>
      <c r="K12" s="53">
        <v>24567.162093639487</v>
      </c>
    </row>
    <row r="13" spans="1:11" ht="20.45" customHeight="1" x14ac:dyDescent="0.2">
      <c r="A13" s="30" t="s">
        <v>5</v>
      </c>
      <c r="B13" s="53">
        <v>11162.107215642929</v>
      </c>
      <c r="C13" s="54">
        <v>347.37290486251288</v>
      </c>
      <c r="D13" s="53">
        <v>3590.6586104631424</v>
      </c>
      <c r="E13" s="54">
        <v>203.02468325087881</v>
      </c>
      <c r="F13" s="53">
        <v>83564.271417856988</v>
      </c>
      <c r="G13" s="53">
        <v>2564.9355397224426</v>
      </c>
      <c r="H13" s="54">
        <v>144.34822161163592</v>
      </c>
      <c r="I13" s="53">
        <v>62362.378668307945</v>
      </c>
      <c r="J13" s="53">
        <v>23258.802621483774</v>
      </c>
      <c r="K13" s="53">
        <v>25779.023194551279</v>
      </c>
    </row>
    <row r="14" spans="1:11" ht="20.45" customHeight="1" x14ac:dyDescent="0.2">
      <c r="A14" s="30" t="s">
        <v>6</v>
      </c>
      <c r="B14" s="53">
        <v>8055.7507038116455</v>
      </c>
      <c r="C14" s="54">
        <v>465.29015205269178</v>
      </c>
      <c r="D14" s="53">
        <v>3407.2682058811188</v>
      </c>
      <c r="E14" s="54">
        <v>309.58348149497419</v>
      </c>
      <c r="F14" s="53">
        <v>127489.9093511114</v>
      </c>
      <c r="G14" s="53">
        <v>1914.6816520690918</v>
      </c>
      <c r="H14" s="54">
        <v>155.70667055771969</v>
      </c>
      <c r="I14" s="53">
        <v>75631.832532881977</v>
      </c>
      <c r="J14" s="53">
        <v>15871.265888571867</v>
      </c>
      <c r="K14" s="53">
        <v>17453.860301613855</v>
      </c>
    </row>
    <row r="15" spans="1:11" ht="20.45" customHeight="1" x14ac:dyDescent="0.2">
      <c r="A15" s="30" t="s">
        <v>7</v>
      </c>
      <c r="B15" s="53">
        <v>1797.3952260017395</v>
      </c>
      <c r="C15" s="54">
        <v>172.41035052964412</v>
      </c>
      <c r="D15" s="53">
        <v>898.81877136230469</v>
      </c>
      <c r="E15" s="54">
        <v>119.25177384104541</v>
      </c>
      <c r="F15" s="53">
        <v>22296.226431369712</v>
      </c>
      <c r="G15" s="53">
        <v>401.59860610961914</v>
      </c>
      <c r="H15" s="54">
        <v>53.158576688599119</v>
      </c>
      <c r="I15" s="53">
        <v>16836.555516719854</v>
      </c>
      <c r="J15" s="53">
        <v>3581.8571429252679</v>
      </c>
      <c r="K15" s="53">
        <v>5067.1440968513407</v>
      </c>
    </row>
    <row r="16" spans="1:11" ht="20.45" customHeight="1" x14ac:dyDescent="0.2">
      <c r="A16" s="30" t="s">
        <v>8</v>
      </c>
      <c r="B16" s="53">
        <v>655.30151081085205</v>
      </c>
      <c r="C16" s="54">
        <v>101.7421346384818</v>
      </c>
      <c r="D16" s="53">
        <v>300.4984302520752</v>
      </c>
      <c r="E16" s="54">
        <v>48.401285324797016</v>
      </c>
      <c r="F16" s="53">
        <v>12142.339934825919</v>
      </c>
      <c r="G16" s="53">
        <v>225.51532363891602</v>
      </c>
      <c r="H16" s="54">
        <v>53.340849313684686</v>
      </c>
      <c r="I16" s="53">
        <v>15352.457602977769</v>
      </c>
      <c r="J16" s="53">
        <v>1576.8935995101951</v>
      </c>
      <c r="K16" s="53">
        <v>3843.7913899421633</v>
      </c>
    </row>
    <row r="17" spans="1:11" ht="20.45" customHeight="1" x14ac:dyDescent="0.2">
      <c r="A17" s="30" t="s">
        <v>9</v>
      </c>
      <c r="B17" s="53">
        <v>282.7343897819519</v>
      </c>
      <c r="C17" s="54">
        <v>86.51335428515506</v>
      </c>
      <c r="D17" s="53">
        <v>143.24263858795166</v>
      </c>
      <c r="E17" s="54">
        <v>69.681317982645368</v>
      </c>
      <c r="F17" s="53">
        <v>30516.247463703148</v>
      </c>
      <c r="G17" s="53">
        <v>79.147226333618164</v>
      </c>
      <c r="H17" s="54">
        <v>16.832036302509675</v>
      </c>
      <c r="I17" s="53">
        <v>3669.5692925453177</v>
      </c>
      <c r="J17" s="53">
        <v>1056.5495004653924</v>
      </c>
      <c r="K17" s="53">
        <v>295.05162954330433</v>
      </c>
    </row>
    <row r="18" spans="1:11" ht="20.45" customHeight="1" x14ac:dyDescent="0.2">
      <c r="A18" s="30" t="s">
        <v>10</v>
      </c>
      <c r="B18" s="53">
        <v>175.31041288375854</v>
      </c>
      <c r="C18" s="54">
        <v>46.290194670093314</v>
      </c>
      <c r="D18" s="53">
        <v>132.40613031387329</v>
      </c>
      <c r="E18" s="54">
        <v>36.766465760191906</v>
      </c>
      <c r="F18" s="53">
        <v>5766.7815833091763</v>
      </c>
      <c r="G18" s="53">
        <v>49.361959457397461</v>
      </c>
      <c r="H18" s="54">
        <v>9.5237289099014237</v>
      </c>
      <c r="I18" s="53">
        <v>1780.555156707763</v>
      </c>
      <c r="J18" s="53">
        <v>100.78051471710197</v>
      </c>
      <c r="K18" s="53">
        <v>637.75385665893521</v>
      </c>
    </row>
    <row r="19" spans="1:11" ht="20.45" customHeight="1" x14ac:dyDescent="0.2">
      <c r="A19" s="30" t="s">
        <v>11</v>
      </c>
      <c r="B19" s="53">
        <v>17.398200988769531</v>
      </c>
      <c r="C19" s="54">
        <v>89.215495995803707</v>
      </c>
      <c r="D19" s="53">
        <v>17.398200988769531</v>
      </c>
      <c r="E19" s="54">
        <v>71.290302809628244</v>
      </c>
      <c r="F19" s="53">
        <v>9427.9078793525696</v>
      </c>
      <c r="G19" s="53">
        <v>16.399893283843994</v>
      </c>
      <c r="H19" s="54">
        <v>17.925193186175456</v>
      </c>
      <c r="I19" s="53">
        <v>1904.8854613304138</v>
      </c>
      <c r="J19" s="53">
        <v>0</v>
      </c>
      <c r="K19" s="53">
        <v>0</v>
      </c>
    </row>
    <row r="20" spans="1:11" s="6" customFormat="1" ht="20.45" customHeight="1" x14ac:dyDescent="0.2">
      <c r="A20" s="31" t="s">
        <v>12</v>
      </c>
      <c r="B20" s="25">
        <f>B8+B9</f>
        <v>38975.164779901505</v>
      </c>
      <c r="C20" s="26">
        <f t="shared" ref="C20:K20" si="0">C8+C9</f>
        <v>1485.2521094622145</v>
      </c>
      <c r="D20" s="25">
        <f t="shared" si="0"/>
        <v>12107.726700663567</v>
      </c>
      <c r="E20" s="26">
        <f t="shared" si="0"/>
        <v>959.55932212446623</v>
      </c>
      <c r="F20" s="25">
        <f t="shared" si="0"/>
        <v>344591.03677607008</v>
      </c>
      <c r="G20" s="25">
        <f t="shared" si="0"/>
        <v>7809.6526026725769</v>
      </c>
      <c r="H20" s="26">
        <f t="shared" si="0"/>
        <v>525.69278733775491</v>
      </c>
      <c r="I20" s="25">
        <f t="shared" si="0"/>
        <v>240046.7997467494</v>
      </c>
      <c r="J20" s="25">
        <f t="shared" si="0"/>
        <v>78235.51307439887</v>
      </c>
      <c r="K20" s="25">
        <f t="shared" si="0"/>
        <v>86433.01803672126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892" priority="13" stopIfTrue="1" operator="equal">
      <formula>0</formula>
    </cfRule>
  </conditionalFormatting>
  <conditionalFormatting sqref="D8:D19">
    <cfRule type="cellIs" dxfId="891" priority="12" stopIfTrue="1" operator="equal">
      <formula>0</formula>
    </cfRule>
  </conditionalFormatting>
  <conditionalFormatting sqref="F8:F19">
    <cfRule type="cellIs" dxfId="890" priority="11" stopIfTrue="1" operator="equal">
      <formula>0</formula>
    </cfRule>
  </conditionalFormatting>
  <conditionalFormatting sqref="G8:G19">
    <cfRule type="cellIs" dxfId="889" priority="10" stopIfTrue="1" operator="equal">
      <formula>0</formula>
    </cfRule>
  </conditionalFormatting>
  <conditionalFormatting sqref="I8:I19">
    <cfRule type="cellIs" dxfId="888" priority="9" stopIfTrue="1" operator="equal">
      <formula>0</formula>
    </cfRule>
  </conditionalFormatting>
  <conditionalFormatting sqref="J8:J19">
    <cfRule type="cellIs" dxfId="887" priority="8" stopIfTrue="1" operator="equal">
      <formula>0</formula>
    </cfRule>
  </conditionalFormatting>
  <conditionalFormatting sqref="K8:K19">
    <cfRule type="cellIs" dxfId="886" priority="7" stopIfTrue="1" operator="equal">
      <formula>0</formula>
    </cfRule>
  </conditionalFormatting>
  <conditionalFormatting sqref="C20">
    <cfRule type="cellIs" dxfId="885" priority="6" stopIfTrue="1" operator="equal">
      <formula>0</formula>
    </cfRule>
  </conditionalFormatting>
  <conditionalFormatting sqref="C8:C19">
    <cfRule type="cellIs" dxfId="884" priority="5" stopIfTrue="1" operator="equal">
      <formula>0</formula>
    </cfRule>
  </conditionalFormatting>
  <conditionalFormatting sqref="E20">
    <cfRule type="cellIs" dxfId="883" priority="4" stopIfTrue="1" operator="equal">
      <formula>0</formula>
    </cfRule>
  </conditionalFormatting>
  <conditionalFormatting sqref="E8:E19">
    <cfRule type="cellIs" dxfId="882" priority="3" stopIfTrue="1" operator="equal">
      <formula>0</formula>
    </cfRule>
  </conditionalFormatting>
  <conditionalFormatting sqref="H20">
    <cfRule type="cellIs" dxfId="881" priority="2" stopIfTrue="1" operator="equal">
      <formula>0</formula>
    </cfRule>
  </conditionalFormatting>
  <conditionalFormatting sqref="H8:H19">
    <cfRule type="cellIs" dxfId="88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F6EE-1160-4717-A356-A5092F9F3D95}">
  <sheetPr>
    <tabColor rgb="FFFFFF00"/>
  </sheetPr>
  <dimension ref="A1:K20"/>
  <sheetViews>
    <sheetView zoomScale="76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8.140625" bestFit="1" customWidth="1"/>
    <col min="6" max="6" width="10.42578125" bestFit="1" customWidth="1"/>
    <col min="7" max="7" width="9" customWidth="1"/>
    <col min="8" max="8" width="8" customWidth="1"/>
    <col min="9" max="9" width="8.42578125" customWidth="1"/>
    <col min="10" max="10" width="11.42578125" customWidth="1"/>
    <col min="11" max="11" width="12.8554687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201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200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1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9"/>
      <c r="B7" s="126"/>
      <c r="C7" s="126"/>
      <c r="D7" s="33" t="s">
        <v>41</v>
      </c>
      <c r="E7" s="33" t="s">
        <v>21</v>
      </c>
      <c r="F7" s="33" t="s">
        <v>156</v>
      </c>
      <c r="G7" s="33" t="s">
        <v>41</v>
      </c>
      <c r="H7" s="33" t="s">
        <v>21</v>
      </c>
      <c r="I7" s="33" t="s">
        <v>156</v>
      </c>
      <c r="J7" s="126"/>
      <c r="K7" s="154"/>
    </row>
    <row r="8" spans="1:11" s="6" customFormat="1" ht="20.45" customHeight="1" x14ac:dyDescent="0.2">
      <c r="A8" s="69" t="s">
        <v>0</v>
      </c>
      <c r="B8" s="49">
        <v>1437.1974053382874</v>
      </c>
      <c r="C8" s="50">
        <v>0.26490081160704659</v>
      </c>
      <c r="D8" s="49">
        <v>20.82880973815918</v>
      </c>
      <c r="E8" s="50">
        <v>0.13245040580352366</v>
      </c>
      <c r="F8" s="49">
        <v>83.315238952636719</v>
      </c>
      <c r="G8" s="49">
        <v>20.82880973815918</v>
      </c>
      <c r="H8" s="50">
        <v>0.13245040580352366</v>
      </c>
      <c r="I8" s="49">
        <v>104.14404869079571</v>
      </c>
      <c r="J8" s="49">
        <v>1090.4848737716691</v>
      </c>
      <c r="K8" s="49">
        <v>1345.8339543342604</v>
      </c>
    </row>
    <row r="9" spans="1:11" s="6" customFormat="1" ht="20.45" customHeight="1" x14ac:dyDescent="0.2">
      <c r="A9" s="29" t="s">
        <v>1</v>
      </c>
      <c r="B9" s="51">
        <v>38675.009774923325</v>
      </c>
      <c r="C9" s="52">
        <v>470.60530949098126</v>
      </c>
      <c r="D9" s="51">
        <v>3981.872953414917</v>
      </c>
      <c r="E9" s="52">
        <v>150.81340561022429</v>
      </c>
      <c r="F9" s="51">
        <v>52850.860007286705</v>
      </c>
      <c r="G9" s="51">
        <v>5257.9229159355164</v>
      </c>
      <c r="H9" s="52">
        <v>319.79190388074403</v>
      </c>
      <c r="I9" s="51">
        <v>137959.05917405873</v>
      </c>
      <c r="J9" s="51">
        <v>37747.695049286209</v>
      </c>
      <c r="K9" s="51">
        <v>77111.602049590132</v>
      </c>
    </row>
    <row r="10" spans="1:11" ht="20.45" customHeight="1" x14ac:dyDescent="0.2">
      <c r="A10" s="30" t="s">
        <v>2</v>
      </c>
      <c r="B10" s="53">
        <v>4952.5635099411011</v>
      </c>
      <c r="C10" s="54">
        <v>4.8232440601965845</v>
      </c>
      <c r="D10" s="53">
        <v>304.66446399688721</v>
      </c>
      <c r="E10" s="54">
        <v>1.2750402009855126</v>
      </c>
      <c r="F10" s="53">
        <v>718.95636463165556</v>
      </c>
      <c r="G10" s="53">
        <v>298.56909084320068</v>
      </c>
      <c r="H10" s="54">
        <v>3.548203859211073</v>
      </c>
      <c r="I10" s="53">
        <v>2078.1653556823576</v>
      </c>
      <c r="J10" s="53">
        <v>3916.87447023391</v>
      </c>
      <c r="K10" s="53">
        <v>5679.8235702514503</v>
      </c>
    </row>
    <row r="11" spans="1:11" ht="20.45" customHeight="1" x14ac:dyDescent="0.2">
      <c r="A11" s="30" t="s">
        <v>3</v>
      </c>
      <c r="B11" s="53">
        <v>4386.2140216827383</v>
      </c>
      <c r="C11" s="54">
        <v>14.719741094838424</v>
      </c>
      <c r="D11" s="53">
        <v>465.93904781341553</v>
      </c>
      <c r="E11" s="54">
        <v>7.7528101068497639</v>
      </c>
      <c r="F11" s="53">
        <v>2032.1271510124304</v>
      </c>
      <c r="G11" s="53">
        <v>443.58448505401611</v>
      </c>
      <c r="H11" s="54">
        <v>6.9669309879885635</v>
      </c>
      <c r="I11" s="53">
        <v>2662.9178419113341</v>
      </c>
      <c r="J11" s="53">
        <v>2780.6907143592571</v>
      </c>
      <c r="K11" s="53">
        <v>6012.9329228401448</v>
      </c>
    </row>
    <row r="12" spans="1:11" ht="20.45" customHeight="1" x14ac:dyDescent="0.2">
      <c r="A12" s="30" t="s">
        <v>4</v>
      </c>
      <c r="B12" s="53">
        <v>10839.40637755394</v>
      </c>
      <c r="C12" s="54">
        <v>68.931594197753455</v>
      </c>
      <c r="D12" s="53">
        <v>1145.3313431739807</v>
      </c>
      <c r="E12" s="54">
        <v>24.991739004874059</v>
      </c>
      <c r="F12" s="53">
        <v>10819.145438671227</v>
      </c>
      <c r="G12" s="53">
        <v>1271.922025680542</v>
      </c>
      <c r="H12" s="54">
        <v>43.939855192878923</v>
      </c>
      <c r="I12" s="53">
        <v>32219.577871323156</v>
      </c>
      <c r="J12" s="53">
        <v>7611.4642348288962</v>
      </c>
      <c r="K12" s="53">
        <v>19043.052860498465</v>
      </c>
    </row>
    <row r="13" spans="1:11" ht="20.45" customHeight="1" x14ac:dyDescent="0.2">
      <c r="A13" s="30" t="s">
        <v>5</v>
      </c>
      <c r="B13" s="53">
        <v>9615.548198223114</v>
      </c>
      <c r="C13" s="54">
        <v>89.748595324154849</v>
      </c>
      <c r="D13" s="53">
        <v>859.10615730285645</v>
      </c>
      <c r="E13" s="54">
        <v>33.803155768220243</v>
      </c>
      <c r="F13" s="53">
        <v>11014.524519443699</v>
      </c>
      <c r="G13" s="53">
        <v>1336.854706287384</v>
      </c>
      <c r="H13" s="54">
        <v>55.945439555933845</v>
      </c>
      <c r="I13" s="53">
        <v>32869.35036659216</v>
      </c>
      <c r="J13" s="53">
        <v>9187.5115499496442</v>
      </c>
      <c r="K13" s="53">
        <v>20293.72268342978</v>
      </c>
    </row>
    <row r="14" spans="1:11" ht="20.45" customHeight="1" x14ac:dyDescent="0.2">
      <c r="A14" s="30" t="s">
        <v>6</v>
      </c>
      <c r="B14" s="53">
        <v>6736.1701331138611</v>
      </c>
      <c r="C14" s="54">
        <v>123.56444260895806</v>
      </c>
      <c r="D14" s="53">
        <v>785.31292152404785</v>
      </c>
      <c r="E14" s="54">
        <v>37.870733583378687</v>
      </c>
      <c r="F14" s="53">
        <v>14486.50952720643</v>
      </c>
      <c r="G14" s="53">
        <v>1360.6515250205994</v>
      </c>
      <c r="H14" s="54">
        <v>85.693709025579068</v>
      </c>
      <c r="I14" s="53">
        <v>44780.006492614812</v>
      </c>
      <c r="J14" s="53">
        <v>11093.157864570521</v>
      </c>
      <c r="K14" s="53">
        <v>19933.06616020211</v>
      </c>
    </row>
    <row r="15" spans="1:11" ht="20.45" customHeight="1" x14ac:dyDescent="0.2">
      <c r="A15" s="30" t="s">
        <v>7</v>
      </c>
      <c r="B15" s="53">
        <v>1436.4225273132324</v>
      </c>
      <c r="C15" s="54">
        <v>80.660888562017817</v>
      </c>
      <c r="D15" s="53">
        <v>293.24691390991211</v>
      </c>
      <c r="E15" s="54">
        <v>34.095450808082674</v>
      </c>
      <c r="F15" s="53">
        <v>12026.239565849288</v>
      </c>
      <c r="G15" s="53">
        <v>375.93710708618164</v>
      </c>
      <c r="H15" s="54">
        <v>46.565437753935043</v>
      </c>
      <c r="I15" s="53">
        <v>15305.440296649913</v>
      </c>
      <c r="J15" s="53">
        <v>1662.0508670806848</v>
      </c>
      <c r="K15" s="53">
        <v>3969.7781958580044</v>
      </c>
    </row>
    <row r="16" spans="1:11" ht="20.45" customHeight="1" x14ac:dyDescent="0.2">
      <c r="A16" s="30" t="s">
        <v>8</v>
      </c>
      <c r="B16" s="53">
        <v>439.83366680145264</v>
      </c>
      <c r="C16" s="54">
        <v>16.271012314512596</v>
      </c>
      <c r="D16" s="53">
        <v>93.947181224822998</v>
      </c>
      <c r="E16" s="54">
        <v>8.5911704583196631</v>
      </c>
      <c r="F16" s="53">
        <v>1473.0466384887716</v>
      </c>
      <c r="G16" s="53">
        <v>50.730802059173584</v>
      </c>
      <c r="H16" s="54">
        <v>7.6798418561929447</v>
      </c>
      <c r="I16" s="53">
        <v>3258.0087342262295</v>
      </c>
      <c r="J16" s="53">
        <v>988.52468872070494</v>
      </c>
      <c r="K16" s="53">
        <v>1666.0799641609201</v>
      </c>
    </row>
    <row r="17" spans="1:11" ht="20.45" customHeight="1" x14ac:dyDescent="0.2">
      <c r="A17" s="30" t="s">
        <v>9</v>
      </c>
      <c r="B17" s="53">
        <v>123.61060380935669</v>
      </c>
      <c r="C17" s="54">
        <v>7.3739024853181867</v>
      </c>
      <c r="D17" s="53">
        <v>8.6757602691650391</v>
      </c>
      <c r="E17" s="54">
        <v>0.21184959244291884</v>
      </c>
      <c r="F17" s="53">
        <v>43.378801345825188</v>
      </c>
      <c r="G17" s="53">
        <v>51.464273452758789</v>
      </c>
      <c r="H17" s="54">
        <v>7.1620528928752547</v>
      </c>
      <c r="I17" s="53">
        <v>2121.757471561431</v>
      </c>
      <c r="J17" s="53">
        <v>59.01613426208494</v>
      </c>
      <c r="K17" s="53">
        <v>304.38835096359264</v>
      </c>
    </row>
    <row r="18" spans="1:11" ht="20.45" customHeight="1" x14ac:dyDescent="0.2">
      <c r="A18" s="30" t="s">
        <v>10</v>
      </c>
      <c r="B18" s="53">
        <v>130.04966306686399</v>
      </c>
      <c r="C18" s="54">
        <v>64.511888843219921</v>
      </c>
      <c r="D18" s="53">
        <v>25.649164199829102</v>
      </c>
      <c r="E18" s="54">
        <v>2.2214560870707944</v>
      </c>
      <c r="F18" s="53">
        <v>236.93200063705407</v>
      </c>
      <c r="G18" s="53">
        <v>68.208900451660156</v>
      </c>
      <c r="H18" s="54">
        <v>62.290432756149137</v>
      </c>
      <c r="I18" s="53">
        <v>2663.8347434997586</v>
      </c>
      <c r="J18" s="53">
        <v>448.40452527999855</v>
      </c>
      <c r="K18" s="53">
        <v>117.61090087890619</v>
      </c>
    </row>
    <row r="19" spans="1:11" ht="20.45" customHeight="1" x14ac:dyDescent="0.2">
      <c r="A19" s="30" t="s">
        <v>11</v>
      </c>
      <c r="B19" s="53">
        <v>15.191073417663574</v>
      </c>
      <c r="C19" s="54">
        <v>0</v>
      </c>
      <c r="D19" s="53">
        <v>0</v>
      </c>
      <c r="E19" s="54"/>
      <c r="F19" s="53">
        <v>0</v>
      </c>
      <c r="G19" s="53">
        <v>0</v>
      </c>
      <c r="H19" s="54"/>
      <c r="I19" s="53">
        <v>0</v>
      </c>
      <c r="J19" s="53">
        <v>0</v>
      </c>
      <c r="K19" s="53">
        <v>91.14644050598136</v>
      </c>
    </row>
    <row r="20" spans="1:11" s="6" customFormat="1" ht="20.45" customHeight="1" x14ac:dyDescent="0.2">
      <c r="A20" s="31" t="s">
        <v>12</v>
      </c>
      <c r="B20" s="25">
        <f>B8+B9</f>
        <v>40112.207180261612</v>
      </c>
      <c r="C20" s="26">
        <f t="shared" ref="C20:K20" si="0">C8+C9</f>
        <v>470.8702103025883</v>
      </c>
      <c r="D20" s="25">
        <f t="shared" si="0"/>
        <v>4002.7017631530762</v>
      </c>
      <c r="E20" s="26">
        <f t="shared" si="0"/>
        <v>150.94585601602782</v>
      </c>
      <c r="F20" s="25">
        <f t="shared" si="0"/>
        <v>52934.175246239342</v>
      </c>
      <c r="G20" s="25">
        <f t="shared" si="0"/>
        <v>5278.7517256736755</v>
      </c>
      <c r="H20" s="26">
        <f t="shared" si="0"/>
        <v>319.92435428654755</v>
      </c>
      <c r="I20" s="25">
        <f t="shared" si="0"/>
        <v>138063.20322274952</v>
      </c>
      <c r="J20" s="25">
        <f t="shared" si="0"/>
        <v>38838.179923057876</v>
      </c>
      <c r="K20" s="25">
        <f t="shared" si="0"/>
        <v>78457.436003924391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879" priority="13" stopIfTrue="1" operator="equal">
      <formula>0</formula>
    </cfRule>
  </conditionalFormatting>
  <conditionalFormatting sqref="D8:D19">
    <cfRule type="cellIs" dxfId="878" priority="12" stopIfTrue="1" operator="equal">
      <formula>0</formula>
    </cfRule>
  </conditionalFormatting>
  <conditionalFormatting sqref="F8:F19">
    <cfRule type="cellIs" dxfId="877" priority="11" stopIfTrue="1" operator="equal">
      <formula>0</formula>
    </cfRule>
  </conditionalFormatting>
  <conditionalFormatting sqref="G8:G19">
    <cfRule type="cellIs" dxfId="876" priority="10" stopIfTrue="1" operator="equal">
      <formula>0</formula>
    </cfRule>
  </conditionalFormatting>
  <conditionalFormatting sqref="I8:I19">
    <cfRule type="cellIs" dxfId="875" priority="9" stopIfTrue="1" operator="equal">
      <formula>0</formula>
    </cfRule>
  </conditionalFormatting>
  <conditionalFormatting sqref="J8:J19">
    <cfRule type="cellIs" dxfId="874" priority="8" stopIfTrue="1" operator="equal">
      <formula>0</formula>
    </cfRule>
  </conditionalFormatting>
  <conditionalFormatting sqref="K8:K19">
    <cfRule type="cellIs" dxfId="873" priority="7" stopIfTrue="1" operator="equal">
      <formula>0</formula>
    </cfRule>
  </conditionalFormatting>
  <conditionalFormatting sqref="C20">
    <cfRule type="cellIs" dxfId="872" priority="6" stopIfTrue="1" operator="equal">
      <formula>0</formula>
    </cfRule>
  </conditionalFormatting>
  <conditionalFormatting sqref="C8:C19">
    <cfRule type="cellIs" dxfId="871" priority="5" stopIfTrue="1" operator="equal">
      <formula>0</formula>
    </cfRule>
  </conditionalFormatting>
  <conditionalFormatting sqref="E20">
    <cfRule type="cellIs" dxfId="870" priority="4" stopIfTrue="1" operator="equal">
      <formula>0</formula>
    </cfRule>
  </conditionalFormatting>
  <conditionalFormatting sqref="E8:E19">
    <cfRule type="cellIs" dxfId="869" priority="3" stopIfTrue="1" operator="equal">
      <formula>0</formula>
    </cfRule>
  </conditionalFormatting>
  <conditionalFormatting sqref="H20">
    <cfRule type="cellIs" dxfId="868" priority="2" stopIfTrue="1" operator="equal">
      <formula>0</formula>
    </cfRule>
  </conditionalFormatting>
  <conditionalFormatting sqref="H8:H19">
    <cfRule type="cellIs" dxfId="86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C21B-94E6-4A7E-932C-7A4F08DDDAAD}">
  <sheetPr>
    <tabColor rgb="FFFFFF00"/>
  </sheetPr>
  <dimension ref="A1:K20"/>
  <sheetViews>
    <sheetView zoomScale="106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8.140625" bestFit="1" customWidth="1"/>
    <col min="6" max="6" width="10.42578125" bestFit="1" customWidth="1"/>
    <col min="7" max="7" width="9" customWidth="1"/>
    <col min="8" max="8" width="8" customWidth="1"/>
    <col min="9" max="9" width="8.42578125" customWidth="1"/>
    <col min="10" max="10" width="11.42578125" customWidth="1"/>
    <col min="11" max="11" width="12.8554687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203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202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1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70">
        <v>788.88604259490967</v>
      </c>
      <c r="C8" s="71">
        <v>2.3606568045696923E-2</v>
      </c>
      <c r="D8" s="70">
        <v>33.362866401672363</v>
      </c>
      <c r="E8" s="71">
        <v>2.3606568045696889E-2</v>
      </c>
      <c r="F8" s="70">
        <v>54.191676139831486</v>
      </c>
      <c r="G8" s="70">
        <v>0</v>
      </c>
      <c r="H8" s="71"/>
      <c r="I8" s="70">
        <v>0</v>
      </c>
      <c r="J8" s="70">
        <v>1586.8372812271125</v>
      </c>
      <c r="K8" s="70">
        <v>34.480346679687571</v>
      </c>
    </row>
    <row r="9" spans="1:11" s="6" customFormat="1" ht="20.45" customHeight="1" x14ac:dyDescent="0.2">
      <c r="A9" s="29" t="s">
        <v>1</v>
      </c>
      <c r="B9" s="51">
        <v>99433.720339179039</v>
      </c>
      <c r="C9" s="52">
        <v>125.74042347920513</v>
      </c>
      <c r="D9" s="51">
        <v>8874.2274024486542</v>
      </c>
      <c r="E9" s="52">
        <v>92.400205296955917</v>
      </c>
      <c r="F9" s="51">
        <v>80448.969245670378</v>
      </c>
      <c r="G9" s="51">
        <v>1821.7146281003952</v>
      </c>
      <c r="H9" s="52">
        <v>33.340218182249096</v>
      </c>
      <c r="I9" s="51">
        <v>17772.176245689177</v>
      </c>
      <c r="J9" s="51">
        <v>145804.32839596379</v>
      </c>
      <c r="K9" s="51">
        <v>42726.703635690734</v>
      </c>
    </row>
    <row r="10" spans="1:11" ht="20.45" customHeight="1" x14ac:dyDescent="0.2">
      <c r="A10" s="30" t="s">
        <v>2</v>
      </c>
      <c r="B10" s="53">
        <v>4882.9954805374146</v>
      </c>
      <c r="C10" s="54">
        <v>1.621591206392418</v>
      </c>
      <c r="D10" s="53">
        <v>272.16233062744141</v>
      </c>
      <c r="E10" s="54">
        <v>1.2517690584668442</v>
      </c>
      <c r="F10" s="53">
        <v>2336.7399735450704</v>
      </c>
      <c r="G10" s="53">
        <v>131.70533180236816</v>
      </c>
      <c r="H10" s="54">
        <v>0.36982214792557144</v>
      </c>
      <c r="I10" s="53">
        <v>1985.8951978683438</v>
      </c>
      <c r="J10" s="53">
        <v>5996.9320852756</v>
      </c>
      <c r="K10" s="53">
        <v>1911.5966358184864</v>
      </c>
    </row>
    <row r="11" spans="1:11" ht="20.45" customHeight="1" x14ac:dyDescent="0.2">
      <c r="A11" s="30" t="s">
        <v>3</v>
      </c>
      <c r="B11" s="53">
        <v>13817.27635216713</v>
      </c>
      <c r="C11" s="54">
        <v>7.559583612913233</v>
      </c>
      <c r="D11" s="53">
        <v>1013.7808904647827</v>
      </c>
      <c r="E11" s="54">
        <v>6.7332996852057638</v>
      </c>
      <c r="F11" s="53">
        <v>4052.0295591354534</v>
      </c>
      <c r="G11" s="53">
        <v>139.83618402481079</v>
      </c>
      <c r="H11" s="54">
        <v>0.82628392770746228</v>
      </c>
      <c r="I11" s="53">
        <v>571.34828042984043</v>
      </c>
      <c r="J11" s="53">
        <v>18956.122522115755</v>
      </c>
      <c r="K11" s="53">
        <v>7289.1087179183778</v>
      </c>
    </row>
    <row r="12" spans="1:11" ht="20.45" customHeight="1" x14ac:dyDescent="0.2">
      <c r="A12" s="30" t="s">
        <v>4</v>
      </c>
      <c r="B12" s="53">
        <v>37154.269145607948</v>
      </c>
      <c r="C12" s="54">
        <v>32.679388120806465</v>
      </c>
      <c r="D12" s="53">
        <v>3388.4090962409973</v>
      </c>
      <c r="E12" s="54">
        <v>23.956270605052325</v>
      </c>
      <c r="F12" s="53">
        <v>17780.646433353413</v>
      </c>
      <c r="G12" s="53">
        <v>547.69842958450317</v>
      </c>
      <c r="H12" s="54">
        <v>8.7231175157542538</v>
      </c>
      <c r="I12" s="53">
        <v>4414.959831714631</v>
      </c>
      <c r="J12" s="53">
        <v>52742.157188772981</v>
      </c>
      <c r="K12" s="53">
        <v>14728.799415707635</v>
      </c>
    </row>
    <row r="13" spans="1:11" ht="20.45" customHeight="1" x14ac:dyDescent="0.2">
      <c r="A13" s="30" t="s">
        <v>5</v>
      </c>
      <c r="B13" s="53">
        <v>27045.46346950531</v>
      </c>
      <c r="C13" s="54">
        <v>47.426116602067403</v>
      </c>
      <c r="D13" s="53">
        <v>2557.1205617189407</v>
      </c>
      <c r="E13" s="54">
        <v>33.495716572965499</v>
      </c>
      <c r="F13" s="53">
        <v>46543.098981380441</v>
      </c>
      <c r="G13" s="53">
        <v>596.18834173679352</v>
      </c>
      <c r="H13" s="54">
        <v>13.930400029101955</v>
      </c>
      <c r="I13" s="53">
        <v>4167.3554151058097</v>
      </c>
      <c r="J13" s="53">
        <v>41867.274775027741</v>
      </c>
      <c r="K13" s="53">
        <v>11576.083093166399</v>
      </c>
    </row>
    <row r="14" spans="1:11" ht="20.45" customHeight="1" x14ac:dyDescent="0.2">
      <c r="A14" s="30" t="s">
        <v>6</v>
      </c>
      <c r="B14" s="53">
        <v>13395.398390769958</v>
      </c>
      <c r="C14" s="54">
        <v>25.558620402622392</v>
      </c>
      <c r="D14" s="53">
        <v>1410.9750099182129</v>
      </c>
      <c r="E14" s="54">
        <v>17.568202213590055</v>
      </c>
      <c r="F14" s="53">
        <v>8245.8878989219484</v>
      </c>
      <c r="G14" s="53">
        <v>353.01396727561951</v>
      </c>
      <c r="H14" s="54">
        <v>7.9904181890323454</v>
      </c>
      <c r="I14" s="53">
        <v>6428.5446717739487</v>
      </c>
      <c r="J14" s="53">
        <v>20945.219050646047</v>
      </c>
      <c r="K14" s="53">
        <v>4887.1615724563435</v>
      </c>
    </row>
    <row r="15" spans="1:11" ht="20.45" customHeight="1" x14ac:dyDescent="0.2">
      <c r="A15" s="30" t="s">
        <v>7</v>
      </c>
      <c r="B15" s="53">
        <v>2333.714463353157</v>
      </c>
      <c r="C15" s="54">
        <v>10.095688764524198</v>
      </c>
      <c r="D15" s="53">
        <v>205.05850517749786</v>
      </c>
      <c r="E15" s="54">
        <v>8.595512391796623</v>
      </c>
      <c r="F15" s="53">
        <v>1339.1033866405528</v>
      </c>
      <c r="G15" s="53">
        <v>53.272373676300049</v>
      </c>
      <c r="H15" s="54">
        <v>1.5001763727275104</v>
      </c>
      <c r="I15" s="53">
        <v>204.07284879684426</v>
      </c>
      <c r="J15" s="53">
        <v>3911.2917237281804</v>
      </c>
      <c r="K15" s="53">
        <v>1927.0478863716082</v>
      </c>
    </row>
    <row r="16" spans="1:11" ht="20.45" customHeight="1" x14ac:dyDescent="0.2">
      <c r="A16" s="30" t="s">
        <v>8</v>
      </c>
      <c r="B16" s="53">
        <v>523.21868360042572</v>
      </c>
      <c r="C16" s="54">
        <v>0.10912216186173682</v>
      </c>
      <c r="D16" s="53">
        <v>20.992288589477539</v>
      </c>
      <c r="E16" s="54">
        <v>0.10912216186173677</v>
      </c>
      <c r="F16" s="53">
        <v>65.532217025756808</v>
      </c>
      <c r="G16" s="53">
        <v>0</v>
      </c>
      <c r="H16" s="54"/>
      <c r="I16" s="53">
        <v>0</v>
      </c>
      <c r="J16" s="53">
        <v>1027.4708127975457</v>
      </c>
      <c r="K16" s="53">
        <v>272.50461184978377</v>
      </c>
    </row>
    <row r="17" spans="1:11" ht="20.45" customHeight="1" x14ac:dyDescent="0.2">
      <c r="A17" s="30" t="s">
        <v>9</v>
      </c>
      <c r="B17" s="53">
        <v>160.0500111579895</v>
      </c>
      <c r="C17" s="54">
        <v>0.33481119701746076</v>
      </c>
      <c r="D17" s="53">
        <v>4.7304120063781738</v>
      </c>
      <c r="E17" s="54">
        <v>0.33481119701746115</v>
      </c>
      <c r="F17" s="53">
        <v>70.956180095672622</v>
      </c>
      <c r="G17" s="53">
        <v>0</v>
      </c>
      <c r="H17" s="54"/>
      <c r="I17" s="53">
        <v>0</v>
      </c>
      <c r="J17" s="53">
        <v>204.10077810287473</v>
      </c>
      <c r="K17" s="53">
        <v>85.564897537231488</v>
      </c>
    </row>
    <row r="18" spans="1:11" ht="20.45" customHeight="1" x14ac:dyDescent="0.2">
      <c r="A18" s="30" t="s">
        <v>10</v>
      </c>
      <c r="B18" s="53">
        <v>112.35227155685425</v>
      </c>
      <c r="C18" s="54">
        <v>0</v>
      </c>
      <c r="D18" s="53">
        <v>0</v>
      </c>
      <c r="E18" s="54"/>
      <c r="F18" s="53">
        <v>0</v>
      </c>
      <c r="G18" s="53">
        <v>0</v>
      </c>
      <c r="H18" s="54"/>
      <c r="I18" s="53">
        <v>0</v>
      </c>
      <c r="J18" s="53">
        <v>113.84064340591424</v>
      </c>
      <c r="K18" s="53">
        <v>48.836804866790679</v>
      </c>
    </row>
    <row r="19" spans="1:11" ht="20.45" customHeight="1" x14ac:dyDescent="0.2">
      <c r="A19" s="30" t="s">
        <v>11</v>
      </c>
      <c r="B19" s="53">
        <v>8.9820709228515625</v>
      </c>
      <c r="C19" s="54">
        <v>0.35550141099965848</v>
      </c>
      <c r="D19" s="53">
        <v>0.99830770492553711</v>
      </c>
      <c r="E19" s="54">
        <v>0.35550141099965848</v>
      </c>
      <c r="F19" s="53">
        <v>14.974615573883064</v>
      </c>
      <c r="G19" s="53">
        <v>0</v>
      </c>
      <c r="H19" s="54"/>
      <c r="I19" s="53">
        <v>0</v>
      </c>
      <c r="J19" s="53">
        <v>39.918816089630106</v>
      </c>
      <c r="K19" s="53">
        <v>0</v>
      </c>
    </row>
    <row r="20" spans="1:11" s="6" customFormat="1" ht="20.45" customHeight="1" x14ac:dyDescent="0.2">
      <c r="A20" s="31" t="s">
        <v>12</v>
      </c>
      <c r="B20" s="25">
        <f>B8+B9</f>
        <v>100222.60638177395</v>
      </c>
      <c r="C20" s="26">
        <f t="shared" ref="C20:K20" si="0">C8+C9</f>
        <v>125.76403004725083</v>
      </c>
      <c r="D20" s="25">
        <f t="shared" si="0"/>
        <v>8907.5902688503265</v>
      </c>
      <c r="E20" s="26">
        <f t="shared" si="0"/>
        <v>92.42381186500161</v>
      </c>
      <c r="F20" s="25">
        <f t="shared" si="0"/>
        <v>80503.160921810209</v>
      </c>
      <c r="G20" s="25">
        <f t="shared" si="0"/>
        <v>1821.7146281003952</v>
      </c>
      <c r="H20" s="26">
        <f t="shared" si="0"/>
        <v>33.340218182249096</v>
      </c>
      <c r="I20" s="25">
        <f t="shared" si="0"/>
        <v>17772.176245689177</v>
      </c>
      <c r="J20" s="25">
        <f t="shared" si="0"/>
        <v>147391.1656771909</v>
      </c>
      <c r="K20" s="25">
        <f t="shared" si="0"/>
        <v>42761.183982370421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866" priority="13" stopIfTrue="1" operator="equal">
      <formula>0</formula>
    </cfRule>
  </conditionalFormatting>
  <conditionalFormatting sqref="D8:D19">
    <cfRule type="cellIs" dxfId="865" priority="12" stopIfTrue="1" operator="equal">
      <formula>0</formula>
    </cfRule>
  </conditionalFormatting>
  <conditionalFormatting sqref="F8:F19">
    <cfRule type="cellIs" dxfId="864" priority="11" stopIfTrue="1" operator="equal">
      <formula>0</formula>
    </cfRule>
  </conditionalFormatting>
  <conditionalFormatting sqref="G8:G19">
    <cfRule type="cellIs" dxfId="863" priority="10" stopIfTrue="1" operator="equal">
      <formula>0</formula>
    </cfRule>
  </conditionalFormatting>
  <conditionalFormatting sqref="I8:I19">
    <cfRule type="cellIs" dxfId="862" priority="9" stopIfTrue="1" operator="equal">
      <formula>0</formula>
    </cfRule>
  </conditionalFormatting>
  <conditionalFormatting sqref="J8:J19">
    <cfRule type="cellIs" dxfId="861" priority="8" stopIfTrue="1" operator="equal">
      <formula>0</formula>
    </cfRule>
  </conditionalFormatting>
  <conditionalFormatting sqref="K8:K19">
    <cfRule type="cellIs" dxfId="860" priority="7" stopIfTrue="1" operator="equal">
      <formula>0</formula>
    </cfRule>
  </conditionalFormatting>
  <conditionalFormatting sqref="C20">
    <cfRule type="cellIs" dxfId="859" priority="6" stopIfTrue="1" operator="equal">
      <formula>0</formula>
    </cfRule>
  </conditionalFormatting>
  <conditionalFormatting sqref="C8:C19">
    <cfRule type="cellIs" dxfId="858" priority="5" stopIfTrue="1" operator="equal">
      <formula>0</formula>
    </cfRule>
  </conditionalFormatting>
  <conditionalFormatting sqref="E20">
    <cfRule type="cellIs" dxfId="857" priority="4" stopIfTrue="1" operator="equal">
      <formula>0</formula>
    </cfRule>
  </conditionalFormatting>
  <conditionalFormatting sqref="E8:E19">
    <cfRule type="cellIs" dxfId="856" priority="3" stopIfTrue="1" operator="equal">
      <formula>0</formula>
    </cfRule>
  </conditionalFormatting>
  <conditionalFormatting sqref="H20">
    <cfRule type="cellIs" dxfId="855" priority="2" stopIfTrue="1" operator="equal">
      <formula>0</formula>
    </cfRule>
  </conditionalFormatting>
  <conditionalFormatting sqref="H8:H19">
    <cfRule type="cellIs" dxfId="85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4455-AB19-4AD1-BBBF-164B64191314}">
  <dimension ref="A1:K20"/>
  <sheetViews>
    <sheetView zoomScale="98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9.42578125" customWidth="1"/>
    <col min="3" max="3" width="11.42578125" customWidth="1"/>
    <col min="4" max="4" width="8.5703125" customWidth="1"/>
    <col min="5" max="5" width="8.140625" bestFit="1" customWidth="1"/>
    <col min="6" max="6" width="10.42578125" bestFit="1" customWidth="1"/>
    <col min="7" max="7" width="9" customWidth="1"/>
    <col min="8" max="8" width="8" customWidth="1"/>
    <col min="9" max="9" width="8.42578125" customWidth="1"/>
    <col min="10" max="10" width="11.42578125" customWidth="1"/>
    <col min="11" max="11" width="12.8554687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7"/>
      <c r="K2" s="28" t="s">
        <v>32</v>
      </c>
    </row>
    <row r="3" spans="1:11" x14ac:dyDescent="0.2">
      <c r="A3" s="27" t="s">
        <v>204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528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21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ht="23.25" customHeigh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70">
        <v>1847.3040375709534</v>
      </c>
      <c r="C8" s="71">
        <v>0.1370570746366695</v>
      </c>
      <c r="D8" s="70">
        <v>50.618112564086914</v>
      </c>
      <c r="E8" s="71">
        <v>0.13705707463666927</v>
      </c>
      <c r="F8" s="70">
        <v>101.23622512817386</v>
      </c>
      <c r="G8" s="70">
        <v>0</v>
      </c>
      <c r="H8" s="71"/>
      <c r="I8" s="70">
        <v>0</v>
      </c>
      <c r="J8" s="70">
        <v>2694.741319179539</v>
      </c>
      <c r="K8" s="70">
        <v>1404.6920771598814</v>
      </c>
    </row>
    <row r="9" spans="1:11" s="6" customFormat="1" ht="20.45" customHeight="1" x14ac:dyDescent="0.2">
      <c r="A9" s="29" t="s">
        <v>1</v>
      </c>
      <c r="B9" s="51">
        <v>128093.81258559227</v>
      </c>
      <c r="C9" s="52">
        <v>704.20517976827114</v>
      </c>
      <c r="D9" s="51">
        <v>11034.350918531418</v>
      </c>
      <c r="E9" s="52">
        <v>394.13867502254197</v>
      </c>
      <c r="F9" s="51">
        <v>201333.72795177042</v>
      </c>
      <c r="G9" s="51">
        <v>4838.1105675697327</v>
      </c>
      <c r="H9" s="52">
        <v>310.06650474573502</v>
      </c>
      <c r="I9" s="51">
        <v>247060.58702373016</v>
      </c>
      <c r="J9" s="51">
        <v>233441.28119444859</v>
      </c>
      <c r="K9" s="51">
        <v>155444.19777131127</v>
      </c>
    </row>
    <row r="10" spans="1:11" ht="20.45" customHeight="1" x14ac:dyDescent="0.2">
      <c r="A10" s="30" t="s">
        <v>2</v>
      </c>
      <c r="B10" s="53">
        <v>9531.387387752533</v>
      </c>
      <c r="C10" s="54">
        <v>5.257366689000575</v>
      </c>
      <c r="D10" s="53">
        <v>496.86936187744141</v>
      </c>
      <c r="E10" s="54">
        <v>3.3185486134230402</v>
      </c>
      <c r="F10" s="53">
        <v>3856.6242437362757</v>
      </c>
      <c r="G10" s="53">
        <v>199.93673515319824</v>
      </c>
      <c r="H10" s="54">
        <v>1.9388180755775244</v>
      </c>
      <c r="I10" s="53">
        <v>5319.8027076721373</v>
      </c>
      <c r="J10" s="53">
        <v>13568.38205289836</v>
      </c>
      <c r="K10" s="53">
        <v>6797.4967846870632</v>
      </c>
    </row>
    <row r="11" spans="1:11" ht="20.45" customHeight="1" x14ac:dyDescent="0.2">
      <c r="A11" s="30" t="s">
        <v>3</v>
      </c>
      <c r="B11" s="53">
        <v>16653.729920864105</v>
      </c>
      <c r="C11" s="54">
        <v>12.429347947277215</v>
      </c>
      <c r="D11" s="53">
        <v>1146.960054397583</v>
      </c>
      <c r="E11" s="54">
        <v>6.9573903836874003</v>
      </c>
      <c r="F11" s="53">
        <v>7202.2980079651034</v>
      </c>
      <c r="G11" s="53">
        <v>465.1600604057312</v>
      </c>
      <c r="H11" s="54">
        <v>5.4719575635897826</v>
      </c>
      <c r="I11" s="53">
        <v>3885.2466459274192</v>
      </c>
      <c r="J11" s="53">
        <v>27633.232866764036</v>
      </c>
      <c r="K11" s="53">
        <v>14661.105451583708</v>
      </c>
    </row>
    <row r="12" spans="1:11" ht="20.45" customHeight="1" x14ac:dyDescent="0.2">
      <c r="A12" s="30" t="s">
        <v>4</v>
      </c>
      <c r="B12" s="53">
        <v>41444.290153980248</v>
      </c>
      <c r="C12" s="54">
        <v>68.177181587819405</v>
      </c>
      <c r="D12" s="53">
        <v>3259.5825514793396</v>
      </c>
      <c r="E12" s="54">
        <v>49.472239634146348</v>
      </c>
      <c r="F12" s="53">
        <v>41501.606601477157</v>
      </c>
      <c r="G12" s="53">
        <v>1430.3797225952148</v>
      </c>
      <c r="H12" s="54">
        <v>18.704941953673352</v>
      </c>
      <c r="I12" s="53">
        <v>18456.769319534327</v>
      </c>
      <c r="J12" s="53">
        <v>71444.149631501263</v>
      </c>
      <c r="K12" s="53">
        <v>47105.3709616661</v>
      </c>
    </row>
    <row r="13" spans="1:11" ht="20.45" customHeight="1" x14ac:dyDescent="0.2">
      <c r="A13" s="30" t="s">
        <v>5</v>
      </c>
      <c r="B13" s="53">
        <v>34755.187002420425</v>
      </c>
      <c r="C13" s="54">
        <v>107.12459605020969</v>
      </c>
      <c r="D13" s="53">
        <v>3113.3397159576416</v>
      </c>
      <c r="E13" s="54">
        <v>62.589771356723453</v>
      </c>
      <c r="F13" s="53">
        <v>49684.183102131043</v>
      </c>
      <c r="G13" s="53">
        <v>1388.4649887084961</v>
      </c>
      <c r="H13" s="54">
        <v>44.534824693487174</v>
      </c>
      <c r="I13" s="53">
        <v>75431.984300136523</v>
      </c>
      <c r="J13" s="53">
        <v>64906.949622630804</v>
      </c>
      <c r="K13" s="53">
        <v>44716.848212956822</v>
      </c>
    </row>
    <row r="14" spans="1:11" ht="20.45" customHeight="1" x14ac:dyDescent="0.2">
      <c r="A14" s="30" t="s">
        <v>6</v>
      </c>
      <c r="B14" s="53">
        <v>19666.845347881317</v>
      </c>
      <c r="C14" s="54">
        <v>131.68161410126424</v>
      </c>
      <c r="D14" s="53">
        <v>1990.1474974155426</v>
      </c>
      <c r="E14" s="54">
        <v>68.054012168432848</v>
      </c>
      <c r="F14" s="53">
        <v>43320.255713939667</v>
      </c>
      <c r="G14" s="53">
        <v>951.40476655960083</v>
      </c>
      <c r="H14" s="54">
        <v>63.627601932831347</v>
      </c>
      <c r="I14" s="53">
        <v>74959.865497588893</v>
      </c>
      <c r="J14" s="53">
        <v>42293.866625785893</v>
      </c>
      <c r="K14" s="53">
        <v>27028.477747201847</v>
      </c>
    </row>
    <row r="15" spans="1:11" ht="20.45" customHeight="1" x14ac:dyDescent="0.2">
      <c r="A15" s="30" t="s">
        <v>7</v>
      </c>
      <c r="B15" s="53">
        <v>3824.3493056297302</v>
      </c>
      <c r="C15" s="54">
        <v>52.284740667994697</v>
      </c>
      <c r="D15" s="53">
        <v>561.74923372268677</v>
      </c>
      <c r="E15" s="54">
        <v>24.823117911219839</v>
      </c>
      <c r="F15" s="53">
        <v>4458.7706298828225</v>
      </c>
      <c r="G15" s="53">
        <v>202.16954040527344</v>
      </c>
      <c r="H15" s="54">
        <v>27.461622756774858</v>
      </c>
      <c r="I15" s="53">
        <v>9793.2771730422955</v>
      </c>
      <c r="J15" s="53">
        <v>9066.1107192039472</v>
      </c>
      <c r="K15" s="53">
        <v>5653.607483863826</v>
      </c>
    </row>
    <row r="16" spans="1:11" ht="20.45" customHeight="1" x14ac:dyDescent="0.2">
      <c r="A16" s="30" t="s">
        <v>8</v>
      </c>
      <c r="B16" s="53">
        <v>1277.7095909118652</v>
      </c>
      <c r="C16" s="54">
        <v>39.370957918069628</v>
      </c>
      <c r="D16" s="53">
        <v>259.13114833831787</v>
      </c>
      <c r="E16" s="54">
        <v>18.439170117185373</v>
      </c>
      <c r="F16" s="53">
        <v>7968.1733360290573</v>
      </c>
      <c r="G16" s="53">
        <v>97.806632518768311</v>
      </c>
      <c r="H16" s="54">
        <v>20.931787800884283</v>
      </c>
      <c r="I16" s="53">
        <v>4803.5055766105597</v>
      </c>
      <c r="J16" s="53">
        <v>1819.3107147216808</v>
      </c>
      <c r="K16" s="53">
        <v>8587.9625115394538</v>
      </c>
    </row>
    <row r="17" spans="1:11" ht="20.45" customHeight="1" x14ac:dyDescent="0.2">
      <c r="A17" s="30" t="s">
        <v>9</v>
      </c>
      <c r="B17" s="53">
        <v>371.73539328575134</v>
      </c>
      <c r="C17" s="54">
        <v>7.2773556276194036</v>
      </c>
      <c r="D17" s="53">
        <v>56.971842288970947</v>
      </c>
      <c r="E17" s="54">
        <v>6.8001646373660849</v>
      </c>
      <c r="F17" s="53">
        <v>7487.968748092655</v>
      </c>
      <c r="G17" s="53">
        <v>33.510818481445313</v>
      </c>
      <c r="H17" s="54">
        <v>0.47719099025332351</v>
      </c>
      <c r="I17" s="53">
        <v>234.71445083618161</v>
      </c>
      <c r="J17" s="53">
        <v>697.9498362541201</v>
      </c>
      <c r="K17" s="53">
        <v>739.39480090141251</v>
      </c>
    </row>
    <row r="18" spans="1:11" ht="20.45" customHeight="1" x14ac:dyDescent="0.2">
      <c r="A18" s="30" t="s">
        <v>10</v>
      </c>
      <c r="B18" s="53">
        <v>487.10169148445129</v>
      </c>
      <c r="C18" s="54">
        <v>115.53806686633195</v>
      </c>
      <c r="D18" s="53">
        <v>112.45816707611084</v>
      </c>
      <c r="E18" s="54">
        <v>13.590568647054731</v>
      </c>
      <c r="F18" s="53">
        <v>2465.1314544677712</v>
      </c>
      <c r="G18" s="53">
        <v>56.452846527099609</v>
      </c>
      <c r="H18" s="54">
        <v>101.94749821927724</v>
      </c>
      <c r="I18" s="53">
        <v>2877.5964927673331</v>
      </c>
      <c r="J18" s="53">
        <v>651.07612919807457</v>
      </c>
      <c r="K18" s="53">
        <v>121.29398536682133</v>
      </c>
    </row>
    <row r="19" spans="1:11" ht="20.45" customHeight="1" x14ac:dyDescent="0.2">
      <c r="A19" s="30" t="s">
        <v>11</v>
      </c>
      <c r="B19" s="53">
        <v>81.476791381835938</v>
      </c>
      <c r="C19" s="54">
        <v>165.06395231268897</v>
      </c>
      <c r="D19" s="53">
        <v>37.141345977783203</v>
      </c>
      <c r="E19" s="54">
        <v>140.09369155330276</v>
      </c>
      <c r="F19" s="53">
        <v>33388.716114044197</v>
      </c>
      <c r="G19" s="53">
        <v>12.824456214904785</v>
      </c>
      <c r="H19" s="54">
        <v>24.970260759386179</v>
      </c>
      <c r="I19" s="53">
        <v>51297.824859619155</v>
      </c>
      <c r="J19" s="53">
        <v>1360.2529954910276</v>
      </c>
      <c r="K19" s="53">
        <v>32.639831542968757</v>
      </c>
    </row>
    <row r="20" spans="1:11" s="6" customFormat="1" ht="20.45" customHeight="1" x14ac:dyDescent="0.2">
      <c r="A20" s="31" t="s">
        <v>12</v>
      </c>
      <c r="B20" s="25">
        <f>B8+B9</f>
        <v>129941.11662316322</v>
      </c>
      <c r="C20" s="26">
        <f t="shared" ref="C20:K20" si="0">C8+C9</f>
        <v>704.34223684290782</v>
      </c>
      <c r="D20" s="25">
        <f t="shared" si="0"/>
        <v>11084.969031095505</v>
      </c>
      <c r="E20" s="26">
        <f t="shared" si="0"/>
        <v>394.27573209717866</v>
      </c>
      <c r="F20" s="25">
        <f t="shared" si="0"/>
        <v>201434.96417689859</v>
      </c>
      <c r="G20" s="25">
        <f t="shared" si="0"/>
        <v>4838.1105675697327</v>
      </c>
      <c r="H20" s="26">
        <f t="shared" si="0"/>
        <v>310.06650474573502</v>
      </c>
      <c r="I20" s="25">
        <f t="shared" si="0"/>
        <v>247060.58702373016</v>
      </c>
      <c r="J20" s="25">
        <f t="shared" si="0"/>
        <v>236136.02251362812</v>
      </c>
      <c r="K20" s="25">
        <f t="shared" si="0"/>
        <v>156848.88984847115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 D20 F20:G20 I20:K20">
    <cfRule type="cellIs" dxfId="853" priority="13" stopIfTrue="1" operator="equal">
      <formula>0</formula>
    </cfRule>
  </conditionalFormatting>
  <conditionalFormatting sqref="D8:D19">
    <cfRule type="cellIs" dxfId="852" priority="12" stopIfTrue="1" operator="equal">
      <formula>0</formula>
    </cfRule>
  </conditionalFormatting>
  <conditionalFormatting sqref="F8:F19">
    <cfRule type="cellIs" dxfId="851" priority="11" stopIfTrue="1" operator="equal">
      <formula>0</formula>
    </cfRule>
  </conditionalFormatting>
  <conditionalFormatting sqref="G8:G19">
    <cfRule type="cellIs" dxfId="850" priority="10" stopIfTrue="1" operator="equal">
      <formula>0</formula>
    </cfRule>
  </conditionalFormatting>
  <conditionalFormatting sqref="I8:I19">
    <cfRule type="cellIs" dxfId="849" priority="9" stopIfTrue="1" operator="equal">
      <formula>0</formula>
    </cfRule>
  </conditionalFormatting>
  <conditionalFormatting sqref="J8:J19">
    <cfRule type="cellIs" dxfId="848" priority="8" stopIfTrue="1" operator="equal">
      <formula>0</formula>
    </cfRule>
  </conditionalFormatting>
  <conditionalFormatting sqref="K8:K19">
    <cfRule type="cellIs" dxfId="847" priority="7" stopIfTrue="1" operator="equal">
      <formula>0</formula>
    </cfRule>
  </conditionalFormatting>
  <conditionalFormatting sqref="C20">
    <cfRule type="cellIs" dxfId="846" priority="6" stopIfTrue="1" operator="equal">
      <formula>0</formula>
    </cfRule>
  </conditionalFormatting>
  <conditionalFormatting sqref="C8:C19">
    <cfRule type="cellIs" dxfId="845" priority="5" stopIfTrue="1" operator="equal">
      <formula>0</formula>
    </cfRule>
  </conditionalFormatting>
  <conditionalFormatting sqref="E20">
    <cfRule type="cellIs" dxfId="844" priority="4" stopIfTrue="1" operator="equal">
      <formula>0</formula>
    </cfRule>
  </conditionalFormatting>
  <conditionalFormatting sqref="E8:E19">
    <cfRule type="cellIs" dxfId="843" priority="3" stopIfTrue="1" operator="equal">
      <formula>0</formula>
    </cfRule>
  </conditionalFormatting>
  <conditionalFormatting sqref="H20">
    <cfRule type="cellIs" dxfId="842" priority="2" stopIfTrue="1" operator="equal">
      <formula>0</formula>
    </cfRule>
  </conditionalFormatting>
  <conditionalFormatting sqref="H8:H19">
    <cfRule type="cellIs" dxfId="841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DC8-9A09-45E7-9726-5EACE3418BC2}">
  <dimension ref="A1:G21"/>
  <sheetViews>
    <sheetView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2.42578125" customWidth="1"/>
    <col min="3" max="3" width="12.85546875" customWidth="1"/>
    <col min="4" max="4" width="13.5703125" customWidth="1"/>
    <col min="5" max="6" width="14.42578125" customWidth="1"/>
    <col min="7" max="7" width="14.85546875" customWidth="1"/>
  </cols>
  <sheetData>
    <row r="1" spans="1:7" x14ac:dyDescent="0.2">
      <c r="A1" s="119" t="s">
        <v>34</v>
      </c>
      <c r="B1" s="119"/>
      <c r="C1" s="119"/>
      <c r="D1" s="119"/>
      <c r="E1" s="119"/>
      <c r="F1" s="119"/>
      <c r="G1" s="119"/>
    </row>
    <row r="2" spans="1:7" x14ac:dyDescent="0.2">
      <c r="A2" s="27"/>
      <c r="B2" s="28"/>
      <c r="C2" s="28"/>
      <c r="D2" s="28"/>
      <c r="E2" s="28"/>
      <c r="F2" s="28"/>
      <c r="G2" s="28" t="s">
        <v>32</v>
      </c>
    </row>
    <row r="3" spans="1:7" x14ac:dyDescent="0.2">
      <c r="A3" s="27" t="s">
        <v>214</v>
      </c>
      <c r="B3" s="27"/>
      <c r="C3" s="27"/>
      <c r="D3" s="27"/>
      <c r="E3" s="27"/>
      <c r="F3" s="27"/>
      <c r="G3" s="27"/>
    </row>
    <row r="4" spans="1:7" x14ac:dyDescent="0.2">
      <c r="A4" s="123" t="s">
        <v>30</v>
      </c>
      <c r="B4" s="157" t="s">
        <v>205</v>
      </c>
      <c r="C4" s="157"/>
      <c r="D4" s="157"/>
      <c r="E4" s="157"/>
      <c r="F4" s="157"/>
      <c r="G4" s="157"/>
    </row>
    <row r="5" spans="1:7" s="7" customFormat="1" ht="12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</row>
    <row r="6" spans="1:7" s="7" customFormat="1" x14ac:dyDescent="0.2">
      <c r="A6" s="123"/>
      <c r="B6" s="121"/>
      <c r="C6" s="121"/>
      <c r="D6" s="122" t="s">
        <v>154</v>
      </c>
      <c r="E6" s="122"/>
      <c r="F6" s="122" t="s">
        <v>155</v>
      </c>
      <c r="G6" s="122"/>
    </row>
    <row r="7" spans="1:7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41</v>
      </c>
      <c r="G7" s="34" t="s">
        <v>21</v>
      </c>
    </row>
    <row r="8" spans="1:7" s="6" customFormat="1" ht="20.45" customHeight="1" x14ac:dyDescent="0.2">
      <c r="A8" s="69" t="s">
        <v>0</v>
      </c>
      <c r="B8" s="70">
        <v>11.143004417419434</v>
      </c>
      <c r="C8" s="71">
        <v>4.6057939065375069E-3</v>
      </c>
      <c r="D8" s="70">
        <v>0</v>
      </c>
      <c r="E8" s="71"/>
      <c r="F8" s="70">
        <v>11.143004417419434</v>
      </c>
      <c r="G8" s="71">
        <v>4.6057939065375086E-3</v>
      </c>
    </row>
    <row r="9" spans="1:7" s="6" customFormat="1" ht="20.45" customHeight="1" x14ac:dyDescent="0.2">
      <c r="A9" s="29" t="s">
        <v>1</v>
      </c>
      <c r="B9" s="51">
        <v>21329.565932273865</v>
      </c>
      <c r="C9" s="52">
        <v>5665.7276268352161</v>
      </c>
      <c r="D9" s="51">
        <v>16692.638929843903</v>
      </c>
      <c r="E9" s="52">
        <v>4982.8401480840166</v>
      </c>
      <c r="F9" s="51">
        <v>5566.9751954078674</v>
      </c>
      <c r="G9" s="52">
        <v>682.8874787513854</v>
      </c>
    </row>
    <row r="10" spans="1:7" ht="20.45" customHeight="1" x14ac:dyDescent="0.2">
      <c r="A10" s="30" t="s">
        <v>2</v>
      </c>
      <c r="B10" s="53">
        <v>255.44187116622925</v>
      </c>
      <c r="C10" s="54">
        <v>4.2821396854757579</v>
      </c>
      <c r="D10" s="53">
        <v>213.77384901046753</v>
      </c>
      <c r="E10" s="54">
        <v>3.7098110439156424</v>
      </c>
      <c r="F10" s="53">
        <v>41.668022155761719</v>
      </c>
      <c r="G10" s="54">
        <v>0.57232864156011232</v>
      </c>
    </row>
    <row r="11" spans="1:7" ht="20.45" customHeight="1" x14ac:dyDescent="0.2">
      <c r="A11" s="30" t="s">
        <v>3</v>
      </c>
      <c r="B11" s="53">
        <v>995.69659090042114</v>
      </c>
      <c r="C11" s="54">
        <v>48.798981264445963</v>
      </c>
      <c r="D11" s="53">
        <v>792.47981643676758</v>
      </c>
      <c r="E11" s="54">
        <v>40.974318699314409</v>
      </c>
      <c r="F11" s="53">
        <v>226.82860422134399</v>
      </c>
      <c r="G11" s="54">
        <v>7.824662565131896</v>
      </c>
    </row>
    <row r="12" spans="1:7" ht="20.45" customHeight="1" x14ac:dyDescent="0.2">
      <c r="A12" s="30" t="s">
        <v>4</v>
      </c>
      <c r="B12" s="53">
        <v>4760.1963949203491</v>
      </c>
      <c r="C12" s="54">
        <v>441.47597043807843</v>
      </c>
      <c r="D12" s="53">
        <v>3246.1028504371643</v>
      </c>
      <c r="E12" s="54">
        <v>347.88066173184967</v>
      </c>
      <c r="F12" s="53">
        <v>1635.5296192169189</v>
      </c>
      <c r="G12" s="54">
        <v>93.595308706226305</v>
      </c>
    </row>
    <row r="13" spans="1:7" ht="20.45" customHeight="1" x14ac:dyDescent="0.2">
      <c r="A13" s="30" t="s">
        <v>5</v>
      </c>
      <c r="B13" s="53">
        <v>6463.2442297935486</v>
      </c>
      <c r="C13" s="54">
        <v>1147.1987647820667</v>
      </c>
      <c r="D13" s="53">
        <v>4992.0658679008484</v>
      </c>
      <c r="E13" s="54">
        <v>965.98149626025736</v>
      </c>
      <c r="F13" s="53">
        <v>1640.9329781532288</v>
      </c>
      <c r="G13" s="54">
        <v>181.21726852182579</v>
      </c>
    </row>
    <row r="14" spans="1:7" ht="20.45" customHeight="1" x14ac:dyDescent="0.2">
      <c r="A14" s="30" t="s">
        <v>6</v>
      </c>
      <c r="B14" s="53">
        <v>5996.9447274208069</v>
      </c>
      <c r="C14" s="54">
        <v>1995.9483373251207</v>
      </c>
      <c r="D14" s="53">
        <v>5055.492157459259</v>
      </c>
      <c r="E14" s="54">
        <v>1767.5513134988569</v>
      </c>
      <c r="F14" s="53">
        <v>1406.0329704284668</v>
      </c>
      <c r="G14" s="54">
        <v>228.39702382626106</v>
      </c>
    </row>
    <row r="15" spans="1:7" ht="20.45" customHeight="1" x14ac:dyDescent="0.2">
      <c r="A15" s="30" t="s">
        <v>7</v>
      </c>
      <c r="B15" s="53">
        <v>1794.7368783950806</v>
      </c>
      <c r="C15" s="54">
        <v>1097.5782945122628</v>
      </c>
      <c r="D15" s="53">
        <v>1568.4799737930298</v>
      </c>
      <c r="E15" s="54">
        <v>1014.9748337832773</v>
      </c>
      <c r="F15" s="53">
        <v>355.33535575866699</v>
      </c>
      <c r="G15" s="54">
        <v>82.603460728983222</v>
      </c>
    </row>
    <row r="16" spans="1:7" ht="20.45" customHeight="1" x14ac:dyDescent="0.2">
      <c r="A16" s="30" t="s">
        <v>8</v>
      </c>
      <c r="B16" s="53">
        <v>686.20302295684814</v>
      </c>
      <c r="C16" s="54">
        <v>433.10141887530438</v>
      </c>
      <c r="D16" s="53">
        <v>538.26167678833008</v>
      </c>
      <c r="E16" s="54">
        <v>384.34513846934146</v>
      </c>
      <c r="F16" s="53">
        <v>169.52816677093506</v>
      </c>
      <c r="G16" s="54">
        <v>48.75628040596299</v>
      </c>
    </row>
    <row r="17" spans="1:7" ht="20.45" customHeight="1" x14ac:dyDescent="0.2">
      <c r="A17" s="30" t="s">
        <v>9</v>
      </c>
      <c r="B17" s="53">
        <v>194.86551094055176</v>
      </c>
      <c r="C17" s="54">
        <v>204.49215541813004</v>
      </c>
      <c r="D17" s="53">
        <v>154.18042850494385</v>
      </c>
      <c r="E17" s="54">
        <v>197.2763031604859</v>
      </c>
      <c r="F17" s="53">
        <v>40.68508243560791</v>
      </c>
      <c r="G17" s="54">
        <v>7.215852257644082</v>
      </c>
    </row>
    <row r="18" spans="1:7" ht="20.45" customHeight="1" x14ac:dyDescent="0.2">
      <c r="A18" s="30" t="s">
        <v>10</v>
      </c>
      <c r="B18" s="53">
        <v>182.2367057800293</v>
      </c>
      <c r="C18" s="54">
        <v>292.85156453450747</v>
      </c>
      <c r="D18" s="53">
        <v>131.80230951309204</v>
      </c>
      <c r="E18" s="54">
        <v>260.14627143671834</v>
      </c>
      <c r="F18" s="53">
        <v>50.434396266937256</v>
      </c>
      <c r="G18" s="54">
        <v>32.705293097789571</v>
      </c>
    </row>
    <row r="19" spans="1:7" ht="20.45" customHeight="1" x14ac:dyDescent="0.2">
      <c r="A19" s="30" t="s">
        <v>11</v>
      </c>
      <c r="B19" s="53"/>
      <c r="C19" s="54">
        <v>0</v>
      </c>
      <c r="D19" s="53">
        <v>0</v>
      </c>
      <c r="E19" s="54"/>
      <c r="F19" s="53">
        <v>0</v>
      </c>
      <c r="G19" s="54"/>
    </row>
    <row r="20" spans="1:7" s="6" customFormat="1" ht="20.45" customHeight="1" x14ac:dyDescent="0.2">
      <c r="A20" s="31" t="s">
        <v>12</v>
      </c>
      <c r="B20" s="25">
        <f t="shared" ref="B20:G20" si="0">B8+B9</f>
        <v>21340.708936691284</v>
      </c>
      <c r="C20" s="26">
        <f t="shared" si="0"/>
        <v>5665.7322326291223</v>
      </c>
      <c r="D20" s="25">
        <f t="shared" si="0"/>
        <v>16692.638929843903</v>
      </c>
      <c r="E20" s="26">
        <f t="shared" si="0"/>
        <v>4982.8401480840166</v>
      </c>
      <c r="F20" s="25">
        <f t="shared" si="0"/>
        <v>5578.1181998252869</v>
      </c>
      <c r="G20" s="26">
        <f t="shared" si="0"/>
        <v>682.89208454529194</v>
      </c>
    </row>
    <row r="21" spans="1:7" x14ac:dyDescent="0.2">
      <c r="A21" s="64" t="s">
        <v>529</v>
      </c>
    </row>
  </sheetData>
  <mergeCells count="8">
    <mergeCell ref="D6:E6"/>
    <mergeCell ref="F6:G6"/>
    <mergeCell ref="A1:G1"/>
    <mergeCell ref="A4:A7"/>
    <mergeCell ref="B4:G4"/>
    <mergeCell ref="B5:B7"/>
    <mergeCell ref="C5:C7"/>
    <mergeCell ref="D5:G5"/>
  </mergeCells>
  <conditionalFormatting sqref="C20">
    <cfRule type="cellIs" dxfId="840" priority="9" stopIfTrue="1" operator="equal">
      <formula>0</formula>
    </cfRule>
  </conditionalFormatting>
  <conditionalFormatting sqref="C8:C19">
    <cfRule type="cellIs" dxfId="839" priority="8" stopIfTrue="1" operator="equal">
      <formula>0</formula>
    </cfRule>
  </conditionalFormatting>
  <conditionalFormatting sqref="E20">
    <cfRule type="cellIs" dxfId="838" priority="7" stopIfTrue="1" operator="equal">
      <formula>0</formula>
    </cfRule>
  </conditionalFormatting>
  <conditionalFormatting sqref="E8:E19">
    <cfRule type="cellIs" dxfId="837" priority="6" stopIfTrue="1" operator="equal">
      <formula>0</formula>
    </cfRule>
  </conditionalFormatting>
  <conditionalFormatting sqref="G20">
    <cfRule type="cellIs" dxfId="836" priority="5" stopIfTrue="1" operator="equal">
      <formula>0</formula>
    </cfRule>
  </conditionalFormatting>
  <conditionalFormatting sqref="G8:G19">
    <cfRule type="cellIs" dxfId="835" priority="4" stopIfTrue="1" operator="equal">
      <formula>0</formula>
    </cfRule>
  </conditionalFormatting>
  <conditionalFormatting sqref="B8:B20">
    <cfRule type="cellIs" dxfId="834" priority="3" stopIfTrue="1" operator="equal">
      <formula>0</formula>
    </cfRule>
  </conditionalFormatting>
  <conditionalFormatting sqref="D8:D20">
    <cfRule type="cellIs" dxfId="833" priority="2" stopIfTrue="1" operator="equal">
      <formula>0</formula>
    </cfRule>
  </conditionalFormatting>
  <conditionalFormatting sqref="F8:F20">
    <cfRule type="cellIs" dxfId="83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CE73-13D9-48D6-920B-A58C131A8D2D}">
  <dimension ref="A1:K20"/>
  <sheetViews>
    <sheetView zoomScale="75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2.42578125" customWidth="1"/>
    <col min="3" max="3" width="12.85546875" customWidth="1"/>
    <col min="4" max="5" width="13.5703125" customWidth="1"/>
    <col min="6" max="8" width="14.42578125" customWidth="1"/>
    <col min="9" max="9" width="14.85546875" customWidth="1"/>
    <col min="10" max="10" width="10.85546875" customWidth="1"/>
    <col min="11" max="11" width="12.57031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7"/>
      <c r="J2" s="27"/>
      <c r="K2" s="28" t="s">
        <v>32</v>
      </c>
    </row>
    <row r="3" spans="1:11" x14ac:dyDescent="0.2">
      <c r="A3" s="27" t="s">
        <v>213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123" t="s">
        <v>30</v>
      </c>
      <c r="B4" s="157" t="s">
        <v>206</v>
      </c>
      <c r="C4" s="157"/>
      <c r="D4" s="157"/>
      <c r="E4" s="157"/>
      <c r="F4" s="157"/>
      <c r="G4" s="157"/>
      <c r="H4" s="157"/>
      <c r="I4" s="157"/>
      <c r="J4" s="157"/>
      <c r="K4" s="157"/>
    </row>
    <row r="5" spans="1:11" s="7" customFormat="1" ht="12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  <c r="H5" s="122"/>
      <c r="I5" s="122"/>
      <c r="J5" s="121" t="s">
        <v>153</v>
      </c>
      <c r="K5" s="121"/>
    </row>
    <row r="6" spans="1:11" s="7" customFormat="1" x14ac:dyDescent="0.2">
      <c r="A6" s="123"/>
      <c r="B6" s="121"/>
      <c r="C6" s="121"/>
      <c r="D6" s="122" t="s">
        <v>154</v>
      </c>
      <c r="E6" s="122"/>
      <c r="F6" s="122"/>
      <c r="G6" s="122" t="s">
        <v>155</v>
      </c>
      <c r="H6" s="122"/>
      <c r="I6" s="122"/>
      <c r="J6" s="121" t="s">
        <v>154</v>
      </c>
      <c r="K6" s="120" t="s">
        <v>155</v>
      </c>
    </row>
    <row r="7" spans="1:11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156</v>
      </c>
      <c r="G7" s="34" t="s">
        <v>41</v>
      </c>
      <c r="H7" s="34" t="s">
        <v>21</v>
      </c>
      <c r="I7" s="34" t="s">
        <v>156</v>
      </c>
      <c r="J7" s="121"/>
      <c r="K7" s="120"/>
    </row>
    <row r="8" spans="1:11" s="6" customFormat="1" ht="20.45" customHeight="1" x14ac:dyDescent="0.2">
      <c r="A8" s="69" t="s">
        <v>0</v>
      </c>
      <c r="B8" s="70">
        <v>74.494209289550781</v>
      </c>
      <c r="C8" s="71">
        <v>0</v>
      </c>
      <c r="D8" s="70">
        <v>0</v>
      </c>
      <c r="E8" s="71"/>
      <c r="F8" s="70">
        <v>0</v>
      </c>
      <c r="G8" s="70">
        <v>0</v>
      </c>
      <c r="H8" s="71"/>
      <c r="I8" s="70">
        <v>0</v>
      </c>
      <c r="J8" s="70">
        <v>122.23569679260261</v>
      </c>
      <c r="K8" s="70">
        <v>11.71494102478027</v>
      </c>
    </row>
    <row r="9" spans="1:11" s="6" customFormat="1" ht="20.45" customHeight="1" x14ac:dyDescent="0.2">
      <c r="A9" s="29" t="s">
        <v>1</v>
      </c>
      <c r="B9" s="51">
        <v>27703.231404304504</v>
      </c>
      <c r="C9" s="52">
        <v>599.11119323526543</v>
      </c>
      <c r="D9" s="51">
        <v>8442.4644584655762</v>
      </c>
      <c r="E9" s="52">
        <v>417.26515116139325</v>
      </c>
      <c r="F9" s="51">
        <v>564818.5428390532</v>
      </c>
      <c r="G9" s="51">
        <v>3254.1065201759338</v>
      </c>
      <c r="H9" s="52">
        <v>181.84604207387832</v>
      </c>
      <c r="I9" s="51">
        <v>245230.07349778258</v>
      </c>
      <c r="J9" s="51">
        <v>123411.79432869087</v>
      </c>
      <c r="K9" s="51">
        <v>54237.444045067481</v>
      </c>
    </row>
    <row r="10" spans="1:11" ht="20.45" customHeight="1" x14ac:dyDescent="0.2">
      <c r="A10" s="30" t="s">
        <v>2</v>
      </c>
      <c r="B10" s="53">
        <v>1141.3255467414856</v>
      </c>
      <c r="C10" s="54">
        <v>4.8354485014513857</v>
      </c>
      <c r="D10" s="53">
        <v>449.61239051818848</v>
      </c>
      <c r="E10" s="54">
        <v>4.0605629407579569</v>
      </c>
      <c r="F10" s="53">
        <v>7542.5257158279501</v>
      </c>
      <c r="G10" s="53">
        <v>12.693386077880859</v>
      </c>
      <c r="H10" s="54">
        <v>0.77488556069347692</v>
      </c>
      <c r="I10" s="53">
        <v>1269.3386077880803</v>
      </c>
      <c r="J10" s="53">
        <v>2392.6028966903714</v>
      </c>
      <c r="K10" s="53">
        <v>351.22873878479135</v>
      </c>
    </row>
    <row r="11" spans="1:11" ht="20.45" customHeight="1" x14ac:dyDescent="0.2">
      <c r="A11" s="30" t="s">
        <v>3</v>
      </c>
      <c r="B11" s="53">
        <v>2049.2813496589661</v>
      </c>
      <c r="C11" s="54">
        <v>12.198741448830532</v>
      </c>
      <c r="D11" s="53">
        <v>369.39410448074341</v>
      </c>
      <c r="E11" s="54">
        <v>7.8324848343554319</v>
      </c>
      <c r="F11" s="53">
        <v>6613.7913503646805</v>
      </c>
      <c r="G11" s="53">
        <v>168.57209253311157</v>
      </c>
      <c r="H11" s="54">
        <v>4.3662566144750361</v>
      </c>
      <c r="I11" s="53">
        <v>11103.85225820533</v>
      </c>
      <c r="J11" s="53">
        <v>4599.4671244620977</v>
      </c>
      <c r="K11" s="53">
        <v>2201.988858699779</v>
      </c>
    </row>
    <row r="12" spans="1:11" ht="20.45" customHeight="1" x14ac:dyDescent="0.2">
      <c r="A12" s="30" t="s">
        <v>4</v>
      </c>
      <c r="B12" s="53">
        <v>8082.4682445526123</v>
      </c>
      <c r="C12" s="54">
        <v>67.612821821587502</v>
      </c>
      <c r="D12" s="53">
        <v>1985.0698380470276</v>
      </c>
      <c r="E12" s="54">
        <v>50.661810969845313</v>
      </c>
      <c r="F12" s="53">
        <v>66981.932883263202</v>
      </c>
      <c r="G12" s="53">
        <v>805.17663335800171</v>
      </c>
      <c r="H12" s="54">
        <v>16.951010851741216</v>
      </c>
      <c r="I12" s="53">
        <v>20452.321595668913</v>
      </c>
      <c r="J12" s="53">
        <v>32396.125988483374</v>
      </c>
      <c r="K12" s="53">
        <v>16076.852226734236</v>
      </c>
    </row>
    <row r="13" spans="1:11" ht="20.45" customHeight="1" x14ac:dyDescent="0.2">
      <c r="A13" s="30" t="s">
        <v>5</v>
      </c>
      <c r="B13" s="53">
        <v>8683.6365218162537</v>
      </c>
      <c r="C13" s="54">
        <v>179.2278575942567</v>
      </c>
      <c r="D13" s="53">
        <v>2780.7634925842285</v>
      </c>
      <c r="E13" s="54">
        <v>120.27120343915533</v>
      </c>
      <c r="F13" s="53">
        <v>182643.373764991</v>
      </c>
      <c r="G13" s="53">
        <v>1137.7563915252686</v>
      </c>
      <c r="H13" s="54">
        <v>58.95665415510225</v>
      </c>
      <c r="I13" s="53">
        <v>70819.16367006283</v>
      </c>
      <c r="J13" s="53">
        <v>47111.908283710247</v>
      </c>
      <c r="K13" s="53">
        <v>19198.253417015152</v>
      </c>
    </row>
    <row r="14" spans="1:11" ht="20.45" customHeight="1" x14ac:dyDescent="0.2">
      <c r="A14" s="30" t="s">
        <v>6</v>
      </c>
      <c r="B14" s="53">
        <v>5916.0858054161072</v>
      </c>
      <c r="C14" s="54">
        <v>176.57906403084354</v>
      </c>
      <c r="D14" s="53">
        <v>2132.6118941307068</v>
      </c>
      <c r="E14" s="54">
        <v>118.86332903961102</v>
      </c>
      <c r="F14" s="53">
        <v>154740.82964849527</v>
      </c>
      <c r="G14" s="53">
        <v>821.10413265228271</v>
      </c>
      <c r="H14" s="54">
        <v>57.715734991231123</v>
      </c>
      <c r="I14" s="53">
        <v>59608.915046215392</v>
      </c>
      <c r="J14" s="53">
        <v>22381.697917461417</v>
      </c>
      <c r="K14" s="53">
        <v>12602.734176158914</v>
      </c>
    </row>
    <row r="15" spans="1:11" ht="20.45" customHeight="1" x14ac:dyDescent="0.2">
      <c r="A15" s="30" t="s">
        <v>7</v>
      </c>
      <c r="B15" s="53">
        <v>1370.5053291320801</v>
      </c>
      <c r="C15" s="54">
        <v>87.792920248321323</v>
      </c>
      <c r="D15" s="53">
        <v>551.94013786315918</v>
      </c>
      <c r="E15" s="54">
        <v>64.356475780376499</v>
      </c>
      <c r="F15" s="53">
        <v>37692.461556911439</v>
      </c>
      <c r="G15" s="53">
        <v>255.46139860153198</v>
      </c>
      <c r="H15" s="54">
        <v>23.436444467944895</v>
      </c>
      <c r="I15" s="53">
        <v>49064.408335685759</v>
      </c>
      <c r="J15" s="53">
        <v>11956.769818305966</v>
      </c>
      <c r="K15" s="53">
        <v>2758.5166854858489</v>
      </c>
    </row>
    <row r="16" spans="1:11" ht="20.45" customHeight="1" x14ac:dyDescent="0.2">
      <c r="A16" s="30" t="s">
        <v>8</v>
      </c>
      <c r="B16" s="53">
        <v>324.61735773086548</v>
      </c>
      <c r="C16" s="54">
        <v>60.880463156153809</v>
      </c>
      <c r="D16" s="53">
        <v>113.22937345504761</v>
      </c>
      <c r="E16" s="54">
        <v>41.235407723463602</v>
      </c>
      <c r="F16" s="53">
        <v>82075.801913261559</v>
      </c>
      <c r="G16" s="53">
        <v>53.342485427856445</v>
      </c>
      <c r="H16" s="54">
        <v>19.645055432690214</v>
      </c>
      <c r="I16" s="53">
        <v>32912.073984146147</v>
      </c>
      <c r="J16" s="53">
        <v>1430.2785959243804</v>
      </c>
      <c r="K16" s="53">
        <v>531.54707717895599</v>
      </c>
    </row>
    <row r="17" spans="1:11" ht="20.45" customHeight="1" x14ac:dyDescent="0.2">
      <c r="A17" s="30" t="s">
        <v>9</v>
      </c>
      <c r="B17" s="53">
        <v>80.494909763336182</v>
      </c>
      <c r="C17" s="54">
        <v>2.5387451495648223</v>
      </c>
      <c r="D17" s="53">
        <v>38.917441368103027</v>
      </c>
      <c r="E17" s="54">
        <v>2.5387451495648214</v>
      </c>
      <c r="F17" s="53">
        <v>521.70631599426235</v>
      </c>
      <c r="G17" s="53">
        <v>0</v>
      </c>
      <c r="H17" s="54"/>
      <c r="I17" s="53">
        <v>0</v>
      </c>
      <c r="J17" s="53">
        <v>309.29297256469727</v>
      </c>
      <c r="K17" s="53">
        <v>437.5912518501284</v>
      </c>
    </row>
    <row r="18" spans="1:11" ht="20.45" customHeight="1" x14ac:dyDescent="0.2">
      <c r="A18" s="30" t="s">
        <v>10</v>
      </c>
      <c r="B18" s="53">
        <v>54.816339492797852</v>
      </c>
      <c r="C18" s="54">
        <v>7.445131284263792</v>
      </c>
      <c r="D18" s="53">
        <v>20.925786018371582</v>
      </c>
      <c r="E18" s="54">
        <v>7.4451312842637778</v>
      </c>
      <c r="F18" s="53">
        <v>26006.119689941435</v>
      </c>
      <c r="G18" s="53">
        <v>0</v>
      </c>
      <c r="H18" s="54"/>
      <c r="I18" s="53">
        <v>0</v>
      </c>
      <c r="J18" s="53">
        <v>833.65073108673118</v>
      </c>
      <c r="K18" s="53">
        <v>78.731613159179616</v>
      </c>
    </row>
    <row r="19" spans="1:11" ht="20.45" customHeight="1" x14ac:dyDescent="0.2">
      <c r="A19" s="30" t="s">
        <v>11</v>
      </c>
      <c r="B19" s="53"/>
      <c r="C19" s="54">
        <v>0</v>
      </c>
      <c r="D19" s="53">
        <v>0</v>
      </c>
      <c r="E19" s="54"/>
      <c r="F19" s="53">
        <v>0</v>
      </c>
      <c r="G19" s="53">
        <v>0</v>
      </c>
      <c r="H19" s="54"/>
      <c r="I19" s="53">
        <v>0</v>
      </c>
      <c r="J19" s="53">
        <v>0</v>
      </c>
      <c r="K19" s="53">
        <v>0</v>
      </c>
    </row>
    <row r="20" spans="1:11" s="6" customFormat="1" ht="20.45" customHeight="1" x14ac:dyDescent="0.2">
      <c r="A20" s="31" t="s">
        <v>12</v>
      </c>
      <c r="B20" s="25">
        <f>B8+B9</f>
        <v>27777.725613594055</v>
      </c>
      <c r="C20" s="26">
        <f t="shared" ref="C20:K20" si="0">C8+C9</f>
        <v>599.11119323526543</v>
      </c>
      <c r="D20" s="25">
        <f t="shared" si="0"/>
        <v>8442.4644584655762</v>
      </c>
      <c r="E20" s="26">
        <f t="shared" si="0"/>
        <v>417.26515116139325</v>
      </c>
      <c r="F20" s="25">
        <f t="shared" si="0"/>
        <v>564818.5428390532</v>
      </c>
      <c r="G20" s="25">
        <f t="shared" si="0"/>
        <v>3254.1065201759338</v>
      </c>
      <c r="H20" s="26">
        <f t="shared" si="0"/>
        <v>181.84604207387832</v>
      </c>
      <c r="I20" s="25">
        <f t="shared" si="0"/>
        <v>245230.07349778258</v>
      </c>
      <c r="J20" s="25">
        <f t="shared" si="0"/>
        <v>123534.03002548347</v>
      </c>
      <c r="K20" s="25">
        <f t="shared" si="0"/>
        <v>54249.158986092261</v>
      </c>
    </row>
  </sheetData>
  <mergeCells count="11">
    <mergeCell ref="D6:F6"/>
    <mergeCell ref="G6:I6"/>
    <mergeCell ref="J6:J7"/>
    <mergeCell ref="K6:K7"/>
    <mergeCell ref="A1:K1"/>
    <mergeCell ref="A4:A7"/>
    <mergeCell ref="B4:K4"/>
    <mergeCell ref="B5:B7"/>
    <mergeCell ref="C5:C7"/>
    <mergeCell ref="D5:I5"/>
    <mergeCell ref="J5:K5"/>
  </mergeCells>
  <conditionalFormatting sqref="B8:B20">
    <cfRule type="cellIs" dxfId="831" priority="13" stopIfTrue="1" operator="equal">
      <formula>0</formula>
    </cfRule>
  </conditionalFormatting>
  <conditionalFormatting sqref="D8:D20">
    <cfRule type="cellIs" dxfId="830" priority="12" stopIfTrue="1" operator="equal">
      <formula>0</formula>
    </cfRule>
  </conditionalFormatting>
  <conditionalFormatting sqref="F8:F20">
    <cfRule type="cellIs" dxfId="829" priority="11" stopIfTrue="1" operator="equal">
      <formula>0</formula>
    </cfRule>
  </conditionalFormatting>
  <conditionalFormatting sqref="G8:G20">
    <cfRule type="cellIs" dxfId="828" priority="10" stopIfTrue="1" operator="equal">
      <formula>0</formula>
    </cfRule>
  </conditionalFormatting>
  <conditionalFormatting sqref="I8:I20">
    <cfRule type="cellIs" dxfId="827" priority="9" stopIfTrue="1" operator="equal">
      <formula>0</formula>
    </cfRule>
  </conditionalFormatting>
  <conditionalFormatting sqref="J8:J20">
    <cfRule type="cellIs" dxfId="826" priority="8" stopIfTrue="1" operator="equal">
      <formula>0</formula>
    </cfRule>
  </conditionalFormatting>
  <conditionalFormatting sqref="K8:K20">
    <cfRule type="cellIs" dxfId="825" priority="7" stopIfTrue="1" operator="equal">
      <formula>0</formula>
    </cfRule>
  </conditionalFormatting>
  <conditionalFormatting sqref="C20">
    <cfRule type="cellIs" dxfId="824" priority="6" stopIfTrue="1" operator="equal">
      <formula>0</formula>
    </cfRule>
  </conditionalFormatting>
  <conditionalFormatting sqref="C8:C19">
    <cfRule type="cellIs" dxfId="823" priority="5" stopIfTrue="1" operator="equal">
      <formula>0</formula>
    </cfRule>
  </conditionalFormatting>
  <conditionalFormatting sqref="E20">
    <cfRule type="cellIs" dxfId="822" priority="4" stopIfTrue="1" operator="equal">
      <formula>0</formula>
    </cfRule>
  </conditionalFormatting>
  <conditionalFormatting sqref="E8:E19">
    <cfRule type="cellIs" dxfId="821" priority="3" stopIfTrue="1" operator="equal">
      <formula>0</formula>
    </cfRule>
  </conditionalFormatting>
  <conditionalFormatting sqref="H20">
    <cfRule type="cellIs" dxfId="820" priority="2" stopIfTrue="1" operator="equal">
      <formula>0</formula>
    </cfRule>
  </conditionalFormatting>
  <conditionalFormatting sqref="H8:H19">
    <cfRule type="cellIs" dxfId="81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307B-CF16-474E-8AB1-8D39B57B51F9}">
  <dimension ref="A1:G20"/>
  <sheetViews>
    <sheetView zoomScaleNormal="100" workbookViewId="0">
      <selection activeCell="C19" sqref="C19"/>
    </sheetView>
  </sheetViews>
  <sheetFormatPr defaultRowHeight="12.75" x14ac:dyDescent="0.2"/>
  <cols>
    <col min="1" max="1" width="23.85546875" bestFit="1" customWidth="1"/>
    <col min="2" max="7" width="15.42578125" customWidth="1"/>
  </cols>
  <sheetData>
    <row r="1" spans="1:7" x14ac:dyDescent="0.2">
      <c r="A1" s="119" t="s">
        <v>34</v>
      </c>
      <c r="B1" s="119"/>
      <c r="C1" s="119"/>
      <c r="D1" s="119"/>
      <c r="E1" s="119"/>
      <c r="F1" s="119"/>
      <c r="G1" s="119"/>
    </row>
    <row r="2" spans="1:7" x14ac:dyDescent="0.2">
      <c r="A2" s="27"/>
      <c r="B2" s="28"/>
      <c r="C2" s="28"/>
      <c r="D2" s="28"/>
      <c r="E2" s="28"/>
      <c r="F2" s="28"/>
      <c r="G2" s="28" t="s">
        <v>32</v>
      </c>
    </row>
    <row r="3" spans="1:7" x14ac:dyDescent="0.2">
      <c r="A3" s="27" t="s">
        <v>212</v>
      </c>
      <c r="B3" s="27"/>
      <c r="C3" s="27"/>
      <c r="D3" s="27"/>
      <c r="E3" s="27"/>
      <c r="F3" s="27"/>
      <c r="G3" s="27"/>
    </row>
    <row r="4" spans="1:7" x14ac:dyDescent="0.2">
      <c r="A4" s="123" t="s">
        <v>30</v>
      </c>
      <c r="B4" s="157" t="s">
        <v>207</v>
      </c>
      <c r="C4" s="157"/>
      <c r="D4" s="157"/>
      <c r="E4" s="157"/>
      <c r="F4" s="157"/>
      <c r="G4" s="157"/>
    </row>
    <row r="5" spans="1:7" s="7" customFormat="1" ht="12.75" customHeight="1" x14ac:dyDescent="0.2">
      <c r="A5" s="123"/>
      <c r="B5" s="121" t="s">
        <v>158</v>
      </c>
      <c r="C5" s="121" t="s">
        <v>151</v>
      </c>
      <c r="D5" s="122" t="s">
        <v>152</v>
      </c>
      <c r="E5" s="122"/>
      <c r="F5" s="122"/>
      <c r="G5" s="122"/>
    </row>
    <row r="6" spans="1:7" s="7" customFormat="1" x14ac:dyDescent="0.2">
      <c r="A6" s="123"/>
      <c r="B6" s="121"/>
      <c r="C6" s="121"/>
      <c r="D6" s="122" t="s">
        <v>154</v>
      </c>
      <c r="E6" s="122"/>
      <c r="F6" s="122" t="s">
        <v>155</v>
      </c>
      <c r="G6" s="122"/>
    </row>
    <row r="7" spans="1:7" s="7" customFormat="1" ht="28.5" customHeight="1" x14ac:dyDescent="0.2">
      <c r="A7" s="123"/>
      <c r="B7" s="121"/>
      <c r="C7" s="121"/>
      <c r="D7" s="34" t="s">
        <v>41</v>
      </c>
      <c r="E7" s="34" t="s">
        <v>21</v>
      </c>
      <c r="F7" s="34" t="s">
        <v>41</v>
      </c>
      <c r="G7" s="34" t="s">
        <v>21</v>
      </c>
    </row>
    <row r="8" spans="1:7" s="6" customFormat="1" ht="20.45" customHeight="1" x14ac:dyDescent="0.2">
      <c r="A8" s="69" t="s">
        <v>0</v>
      </c>
      <c r="B8" s="70"/>
      <c r="C8" s="71">
        <v>0</v>
      </c>
      <c r="D8" s="70">
        <v>0</v>
      </c>
      <c r="E8" s="71"/>
      <c r="F8" s="70">
        <v>0</v>
      </c>
      <c r="G8" s="71"/>
    </row>
    <row r="9" spans="1:7" s="6" customFormat="1" ht="20.45" customHeight="1" x14ac:dyDescent="0.2">
      <c r="A9" s="29" t="s">
        <v>1</v>
      </c>
      <c r="B9" s="51">
        <v>78091.177689552307</v>
      </c>
      <c r="C9" s="52">
        <v>19113.479310224735</v>
      </c>
      <c r="D9" s="51">
        <v>67939.762414455414</v>
      </c>
      <c r="E9" s="52">
        <v>16852.161805119562</v>
      </c>
      <c r="F9" s="51">
        <v>19951.670756816864</v>
      </c>
      <c r="G9" s="52">
        <v>2261.3175051053686</v>
      </c>
    </row>
    <row r="10" spans="1:7" ht="20.45" customHeight="1" x14ac:dyDescent="0.2">
      <c r="A10" s="30" t="s">
        <v>2</v>
      </c>
      <c r="B10" s="53">
        <v>629.87037587165833</v>
      </c>
      <c r="C10" s="54">
        <v>11.474349047977238</v>
      </c>
      <c r="D10" s="53">
        <v>542.29606962203979</v>
      </c>
      <c r="E10" s="54">
        <v>9.8691115677932633</v>
      </c>
      <c r="F10" s="53">
        <v>138.4314296245575</v>
      </c>
      <c r="G10" s="54">
        <v>1.6052374801839406</v>
      </c>
    </row>
    <row r="11" spans="1:7" ht="20.45" customHeight="1" x14ac:dyDescent="0.2">
      <c r="A11" s="30" t="s">
        <v>3</v>
      </c>
      <c r="B11" s="53">
        <v>3590.7886259555817</v>
      </c>
      <c r="C11" s="54">
        <v>145.75379048095863</v>
      </c>
      <c r="D11" s="53">
        <v>3071.271420955658</v>
      </c>
      <c r="E11" s="54">
        <v>127.90733872192936</v>
      </c>
      <c r="F11" s="53">
        <v>850.00421166419983</v>
      </c>
      <c r="G11" s="54">
        <v>17.846451759029293</v>
      </c>
    </row>
    <row r="12" spans="1:7" ht="20.45" customHeight="1" x14ac:dyDescent="0.2">
      <c r="A12" s="30" t="s">
        <v>4</v>
      </c>
      <c r="B12" s="53">
        <v>18794.878026723862</v>
      </c>
      <c r="C12" s="54">
        <v>1607.3794871450718</v>
      </c>
      <c r="D12" s="53">
        <v>16075.723866939545</v>
      </c>
      <c r="E12" s="54">
        <v>1414.2935374170384</v>
      </c>
      <c r="F12" s="53">
        <v>4803.4196660518646</v>
      </c>
      <c r="G12" s="54">
        <v>193.08594972804147</v>
      </c>
    </row>
    <row r="13" spans="1:7" ht="20.45" customHeight="1" x14ac:dyDescent="0.2">
      <c r="A13" s="30" t="s">
        <v>5</v>
      </c>
      <c r="B13" s="53">
        <v>25302.839399576187</v>
      </c>
      <c r="C13" s="54">
        <v>3977.0971389013562</v>
      </c>
      <c r="D13" s="53">
        <v>21961.590507030487</v>
      </c>
      <c r="E13" s="54">
        <v>3529.4494221113882</v>
      </c>
      <c r="F13" s="53">
        <v>6118.9459657669067</v>
      </c>
      <c r="G13" s="54">
        <v>447.64771679002149</v>
      </c>
    </row>
    <row r="14" spans="1:7" ht="20.45" customHeight="1" x14ac:dyDescent="0.2">
      <c r="A14" s="30" t="s">
        <v>6</v>
      </c>
      <c r="B14" s="53">
        <v>21239.751054286957</v>
      </c>
      <c r="C14" s="54">
        <v>6421.7177437558476</v>
      </c>
      <c r="D14" s="53">
        <v>18532.119017601013</v>
      </c>
      <c r="E14" s="54">
        <v>5677.1221900923438</v>
      </c>
      <c r="F14" s="53">
        <v>5581.0459005832672</v>
      </c>
      <c r="G14" s="54">
        <v>744.59555366347672</v>
      </c>
    </row>
    <row r="15" spans="1:7" ht="20.45" customHeight="1" x14ac:dyDescent="0.2">
      <c r="A15" s="30" t="s">
        <v>7</v>
      </c>
      <c r="B15" s="53">
        <v>5557.5502746105194</v>
      </c>
      <c r="C15" s="54">
        <v>3399.7678169862743</v>
      </c>
      <c r="D15" s="53">
        <v>5051.2945959568024</v>
      </c>
      <c r="E15" s="54">
        <v>2991.0892337596483</v>
      </c>
      <c r="F15" s="53">
        <v>1555.1927835941315</v>
      </c>
      <c r="G15" s="54">
        <v>408.67858322662045</v>
      </c>
    </row>
    <row r="16" spans="1:7" ht="20.45" customHeight="1" x14ac:dyDescent="0.2">
      <c r="A16" s="30" t="s">
        <v>8</v>
      </c>
      <c r="B16" s="53">
        <v>2012.4449460506439</v>
      </c>
      <c r="C16" s="54">
        <v>1936.2140301258214</v>
      </c>
      <c r="D16" s="53">
        <v>1805.5317280292511</v>
      </c>
      <c r="E16" s="54">
        <v>1659.128722921957</v>
      </c>
      <c r="F16" s="53">
        <v>606.86971926689148</v>
      </c>
      <c r="G16" s="54">
        <v>277.08530720386159</v>
      </c>
    </row>
    <row r="17" spans="1:7" ht="20.45" customHeight="1" x14ac:dyDescent="0.2">
      <c r="A17" s="30" t="s">
        <v>9</v>
      </c>
      <c r="B17" s="53">
        <v>535.24574756622314</v>
      </c>
      <c r="C17" s="54">
        <v>680.2704003508735</v>
      </c>
      <c r="D17" s="53">
        <v>498.42251586914063</v>
      </c>
      <c r="E17" s="54">
        <v>612.69694085135029</v>
      </c>
      <c r="F17" s="53">
        <v>153.60321092605591</v>
      </c>
      <c r="G17" s="54">
        <v>67.573459499523423</v>
      </c>
    </row>
    <row r="18" spans="1:7" ht="20.45" customHeight="1" x14ac:dyDescent="0.2">
      <c r="A18" s="30" t="s">
        <v>10</v>
      </c>
      <c r="B18" s="53">
        <v>413.42885828018188</v>
      </c>
      <c r="C18" s="54">
        <v>818.49976658867934</v>
      </c>
      <c r="D18" s="53">
        <v>387.13231182098389</v>
      </c>
      <c r="E18" s="54">
        <v>743.20851672459446</v>
      </c>
      <c r="F18" s="53">
        <v>129.77748870849609</v>
      </c>
      <c r="G18" s="54">
        <v>75.291249864085572</v>
      </c>
    </row>
    <row r="19" spans="1:7" ht="20.45" customHeight="1" x14ac:dyDescent="0.2">
      <c r="A19" s="30" t="s">
        <v>11</v>
      </c>
      <c r="B19" s="53">
        <v>14.380380630493164</v>
      </c>
      <c r="C19" s="54">
        <v>115.30478684205924</v>
      </c>
      <c r="D19" s="53">
        <v>14.380380630493164</v>
      </c>
      <c r="E19" s="54">
        <v>87.396790951536488</v>
      </c>
      <c r="F19" s="53">
        <v>14.380380630493164</v>
      </c>
      <c r="G19" s="54">
        <v>27.90799589052277</v>
      </c>
    </row>
    <row r="20" spans="1:7" s="6" customFormat="1" ht="20.45" customHeight="1" x14ac:dyDescent="0.2">
      <c r="A20" s="31" t="s">
        <v>12</v>
      </c>
      <c r="B20" s="25">
        <f t="shared" ref="B20:G20" si="0">B8+B9</f>
        <v>78091.177689552307</v>
      </c>
      <c r="C20" s="26">
        <f t="shared" si="0"/>
        <v>19113.479310224735</v>
      </c>
      <c r="D20" s="25">
        <f t="shared" si="0"/>
        <v>67939.762414455414</v>
      </c>
      <c r="E20" s="26">
        <f t="shared" si="0"/>
        <v>16852.161805119562</v>
      </c>
      <c r="F20" s="25">
        <f t="shared" si="0"/>
        <v>19951.670756816864</v>
      </c>
      <c r="G20" s="26">
        <f t="shared" si="0"/>
        <v>2261.3175051053686</v>
      </c>
    </row>
  </sheetData>
  <mergeCells count="8">
    <mergeCell ref="D6:E6"/>
    <mergeCell ref="F6:G6"/>
    <mergeCell ref="A1:G1"/>
    <mergeCell ref="A4:A7"/>
    <mergeCell ref="B4:G4"/>
    <mergeCell ref="B5:B7"/>
    <mergeCell ref="C5:C7"/>
    <mergeCell ref="D5:G5"/>
  </mergeCells>
  <conditionalFormatting sqref="B8:B20">
    <cfRule type="cellIs" dxfId="818" priority="9" stopIfTrue="1" operator="equal">
      <formula>0</formula>
    </cfRule>
  </conditionalFormatting>
  <conditionalFormatting sqref="D8:D20">
    <cfRule type="cellIs" dxfId="817" priority="8" stopIfTrue="1" operator="equal">
      <formula>0</formula>
    </cfRule>
  </conditionalFormatting>
  <conditionalFormatting sqref="F8:F20">
    <cfRule type="cellIs" dxfId="816" priority="7" stopIfTrue="1" operator="equal">
      <formula>0</formula>
    </cfRule>
  </conditionalFormatting>
  <conditionalFormatting sqref="C20">
    <cfRule type="cellIs" dxfId="815" priority="6" stopIfTrue="1" operator="equal">
      <formula>0</formula>
    </cfRule>
  </conditionalFormatting>
  <conditionalFormatting sqref="C8:C19">
    <cfRule type="cellIs" dxfId="814" priority="5" stopIfTrue="1" operator="equal">
      <formula>0</formula>
    </cfRule>
  </conditionalFormatting>
  <conditionalFormatting sqref="E20">
    <cfRule type="cellIs" dxfId="813" priority="4" stopIfTrue="1" operator="equal">
      <formula>0</formula>
    </cfRule>
  </conditionalFormatting>
  <conditionalFormatting sqref="E8:E19">
    <cfRule type="cellIs" dxfId="812" priority="3" stopIfTrue="1" operator="equal">
      <formula>0</formula>
    </cfRule>
  </conditionalFormatting>
  <conditionalFormatting sqref="G20">
    <cfRule type="cellIs" dxfId="811" priority="2" stopIfTrue="1" operator="equal">
      <formula>0</formula>
    </cfRule>
  </conditionalFormatting>
  <conditionalFormatting sqref="G8:G19">
    <cfRule type="cellIs" dxfId="81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01DE-1124-416F-90FC-2B1A99233B4B}">
  <dimension ref="A1:G20"/>
  <sheetViews>
    <sheetView zoomScaleNormal="100" workbookViewId="0">
      <selection activeCell="C19" sqref="C19"/>
    </sheetView>
  </sheetViews>
  <sheetFormatPr defaultRowHeight="12.75" x14ac:dyDescent="0.2"/>
  <cols>
    <col min="1" max="1" width="26.5703125" customWidth="1"/>
    <col min="2" max="2" width="12.140625" customWidth="1"/>
    <col min="3" max="3" width="12.42578125" customWidth="1"/>
    <col min="4" max="4" width="12.5703125" customWidth="1"/>
    <col min="5" max="5" width="16.140625" customWidth="1"/>
    <col min="6" max="6" width="13.42578125" customWidth="1"/>
    <col min="7" max="7" width="10.85546875" customWidth="1"/>
  </cols>
  <sheetData>
    <row r="1" spans="1:7" x14ac:dyDescent="0.2">
      <c r="A1" s="119" t="s">
        <v>34</v>
      </c>
      <c r="B1" s="119"/>
      <c r="C1" s="119"/>
      <c r="D1" s="119"/>
      <c r="E1" s="119"/>
      <c r="F1" s="119"/>
      <c r="G1" s="119"/>
    </row>
    <row r="2" spans="1:7" x14ac:dyDescent="0.2">
      <c r="A2" s="27"/>
      <c r="B2" s="28"/>
      <c r="C2" s="28"/>
      <c r="D2" s="28"/>
      <c r="E2" s="28"/>
      <c r="F2" s="28"/>
      <c r="G2" s="28" t="s">
        <v>32</v>
      </c>
    </row>
    <row r="3" spans="1:7" x14ac:dyDescent="0.2">
      <c r="A3" s="27" t="s">
        <v>582</v>
      </c>
      <c r="B3" s="27"/>
      <c r="C3" s="27"/>
      <c r="D3" s="27"/>
      <c r="E3" s="27"/>
      <c r="F3" s="27"/>
      <c r="G3" s="27"/>
    </row>
    <row r="4" spans="1:7" x14ac:dyDescent="0.2">
      <c r="A4" s="123" t="s">
        <v>30</v>
      </c>
      <c r="B4" s="157" t="s">
        <v>507</v>
      </c>
      <c r="C4" s="157"/>
      <c r="D4" s="157"/>
      <c r="E4" s="157"/>
      <c r="F4" s="157" t="s">
        <v>211</v>
      </c>
      <c r="G4" s="157"/>
    </row>
    <row r="5" spans="1:7" s="7" customFormat="1" ht="12.75" customHeight="1" x14ac:dyDescent="0.2">
      <c r="A5" s="123"/>
      <c r="B5" s="121" t="s">
        <v>41</v>
      </c>
      <c r="C5" s="122" t="s">
        <v>152</v>
      </c>
      <c r="D5" s="122"/>
      <c r="E5" s="120" t="s">
        <v>153</v>
      </c>
      <c r="F5" s="121" t="s">
        <v>45</v>
      </c>
      <c r="G5" s="121" t="s">
        <v>21</v>
      </c>
    </row>
    <row r="6" spans="1:7" s="7" customFormat="1" ht="28.5" customHeight="1" x14ac:dyDescent="0.2">
      <c r="A6" s="123"/>
      <c r="B6" s="121"/>
      <c r="C6" s="34" t="s">
        <v>21</v>
      </c>
      <c r="D6" s="34" t="s">
        <v>156</v>
      </c>
      <c r="E6" s="120"/>
      <c r="F6" s="121"/>
      <c r="G6" s="121"/>
    </row>
    <row r="7" spans="1:7" s="6" customFormat="1" ht="20.45" customHeight="1" x14ac:dyDescent="0.2">
      <c r="A7" s="69" t="s">
        <v>0</v>
      </c>
      <c r="B7" s="70">
        <v>5755.2529263496399</v>
      </c>
      <c r="C7" s="71">
        <v>0.97213557723839017</v>
      </c>
      <c r="D7" s="70">
        <v>1044.5786142349239</v>
      </c>
      <c r="E7" s="70">
        <v>35293.833671092965</v>
      </c>
      <c r="F7" s="70">
        <v>100.13104724884033</v>
      </c>
      <c r="G7" s="71">
        <v>0.52965942583242209</v>
      </c>
    </row>
    <row r="8" spans="1:7" s="6" customFormat="1" ht="20.45" customHeight="1" x14ac:dyDescent="0.2">
      <c r="A8" s="29" t="s">
        <v>1</v>
      </c>
      <c r="B8" s="51">
        <v>802942.91624367237</v>
      </c>
      <c r="C8" s="52">
        <v>6003.5464320237597</v>
      </c>
      <c r="D8" s="51">
        <v>4511730.7984161144</v>
      </c>
      <c r="E8" s="51">
        <v>11804863.019074153</v>
      </c>
      <c r="F8" s="51">
        <v>37406.458131551735</v>
      </c>
      <c r="G8" s="52">
        <v>3220.5447117703252</v>
      </c>
    </row>
    <row r="9" spans="1:7" ht="20.45" customHeight="1" x14ac:dyDescent="0.2">
      <c r="A9" s="30" t="s">
        <v>2</v>
      </c>
      <c r="B9" s="53">
        <v>44920.784566402435</v>
      </c>
      <c r="C9" s="54">
        <v>29.427769628774342</v>
      </c>
      <c r="D9" s="53">
        <v>35188.738584995401</v>
      </c>
      <c r="E9" s="53">
        <v>289001.96459460154</v>
      </c>
      <c r="F9" s="53">
        <v>967.69739532470703</v>
      </c>
      <c r="G9" s="54">
        <v>8.1633790573683633</v>
      </c>
    </row>
    <row r="10" spans="1:7" ht="20.45" customHeight="1" x14ac:dyDescent="0.2">
      <c r="A10" s="30" t="s">
        <v>3</v>
      </c>
      <c r="B10" s="53">
        <v>109126.93849897385</v>
      </c>
      <c r="C10" s="54">
        <v>191.1630227590808</v>
      </c>
      <c r="D10" s="53">
        <v>226694.44931936479</v>
      </c>
      <c r="E10" s="53">
        <v>1027476.8329436744</v>
      </c>
      <c r="F10" s="53">
        <v>2326.4103655815125</v>
      </c>
      <c r="G10" s="54">
        <v>53.096275322364882</v>
      </c>
    </row>
    <row r="11" spans="1:7" ht="20.45" customHeight="1" x14ac:dyDescent="0.2">
      <c r="A11" s="30" t="s">
        <v>4</v>
      </c>
      <c r="B11" s="53">
        <v>300346.16417098045</v>
      </c>
      <c r="C11" s="54">
        <v>1223.3364532379585</v>
      </c>
      <c r="D11" s="53">
        <v>1202171.6682374512</v>
      </c>
      <c r="E11" s="53">
        <v>3729600.2812170158</v>
      </c>
      <c r="F11" s="53">
        <v>10996.130583286285</v>
      </c>
      <c r="G11" s="54">
        <v>406.7053899467079</v>
      </c>
    </row>
    <row r="12" spans="1:7" ht="20.45" customHeight="1" x14ac:dyDescent="0.2">
      <c r="A12" s="30" t="s">
        <v>5</v>
      </c>
      <c r="B12" s="53">
        <v>219460.3894494772</v>
      </c>
      <c r="C12" s="54">
        <v>1890.5219028171407</v>
      </c>
      <c r="D12" s="53">
        <v>1466844.100138664</v>
      </c>
      <c r="E12" s="53">
        <v>3581180.6869020257</v>
      </c>
      <c r="F12" s="53">
        <v>12213.849016427994</v>
      </c>
      <c r="G12" s="54">
        <v>840.00003110933289</v>
      </c>
    </row>
    <row r="13" spans="1:7" ht="20.45" customHeight="1" x14ac:dyDescent="0.2">
      <c r="A13" s="30" t="s">
        <v>6</v>
      </c>
      <c r="B13" s="53">
        <v>103897.22526884079</v>
      </c>
      <c r="C13" s="54">
        <v>1793.8934574158407</v>
      </c>
      <c r="D13" s="53">
        <v>1205318.1372745137</v>
      </c>
      <c r="E13" s="53">
        <v>2402031.1103425003</v>
      </c>
      <c r="F13" s="53">
        <v>7860.7943739891052</v>
      </c>
      <c r="G13" s="54">
        <v>912.24283504447044</v>
      </c>
    </row>
    <row r="14" spans="1:7" ht="20.45" customHeight="1" x14ac:dyDescent="0.2">
      <c r="A14" s="30" t="s">
        <v>7</v>
      </c>
      <c r="B14" s="53">
        <v>18033.388947248459</v>
      </c>
      <c r="C14" s="54">
        <v>499.74312972483744</v>
      </c>
      <c r="D14" s="53">
        <v>248319.93254375385</v>
      </c>
      <c r="E14" s="53">
        <v>541566.33570122754</v>
      </c>
      <c r="F14" s="53">
        <v>1937.1530561447141</v>
      </c>
      <c r="G14" s="54">
        <v>484.24548180110105</v>
      </c>
    </row>
    <row r="15" spans="1:7" ht="20.45" customHeight="1" x14ac:dyDescent="0.2">
      <c r="A15" s="30" t="s">
        <v>8</v>
      </c>
      <c r="B15" s="53">
        <v>4656.9849011898041</v>
      </c>
      <c r="C15" s="54">
        <v>205.51247244256183</v>
      </c>
      <c r="D15" s="53">
        <v>81531.833981037198</v>
      </c>
      <c r="E15" s="53">
        <v>142520.46124267587</v>
      </c>
      <c r="F15" s="53">
        <v>703.50531005859375</v>
      </c>
      <c r="G15" s="54">
        <v>188.79802411982001</v>
      </c>
    </row>
    <row r="16" spans="1:7" ht="20.45" customHeight="1" x14ac:dyDescent="0.2">
      <c r="A16" s="30" t="s">
        <v>9</v>
      </c>
      <c r="B16" s="53">
        <v>1475.8468623161316</v>
      </c>
      <c r="C16" s="54">
        <v>86.537808063149782</v>
      </c>
      <c r="D16" s="53">
        <v>18145.827280998223</v>
      </c>
      <c r="E16" s="53">
        <v>39591.269111633301</v>
      </c>
      <c r="F16" s="53">
        <v>190.88140964508057</v>
      </c>
      <c r="G16" s="54">
        <v>97.495084271460044</v>
      </c>
    </row>
    <row r="17" spans="1:7" ht="20.45" customHeight="1" x14ac:dyDescent="0.2">
      <c r="A17" s="30" t="s">
        <v>10</v>
      </c>
      <c r="B17" s="53">
        <v>954.15090179443359</v>
      </c>
      <c r="C17" s="54">
        <v>83.410415934495589</v>
      </c>
      <c r="D17" s="53">
        <v>27516.111055374146</v>
      </c>
      <c r="E17" s="53">
        <v>50958.409977912823</v>
      </c>
      <c r="F17" s="53">
        <v>210.03662109375</v>
      </c>
      <c r="G17" s="54">
        <v>229.7982110977197</v>
      </c>
    </row>
    <row r="18" spans="1:7" ht="20.45" customHeight="1" x14ac:dyDescent="0.2">
      <c r="A18" s="30" t="s">
        <v>11</v>
      </c>
      <c r="B18" s="53">
        <v>71.042676448822021</v>
      </c>
      <c r="C18" s="54">
        <v>0</v>
      </c>
      <c r="D18" s="53">
        <v>0</v>
      </c>
      <c r="E18" s="53">
        <v>935.6670408248898</v>
      </c>
      <c r="F18" s="53"/>
      <c r="G18" s="54">
        <v>0</v>
      </c>
    </row>
    <row r="19" spans="1:7" s="6" customFormat="1" ht="20.45" customHeight="1" x14ac:dyDescent="0.2">
      <c r="A19" s="31" t="s">
        <v>12</v>
      </c>
      <c r="B19" s="25">
        <f t="shared" ref="B19:G19" si="0">B7+B8</f>
        <v>808698.16917002201</v>
      </c>
      <c r="C19" s="26">
        <f t="shared" si="0"/>
        <v>6004.5185676009978</v>
      </c>
      <c r="D19" s="25">
        <f t="shared" si="0"/>
        <v>4512775.3770303493</v>
      </c>
      <c r="E19" s="25">
        <f t="shared" si="0"/>
        <v>11840156.852745246</v>
      </c>
      <c r="F19" s="25">
        <f t="shared" si="0"/>
        <v>37506.589178800576</v>
      </c>
      <c r="G19" s="26">
        <f t="shared" si="0"/>
        <v>3221.0743711961577</v>
      </c>
    </row>
    <row r="20" spans="1:7" ht="12" customHeight="1" x14ac:dyDescent="0.2"/>
  </sheetData>
  <mergeCells count="9">
    <mergeCell ref="A1:G1"/>
    <mergeCell ref="A4:A6"/>
    <mergeCell ref="B5:B6"/>
    <mergeCell ref="B4:E4"/>
    <mergeCell ref="F4:G4"/>
    <mergeCell ref="F5:F6"/>
    <mergeCell ref="G5:G6"/>
    <mergeCell ref="C5:D5"/>
    <mergeCell ref="E5:E6"/>
  </mergeCells>
  <conditionalFormatting sqref="B7:B19">
    <cfRule type="cellIs" dxfId="809" priority="10" stopIfTrue="1" operator="equal">
      <formula>0</formula>
    </cfRule>
  </conditionalFormatting>
  <conditionalFormatting sqref="D7:E19">
    <cfRule type="cellIs" dxfId="808" priority="9" stopIfTrue="1" operator="equal">
      <formula>0</formula>
    </cfRule>
  </conditionalFormatting>
  <conditionalFormatting sqref="F7:F19">
    <cfRule type="cellIs" dxfId="807" priority="6" stopIfTrue="1" operator="equal">
      <formula>0</formula>
    </cfRule>
  </conditionalFormatting>
  <conditionalFormatting sqref="C19">
    <cfRule type="cellIs" dxfId="806" priority="4" stopIfTrue="1" operator="equal">
      <formula>0</formula>
    </cfRule>
  </conditionalFormatting>
  <conditionalFormatting sqref="C7:C18">
    <cfRule type="cellIs" dxfId="805" priority="3" stopIfTrue="1" operator="equal">
      <formula>0</formula>
    </cfRule>
  </conditionalFormatting>
  <conditionalFormatting sqref="G19">
    <cfRule type="cellIs" dxfId="804" priority="2" stopIfTrue="1" operator="equal">
      <formula>0</formula>
    </cfRule>
  </conditionalFormatting>
  <conditionalFormatting sqref="G7:G18">
    <cfRule type="cellIs" dxfId="803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FD1D-3BE2-4EED-AE91-A13321CEA460}">
  <dimension ref="A1:I20"/>
  <sheetViews>
    <sheetView zoomScaleNormal="100" workbookViewId="0">
      <selection activeCell="C19" sqref="C19"/>
    </sheetView>
  </sheetViews>
  <sheetFormatPr defaultRowHeight="12.75" x14ac:dyDescent="0.2"/>
  <cols>
    <col min="1" max="1" width="23.85546875" bestFit="1" customWidth="1"/>
    <col min="2" max="9" width="11.85546875" customWidth="1"/>
  </cols>
  <sheetData>
    <row r="1" spans="1:9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</row>
    <row r="2" spans="1:9" x14ac:dyDescent="0.2">
      <c r="A2" s="27"/>
      <c r="B2" s="28"/>
      <c r="C2" s="28"/>
      <c r="D2" s="28"/>
      <c r="E2" s="28"/>
      <c r="F2" s="28"/>
      <c r="G2" s="28"/>
      <c r="H2" s="28"/>
      <c r="I2" s="28" t="s">
        <v>32</v>
      </c>
    </row>
    <row r="3" spans="1:9" x14ac:dyDescent="0.2">
      <c r="A3" s="27" t="s">
        <v>583</v>
      </c>
      <c r="B3" s="27"/>
      <c r="C3" s="27"/>
      <c r="D3" s="27"/>
      <c r="E3" s="27"/>
      <c r="F3" s="27"/>
      <c r="G3" s="27"/>
      <c r="H3" s="27"/>
      <c r="I3" s="27"/>
    </row>
    <row r="4" spans="1:9" x14ac:dyDescent="0.2">
      <c r="A4" s="123" t="s">
        <v>30</v>
      </c>
      <c r="B4" s="165" t="s">
        <v>208</v>
      </c>
      <c r="C4" s="166"/>
      <c r="D4" s="165" t="s">
        <v>209</v>
      </c>
      <c r="E4" s="166"/>
      <c r="F4" s="167" t="s">
        <v>210</v>
      </c>
      <c r="G4" s="166"/>
      <c r="H4" s="168" t="s">
        <v>433</v>
      </c>
      <c r="I4" s="169"/>
    </row>
    <row r="5" spans="1:9" s="7" customFormat="1" x14ac:dyDescent="0.2">
      <c r="A5" s="123"/>
      <c r="B5" s="126" t="s">
        <v>45</v>
      </c>
      <c r="C5" s="126" t="s">
        <v>21</v>
      </c>
      <c r="D5" s="126" t="s">
        <v>45</v>
      </c>
      <c r="E5" s="126" t="s">
        <v>21</v>
      </c>
      <c r="F5" s="126" t="s">
        <v>45</v>
      </c>
      <c r="G5" s="126" t="s">
        <v>21</v>
      </c>
      <c r="H5" s="126" t="s">
        <v>45</v>
      </c>
      <c r="I5" s="126" t="s">
        <v>21</v>
      </c>
    </row>
    <row r="6" spans="1:9" s="7" customFormat="1" ht="28.5" customHeight="1" x14ac:dyDescent="0.2">
      <c r="A6" s="123"/>
      <c r="B6" s="127"/>
      <c r="C6" s="127"/>
      <c r="D6" s="127"/>
      <c r="E6" s="127"/>
      <c r="F6" s="127"/>
      <c r="G6" s="127"/>
      <c r="H6" s="127"/>
      <c r="I6" s="127"/>
    </row>
    <row r="7" spans="1:9" s="6" customFormat="1" ht="20.45" customHeight="1" x14ac:dyDescent="0.2">
      <c r="A7" s="69" t="s">
        <v>0</v>
      </c>
      <c r="B7" s="49"/>
      <c r="C7" s="50">
        <v>0</v>
      </c>
      <c r="D7" s="49">
        <v>12.692453384399414</v>
      </c>
      <c r="E7" s="50">
        <v>0.12590964711833788</v>
      </c>
      <c r="F7" s="49">
        <v>1878.0460000038147</v>
      </c>
      <c r="G7" s="50">
        <v>2.2694535357254617</v>
      </c>
      <c r="H7" s="49">
        <v>3407.4463229179382</v>
      </c>
      <c r="I7" s="50">
        <v>1.0161856371329145</v>
      </c>
    </row>
    <row r="8" spans="1:9" s="6" customFormat="1" ht="20.45" customHeight="1" x14ac:dyDescent="0.2">
      <c r="A8" s="29" t="s">
        <v>1</v>
      </c>
      <c r="B8" s="51">
        <v>112464.93561053276</v>
      </c>
      <c r="C8" s="52">
        <v>15438.864774137424</v>
      </c>
      <c r="D8" s="51">
        <v>215558.58740973473</v>
      </c>
      <c r="E8" s="52">
        <v>38913.125424940263</v>
      </c>
      <c r="F8" s="51">
        <v>295592.0817091465</v>
      </c>
      <c r="G8" s="52">
        <v>3697.1811677390383</v>
      </c>
      <c r="H8" s="51">
        <v>169745.42829740047</v>
      </c>
      <c r="I8" s="52">
        <v>3050.3401033296195</v>
      </c>
    </row>
    <row r="9" spans="1:9" ht="20.45" customHeight="1" x14ac:dyDescent="0.2">
      <c r="A9" s="30" t="s">
        <v>2</v>
      </c>
      <c r="B9" s="53">
        <v>1225.8562474250793</v>
      </c>
      <c r="C9" s="54">
        <v>19.171314619644122</v>
      </c>
      <c r="D9" s="53">
        <v>2535.2022886276245</v>
      </c>
      <c r="E9" s="54">
        <v>49.941667349104321</v>
      </c>
      <c r="F9" s="53">
        <v>6849.3164758682251</v>
      </c>
      <c r="G9" s="54">
        <v>20.457747496949015</v>
      </c>
      <c r="H9" s="53">
        <v>10969.666985750198</v>
      </c>
      <c r="I9" s="54">
        <v>14.268768425636987</v>
      </c>
    </row>
    <row r="10" spans="1:9" ht="20.45" customHeight="1" x14ac:dyDescent="0.2">
      <c r="A10" s="30" t="s">
        <v>3</v>
      </c>
      <c r="B10" s="53">
        <v>6296.6501178741455</v>
      </c>
      <c r="C10" s="54">
        <v>161.9115970839224</v>
      </c>
      <c r="D10" s="53">
        <v>17966.134555101395</v>
      </c>
      <c r="E10" s="54">
        <v>753.74545473905903</v>
      </c>
      <c r="F10" s="53">
        <v>23629.425411701202</v>
      </c>
      <c r="G10" s="54">
        <v>75.426815448538861</v>
      </c>
      <c r="H10" s="53">
        <v>18056.711450338364</v>
      </c>
      <c r="I10" s="54">
        <v>60.140011827164741</v>
      </c>
    </row>
    <row r="11" spans="1:9" ht="20.45" customHeight="1" x14ac:dyDescent="0.2">
      <c r="A11" s="30" t="s">
        <v>4</v>
      </c>
      <c r="B11" s="53">
        <v>30913.902418613434</v>
      </c>
      <c r="C11" s="54">
        <v>1616.622939591972</v>
      </c>
      <c r="D11" s="53">
        <v>79064.76930141449</v>
      </c>
      <c r="E11" s="54">
        <v>7028.4208635538698</v>
      </c>
      <c r="F11" s="53">
        <v>91332.551170110703</v>
      </c>
      <c r="G11" s="54">
        <v>511.70692818655601</v>
      </c>
      <c r="H11" s="53">
        <v>51352.706448554993</v>
      </c>
      <c r="I11" s="54">
        <v>387.5933924806165</v>
      </c>
    </row>
    <row r="12" spans="1:9" ht="20.45" customHeight="1" x14ac:dyDescent="0.2">
      <c r="A12" s="30" t="s">
        <v>5</v>
      </c>
      <c r="B12" s="53">
        <v>37010.43378329277</v>
      </c>
      <c r="C12" s="54">
        <v>4089.9628170302326</v>
      </c>
      <c r="D12" s="53">
        <v>68645.620356798172</v>
      </c>
      <c r="E12" s="54">
        <v>12020.230252507165</v>
      </c>
      <c r="F12" s="53">
        <v>94457.398867845535</v>
      </c>
      <c r="G12" s="54">
        <v>992.101695672456</v>
      </c>
      <c r="H12" s="53">
        <v>48982.428057909012</v>
      </c>
      <c r="I12" s="54">
        <v>787.36554382871464</v>
      </c>
    </row>
    <row r="13" spans="1:9" ht="20.45" customHeight="1" x14ac:dyDescent="0.2">
      <c r="A13" s="30" t="s">
        <v>6</v>
      </c>
      <c r="B13" s="53">
        <v>28114.188888549805</v>
      </c>
      <c r="C13" s="54">
        <v>6089.4083735740505</v>
      </c>
      <c r="D13" s="53">
        <v>37629.998452186584</v>
      </c>
      <c r="E13" s="54">
        <v>12761.765135641233</v>
      </c>
      <c r="F13" s="53">
        <v>59834.654484033585</v>
      </c>
      <c r="G13" s="54">
        <v>1258.300553682353</v>
      </c>
      <c r="H13" s="53">
        <v>30250.9257158041</v>
      </c>
      <c r="I13" s="54">
        <v>1011.4435502675437</v>
      </c>
    </row>
    <row r="14" spans="1:9" ht="20.45" customHeight="1" x14ac:dyDescent="0.2">
      <c r="A14" s="30" t="s">
        <v>7</v>
      </c>
      <c r="B14" s="53">
        <v>6126.8216600418091</v>
      </c>
      <c r="C14" s="54">
        <v>2030.1920934301036</v>
      </c>
      <c r="D14" s="53">
        <v>7096.8120381832123</v>
      </c>
      <c r="E14" s="54">
        <v>4100.411363355478</v>
      </c>
      <c r="F14" s="53">
        <v>13512.898661613464</v>
      </c>
      <c r="G14" s="54">
        <v>470.09997108388114</v>
      </c>
      <c r="H14" s="53">
        <v>6735.7239956855774</v>
      </c>
      <c r="I14" s="54">
        <v>337.19907242586078</v>
      </c>
    </row>
    <row r="15" spans="1:9" ht="20.45" customHeight="1" x14ac:dyDescent="0.2">
      <c r="A15" s="30" t="s">
        <v>8</v>
      </c>
      <c r="B15" s="53">
        <v>1920.8084344863892</v>
      </c>
      <c r="C15" s="54">
        <v>935.60021743282778</v>
      </c>
      <c r="D15" s="53">
        <v>1739.8983283042908</v>
      </c>
      <c r="E15" s="54">
        <v>1361.5827961207995</v>
      </c>
      <c r="F15" s="53">
        <v>3752.6099128723145</v>
      </c>
      <c r="G15" s="54">
        <v>217.47949078116235</v>
      </c>
      <c r="H15" s="53">
        <v>2033.5866184234619</v>
      </c>
      <c r="I15" s="54">
        <v>226.49157441973259</v>
      </c>
    </row>
    <row r="16" spans="1:9" ht="20.45" customHeight="1" x14ac:dyDescent="0.2">
      <c r="A16" s="30" t="s">
        <v>9</v>
      </c>
      <c r="B16" s="53">
        <v>573.17701292037964</v>
      </c>
      <c r="C16" s="54">
        <v>315.17272581389858</v>
      </c>
      <c r="D16" s="53">
        <v>592.14964914321899</v>
      </c>
      <c r="E16" s="54">
        <v>501.89052852340365</v>
      </c>
      <c r="F16" s="53">
        <v>1177.5647156238556</v>
      </c>
      <c r="G16" s="54">
        <v>52.67163579527967</v>
      </c>
      <c r="H16" s="53">
        <v>651.88226246833801</v>
      </c>
      <c r="I16" s="54">
        <v>79.014397913229089</v>
      </c>
    </row>
    <row r="17" spans="1:9" ht="20.45" customHeight="1" x14ac:dyDescent="0.2">
      <c r="A17" s="30" t="s">
        <v>10</v>
      </c>
      <c r="B17" s="53">
        <v>283.09704732894897</v>
      </c>
      <c r="C17" s="54">
        <v>180.82269556066635</v>
      </c>
      <c r="D17" s="53">
        <v>288.00243997573853</v>
      </c>
      <c r="E17" s="54">
        <v>335.1373631498567</v>
      </c>
      <c r="F17" s="53">
        <v>955.89614462852478</v>
      </c>
      <c r="G17" s="54">
        <v>90.173025622370702</v>
      </c>
      <c r="H17" s="53">
        <v>641.50950765609741</v>
      </c>
      <c r="I17" s="54">
        <v>122.56089152827718</v>
      </c>
    </row>
    <row r="18" spans="1:9" ht="20.45" customHeight="1" x14ac:dyDescent="0.2">
      <c r="A18" s="30" t="s">
        <v>11</v>
      </c>
      <c r="B18" s="53"/>
      <c r="C18" s="54">
        <v>0</v>
      </c>
      <c r="D18" s="53"/>
      <c r="E18" s="54">
        <v>0</v>
      </c>
      <c r="F18" s="53">
        <v>89.765864849090576</v>
      </c>
      <c r="G18" s="54">
        <v>8.7633039695268984</v>
      </c>
      <c r="H18" s="53">
        <v>70.287254810333252</v>
      </c>
      <c r="I18" s="54">
        <v>24.262900212814049</v>
      </c>
    </row>
    <row r="19" spans="1:9" s="6" customFormat="1" ht="20.45" customHeight="1" x14ac:dyDescent="0.2">
      <c r="A19" s="31" t="s">
        <v>12</v>
      </c>
      <c r="B19" s="25">
        <f>B7+B8</f>
        <v>112464.93561053276</v>
      </c>
      <c r="C19" s="26">
        <f t="shared" ref="C19:I19" si="0">C7+C8</f>
        <v>15438.864774137424</v>
      </c>
      <c r="D19" s="25">
        <f t="shared" si="0"/>
        <v>215571.27986311913</v>
      </c>
      <c r="E19" s="26">
        <f t="shared" si="0"/>
        <v>38913.251334587381</v>
      </c>
      <c r="F19" s="25">
        <f t="shared" si="0"/>
        <v>297470.12770915031</v>
      </c>
      <c r="G19" s="26">
        <f t="shared" si="0"/>
        <v>3699.4506212747638</v>
      </c>
      <c r="H19" s="25">
        <f t="shared" si="0"/>
        <v>173152.87462031841</v>
      </c>
      <c r="I19" s="26">
        <f t="shared" si="0"/>
        <v>3051.3562889667523</v>
      </c>
    </row>
    <row r="20" spans="1:9" ht="12" customHeight="1" x14ac:dyDescent="0.2"/>
  </sheetData>
  <mergeCells count="14">
    <mergeCell ref="A1:I1"/>
    <mergeCell ref="A4:A6"/>
    <mergeCell ref="B4:C4"/>
    <mergeCell ref="D4:E4"/>
    <mergeCell ref="F4:G4"/>
    <mergeCell ref="H4:I4"/>
    <mergeCell ref="B5:B6"/>
    <mergeCell ref="I5:I6"/>
    <mergeCell ref="C5:C6"/>
    <mergeCell ref="D5:D6"/>
    <mergeCell ref="E5:E6"/>
    <mergeCell ref="F5:F6"/>
    <mergeCell ref="G5:G6"/>
    <mergeCell ref="H5:H6"/>
  </mergeCells>
  <conditionalFormatting sqref="C19">
    <cfRule type="cellIs" dxfId="802" priority="12" stopIfTrue="1" operator="equal">
      <formula>0</formula>
    </cfRule>
  </conditionalFormatting>
  <conditionalFormatting sqref="C7:C18">
    <cfRule type="cellIs" dxfId="801" priority="11" stopIfTrue="1" operator="equal">
      <formula>0</formula>
    </cfRule>
  </conditionalFormatting>
  <conditionalFormatting sqref="E19">
    <cfRule type="cellIs" dxfId="800" priority="10" stopIfTrue="1" operator="equal">
      <formula>0</formula>
    </cfRule>
  </conditionalFormatting>
  <conditionalFormatting sqref="E7:E18">
    <cfRule type="cellIs" dxfId="799" priority="9" stopIfTrue="1" operator="equal">
      <formula>0</formula>
    </cfRule>
  </conditionalFormatting>
  <conditionalFormatting sqref="G19">
    <cfRule type="cellIs" dxfId="798" priority="8" stopIfTrue="1" operator="equal">
      <formula>0</formula>
    </cfRule>
  </conditionalFormatting>
  <conditionalFormatting sqref="G7:G18">
    <cfRule type="cellIs" dxfId="797" priority="7" stopIfTrue="1" operator="equal">
      <formula>0</formula>
    </cfRule>
  </conditionalFormatting>
  <conditionalFormatting sqref="I19">
    <cfRule type="cellIs" dxfId="796" priority="6" stopIfTrue="1" operator="equal">
      <formula>0</formula>
    </cfRule>
  </conditionalFormatting>
  <conditionalFormatting sqref="I7:I18">
    <cfRule type="cellIs" dxfId="795" priority="5" stopIfTrue="1" operator="equal">
      <formula>0</formula>
    </cfRule>
  </conditionalFormatting>
  <conditionalFormatting sqref="B7:B19">
    <cfRule type="cellIs" dxfId="794" priority="4" stopIfTrue="1" operator="equal">
      <formula>0</formula>
    </cfRule>
  </conditionalFormatting>
  <conditionalFormatting sqref="D7:D19">
    <cfRule type="cellIs" dxfId="793" priority="3" stopIfTrue="1" operator="equal">
      <formula>0</formula>
    </cfRule>
  </conditionalFormatting>
  <conditionalFormatting sqref="F7:F19">
    <cfRule type="cellIs" dxfId="792" priority="2" stopIfTrue="1" operator="equal">
      <formula>0</formula>
    </cfRule>
  </conditionalFormatting>
  <conditionalFormatting sqref="H7:H19">
    <cfRule type="cellIs" dxfId="791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A827-0EEE-4D5B-9487-60B5934E566D}">
  <dimension ref="A1:Q20"/>
  <sheetViews>
    <sheetView zoomScale="106" zoomScaleNormal="100" workbookViewId="0">
      <selection activeCell="C19" sqref="C19"/>
    </sheetView>
  </sheetViews>
  <sheetFormatPr defaultColWidth="8.85546875" defaultRowHeight="12.75" x14ac:dyDescent="0.2"/>
  <cols>
    <col min="1" max="1" width="23.85546875" style="27" bestFit="1" customWidth="1"/>
    <col min="2" max="2" width="10.42578125" style="27" bestFit="1" customWidth="1"/>
    <col min="3" max="3" width="12.140625" style="27" bestFit="1" customWidth="1"/>
    <col min="4" max="4" width="11" style="27" customWidth="1"/>
    <col min="5" max="5" width="10.5703125" style="27" customWidth="1"/>
    <col min="6" max="6" width="8.5703125" style="27" bestFit="1" customWidth="1"/>
    <col min="7" max="7" width="10.42578125" style="27" bestFit="1" customWidth="1"/>
    <col min="8" max="8" width="10.140625" style="27" customWidth="1"/>
    <col min="9" max="9" width="8.5703125" style="27" customWidth="1"/>
    <col min="10" max="10" width="9.85546875" style="27" customWidth="1"/>
    <col min="11" max="11" width="9.42578125" style="27" customWidth="1"/>
    <col min="12" max="13" width="8.85546875" style="27"/>
    <col min="14" max="14" width="9" style="27" customWidth="1"/>
    <col min="15" max="16" width="10.5703125" style="27" customWidth="1"/>
    <col min="17" max="17" width="12.5703125" style="27" customWidth="1"/>
    <col min="18" max="16384" width="8.85546875" style="27"/>
  </cols>
  <sheetData>
    <row r="1" spans="1:17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 t="s">
        <v>32</v>
      </c>
    </row>
    <row r="3" spans="1:17" x14ac:dyDescent="0.2">
      <c r="A3" s="27" t="s">
        <v>215</v>
      </c>
    </row>
    <row r="4" spans="1:17" s="39" customFormat="1" x14ac:dyDescent="0.2">
      <c r="A4" s="123" t="s">
        <v>30</v>
      </c>
      <c r="B4" s="122" t="s">
        <v>47</v>
      </c>
      <c r="C4" s="122"/>
      <c r="D4" s="168" t="s">
        <v>216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69"/>
    </row>
    <row r="5" spans="1:17" s="39" customFormat="1" ht="25.5" customHeight="1" x14ac:dyDescent="0.2">
      <c r="A5" s="123"/>
      <c r="B5" s="121" t="s">
        <v>41</v>
      </c>
      <c r="C5" s="121" t="s">
        <v>21</v>
      </c>
      <c r="D5" s="121" t="s">
        <v>80</v>
      </c>
      <c r="E5" s="122" t="s">
        <v>217</v>
      </c>
      <c r="F5" s="122"/>
      <c r="G5" s="122"/>
      <c r="H5" s="176" t="s">
        <v>218</v>
      </c>
      <c r="I5" s="177"/>
      <c r="J5" s="177"/>
      <c r="K5" s="177"/>
      <c r="L5" s="178"/>
      <c r="M5" s="176" t="s">
        <v>219</v>
      </c>
      <c r="N5" s="177"/>
      <c r="O5" s="178"/>
      <c r="P5" s="170" t="s">
        <v>220</v>
      </c>
      <c r="Q5" s="171"/>
    </row>
    <row r="6" spans="1:17" s="39" customFormat="1" ht="19.5" customHeight="1" x14ac:dyDescent="0.2">
      <c r="A6" s="123"/>
      <c r="B6" s="121"/>
      <c r="C6" s="121"/>
      <c r="D6" s="121"/>
      <c r="E6" s="152" t="s">
        <v>221</v>
      </c>
      <c r="F6" s="174"/>
      <c r="G6" s="153"/>
      <c r="H6" s="126" t="s">
        <v>221</v>
      </c>
      <c r="I6" s="152" t="s">
        <v>222</v>
      </c>
      <c r="J6" s="174"/>
      <c r="K6" s="174"/>
      <c r="L6" s="153"/>
      <c r="M6" s="152" t="s">
        <v>221</v>
      </c>
      <c r="N6" s="174"/>
      <c r="O6" s="153"/>
      <c r="P6" s="172"/>
      <c r="Q6" s="173"/>
    </row>
    <row r="7" spans="1:17" s="39" customFormat="1" ht="38.25" x14ac:dyDescent="0.2">
      <c r="A7" s="123"/>
      <c r="B7" s="126"/>
      <c r="C7" s="126"/>
      <c r="D7" s="126"/>
      <c r="E7" s="33" t="s">
        <v>223</v>
      </c>
      <c r="F7" s="33" t="s">
        <v>224</v>
      </c>
      <c r="G7" s="33" t="s">
        <v>225</v>
      </c>
      <c r="H7" s="149"/>
      <c r="I7" s="65" t="s">
        <v>547</v>
      </c>
      <c r="J7" s="65" t="s">
        <v>548</v>
      </c>
      <c r="K7" s="65" t="s">
        <v>549</v>
      </c>
      <c r="L7" s="65" t="s">
        <v>550</v>
      </c>
      <c r="M7" s="33" t="s">
        <v>226</v>
      </c>
      <c r="N7" s="33" t="s">
        <v>227</v>
      </c>
      <c r="O7" s="33" t="s">
        <v>228</v>
      </c>
      <c r="P7" s="33" t="s">
        <v>21</v>
      </c>
      <c r="Q7" s="33" t="s">
        <v>508</v>
      </c>
    </row>
    <row r="8" spans="1:17" s="38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3511.9194293022156</v>
      </c>
      <c r="E8" s="49">
        <v>2731.2308983802795</v>
      </c>
      <c r="F8" s="49">
        <v>417.14593553543091</v>
      </c>
      <c r="G8" s="49">
        <v>363.54259538650513</v>
      </c>
      <c r="H8" s="49">
        <v>596.4757137298584</v>
      </c>
      <c r="I8" s="49">
        <v>230.88305377960205</v>
      </c>
      <c r="J8" s="49">
        <v>294.32762622833252</v>
      </c>
      <c r="K8" s="49">
        <v>71.265033721923828</v>
      </c>
      <c r="L8" s="49">
        <v>0</v>
      </c>
      <c r="M8" s="49">
        <v>2225.7166199684143</v>
      </c>
      <c r="N8" s="49">
        <v>454.95982217788696</v>
      </c>
      <c r="O8" s="49">
        <v>831.24298715591431</v>
      </c>
      <c r="P8" s="50">
        <v>22.80850320127557</v>
      </c>
      <c r="Q8" s="56">
        <v>155.28757377804638</v>
      </c>
    </row>
    <row r="9" spans="1:17" s="38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2761955.4993098974</v>
      </c>
      <c r="E9" s="51">
        <v>1554462.926281333</v>
      </c>
      <c r="F9" s="51">
        <v>752544.95293402672</v>
      </c>
      <c r="G9" s="51">
        <v>454947.62009453773</v>
      </c>
      <c r="H9" s="51">
        <v>1233200.9733548164</v>
      </c>
      <c r="I9" s="51">
        <v>485961.36865186691</v>
      </c>
      <c r="J9" s="51">
        <v>548651.04765677452</v>
      </c>
      <c r="K9" s="51">
        <v>183877.55032801628</v>
      </c>
      <c r="L9" s="51">
        <v>14711.006718158722</v>
      </c>
      <c r="M9" s="51">
        <v>664581.68844163418</v>
      </c>
      <c r="N9" s="51">
        <v>654175.89248681068</v>
      </c>
      <c r="O9" s="51">
        <v>1443197.9183814526</v>
      </c>
      <c r="P9" s="52">
        <v>973853.72336654912</v>
      </c>
      <c r="Q9" s="57">
        <v>1601678.6520717237</v>
      </c>
    </row>
    <row r="10" spans="1:17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164723.26423096657</v>
      </c>
      <c r="E10" s="53">
        <v>96244.175853490829</v>
      </c>
      <c r="F10" s="53">
        <v>39537.09431374073</v>
      </c>
      <c r="G10" s="53">
        <v>28941.994063735008</v>
      </c>
      <c r="H10" s="53">
        <v>57744.807760477066</v>
      </c>
      <c r="I10" s="53">
        <v>25761.917750120163</v>
      </c>
      <c r="J10" s="53">
        <v>25074.003403425217</v>
      </c>
      <c r="K10" s="53">
        <v>6302.3218438625336</v>
      </c>
      <c r="L10" s="53">
        <v>606.56476306915283</v>
      </c>
      <c r="M10" s="53">
        <v>51978.003574371338</v>
      </c>
      <c r="N10" s="53">
        <v>38404.160819768906</v>
      </c>
      <c r="O10" s="53">
        <v>74341.099836826324</v>
      </c>
      <c r="P10" s="54">
        <v>5284.3358403601187</v>
      </c>
      <c r="Q10" s="58">
        <v>16131.105796941536</v>
      </c>
    </row>
    <row r="11" spans="1:17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397600.49964475632</v>
      </c>
      <c r="E11" s="53">
        <v>231640.99824440479</v>
      </c>
      <c r="F11" s="53">
        <v>96641.97395336628</v>
      </c>
      <c r="G11" s="53">
        <v>69317.527446985245</v>
      </c>
      <c r="H11" s="53">
        <v>149267.85478961468</v>
      </c>
      <c r="I11" s="53">
        <v>62773.051818132401</v>
      </c>
      <c r="J11" s="53">
        <v>65296.771646976471</v>
      </c>
      <c r="K11" s="53">
        <v>19302.474254727364</v>
      </c>
      <c r="L11" s="53">
        <v>1895.5570697784424</v>
      </c>
      <c r="M11" s="53">
        <v>111867.03305089474</v>
      </c>
      <c r="N11" s="53">
        <v>84910.502531409264</v>
      </c>
      <c r="O11" s="53">
        <v>200822.96406245232</v>
      </c>
      <c r="P11" s="54">
        <v>32591.47095233883</v>
      </c>
      <c r="Q11" s="58">
        <v>70303.507083745848</v>
      </c>
    </row>
    <row r="12" spans="1:17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1023802.1357523203</v>
      </c>
      <c r="E12" s="53">
        <v>589817.06394791603</v>
      </c>
      <c r="F12" s="53">
        <v>262116.74219870567</v>
      </c>
      <c r="G12" s="53">
        <v>171868.32960569859</v>
      </c>
      <c r="H12" s="53">
        <v>432227.89123177528</v>
      </c>
      <c r="I12" s="53">
        <v>169487.04262781143</v>
      </c>
      <c r="J12" s="53">
        <v>192383.31979763508</v>
      </c>
      <c r="K12" s="53">
        <v>65409.666417717934</v>
      </c>
      <c r="L12" s="53">
        <v>4947.8623886108398</v>
      </c>
      <c r="M12" s="53">
        <v>256674.58435690403</v>
      </c>
      <c r="N12" s="53">
        <v>222198.36519360542</v>
      </c>
      <c r="O12" s="53">
        <v>544929.18620181084</v>
      </c>
      <c r="P12" s="54">
        <v>195508.54632720648</v>
      </c>
      <c r="Q12" s="58">
        <v>346894.22476012999</v>
      </c>
    </row>
    <row r="13" spans="1:17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733760.53038203716</v>
      </c>
      <c r="E13" s="53">
        <v>405965.2695555687</v>
      </c>
      <c r="F13" s="53">
        <v>208642.17654502392</v>
      </c>
      <c r="G13" s="53">
        <v>119153.08428144455</v>
      </c>
      <c r="H13" s="53">
        <v>349339.11342072487</v>
      </c>
      <c r="I13" s="53">
        <v>137214.49382615089</v>
      </c>
      <c r="J13" s="53">
        <v>154338.79880642891</v>
      </c>
      <c r="K13" s="53">
        <v>53609.867144823074</v>
      </c>
      <c r="L13" s="53">
        <v>4175.953643321991</v>
      </c>
      <c r="M13" s="53">
        <v>159499.67668950558</v>
      </c>
      <c r="N13" s="53">
        <v>179414.72911500931</v>
      </c>
      <c r="O13" s="53">
        <v>394846.12457752228</v>
      </c>
      <c r="P13" s="54">
        <v>298331.41052991495</v>
      </c>
      <c r="Q13" s="58">
        <v>502881.08179499046</v>
      </c>
    </row>
    <row r="14" spans="1:17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340587.86789000034</v>
      </c>
      <c r="E14" s="53">
        <v>181826.61685788631</v>
      </c>
      <c r="F14" s="53">
        <v>107803.50429034233</v>
      </c>
      <c r="G14" s="53">
        <v>50957.746741771698</v>
      </c>
      <c r="H14" s="53">
        <v>183006.75347232819</v>
      </c>
      <c r="I14" s="53">
        <v>69910.855050563812</v>
      </c>
      <c r="J14" s="53">
        <v>82412.872961759567</v>
      </c>
      <c r="K14" s="53">
        <v>28405.072046041489</v>
      </c>
      <c r="L14" s="53">
        <v>2277.9534139633179</v>
      </c>
      <c r="M14" s="53">
        <v>67331.85092151165</v>
      </c>
      <c r="N14" s="53">
        <v>95373.865280389786</v>
      </c>
      <c r="O14" s="53">
        <v>177882.15168809891</v>
      </c>
      <c r="P14" s="54">
        <v>266765.82181608147</v>
      </c>
      <c r="Q14" s="58">
        <v>393737.23636245762</v>
      </c>
    </row>
    <row r="15" spans="1:17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66999.263821363449</v>
      </c>
      <c r="E15" s="53">
        <v>33353.821476101875</v>
      </c>
      <c r="F15" s="53">
        <v>24074.895233273506</v>
      </c>
      <c r="G15" s="53">
        <v>9570.5471119880676</v>
      </c>
      <c r="H15" s="53">
        <v>39529.549538016319</v>
      </c>
      <c r="I15" s="53">
        <v>13793.728998184204</v>
      </c>
      <c r="J15" s="53">
        <v>18302.434353470802</v>
      </c>
      <c r="K15" s="53">
        <v>6939.425333738327</v>
      </c>
      <c r="L15" s="53">
        <v>493.96085262298584</v>
      </c>
      <c r="M15" s="53">
        <v>11385.013236165047</v>
      </c>
      <c r="N15" s="53">
        <v>21498.783909201622</v>
      </c>
      <c r="O15" s="53">
        <v>34115.46667599678</v>
      </c>
      <c r="P15" s="54">
        <v>93177.237995936783</v>
      </c>
      <c r="Q15" s="58">
        <v>140080.24569342806</v>
      </c>
    </row>
    <row r="16" spans="1:17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21324.936141610146</v>
      </c>
      <c r="E16" s="53">
        <v>10219.80908203125</v>
      </c>
      <c r="F16" s="53">
        <v>8213.7702399492264</v>
      </c>
      <c r="G16" s="53">
        <v>2891.3568196296692</v>
      </c>
      <c r="H16" s="53">
        <v>13331.56832420826</v>
      </c>
      <c r="I16" s="53">
        <v>4276.9085397720337</v>
      </c>
      <c r="J16" s="53">
        <v>6510.4592558145523</v>
      </c>
      <c r="K16" s="53">
        <v>2365.7999033927917</v>
      </c>
      <c r="L16" s="53">
        <v>178.40062522888184</v>
      </c>
      <c r="M16" s="53">
        <v>3761.2791328430176</v>
      </c>
      <c r="N16" s="53">
        <v>7528.629781126976</v>
      </c>
      <c r="O16" s="53">
        <v>10035.027227640152</v>
      </c>
      <c r="P16" s="54">
        <v>41220.232918811336</v>
      </c>
      <c r="Q16" s="58">
        <v>65438.259474476268</v>
      </c>
    </row>
    <row r="17" spans="1:17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6334.1593927145004</v>
      </c>
      <c r="E17" s="53">
        <v>2717.2460232973099</v>
      </c>
      <c r="F17" s="53">
        <v>2549.1267087459564</v>
      </c>
      <c r="G17" s="53">
        <v>1067.7866606712341</v>
      </c>
      <c r="H17" s="53">
        <v>3911.464586019516</v>
      </c>
      <c r="I17" s="53">
        <v>1301.6722912788391</v>
      </c>
      <c r="J17" s="53">
        <v>1960.8022215366364</v>
      </c>
      <c r="K17" s="53">
        <v>615.91398620605469</v>
      </c>
      <c r="L17" s="53">
        <v>33.07608699798584</v>
      </c>
      <c r="M17" s="53">
        <v>1142.5882498025894</v>
      </c>
      <c r="N17" s="53">
        <v>2056.2239639759064</v>
      </c>
      <c r="O17" s="53">
        <v>3135.3471789360046</v>
      </c>
      <c r="P17" s="54">
        <v>15076.780081502076</v>
      </c>
      <c r="Q17" s="58">
        <v>23015.072684925675</v>
      </c>
    </row>
    <row r="18" spans="1:17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6049.5261423587799</v>
      </c>
      <c r="E18" s="53">
        <v>2372.8376785516739</v>
      </c>
      <c r="F18" s="53">
        <v>2617.1222840547562</v>
      </c>
      <c r="G18" s="53">
        <v>1059.5661797523499</v>
      </c>
      <c r="H18" s="53">
        <v>4328.7783681154251</v>
      </c>
      <c r="I18" s="53">
        <v>1287.3844830989838</v>
      </c>
      <c r="J18" s="53">
        <v>2146.7831281423569</v>
      </c>
      <c r="K18" s="53">
        <v>829.81079769134521</v>
      </c>
      <c r="L18" s="53">
        <v>64.799959182739258</v>
      </c>
      <c r="M18" s="53">
        <v>863.06242740154266</v>
      </c>
      <c r="N18" s="53">
        <v>2491.9323769807816</v>
      </c>
      <c r="O18" s="53">
        <v>2694.5313379764557</v>
      </c>
      <c r="P18" s="54">
        <v>20563.901723813258</v>
      </c>
      <c r="Q18" s="58">
        <v>34040.035469768962</v>
      </c>
    </row>
    <row r="19" spans="1:17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773.31591176986694</v>
      </c>
      <c r="E19" s="53">
        <v>305.087562084198</v>
      </c>
      <c r="F19" s="53">
        <v>348.54716682434082</v>
      </c>
      <c r="G19" s="53">
        <v>119.68118286132813</v>
      </c>
      <c r="H19" s="53">
        <v>513.19186353683472</v>
      </c>
      <c r="I19" s="53">
        <v>154.31326675415039</v>
      </c>
      <c r="J19" s="53">
        <v>224.80208158493042</v>
      </c>
      <c r="K19" s="53">
        <v>97.198599815368652</v>
      </c>
      <c r="L19" s="53">
        <v>36.877915382385254</v>
      </c>
      <c r="M19" s="53">
        <v>78.596802234649658</v>
      </c>
      <c r="N19" s="53">
        <v>298.6995153427124</v>
      </c>
      <c r="O19" s="53">
        <v>396.01959419250488</v>
      </c>
      <c r="P19" s="54">
        <v>5333.9851805618391</v>
      </c>
      <c r="Q19" s="58">
        <v>9157.882950852274</v>
      </c>
    </row>
    <row r="20" spans="1:17" s="38" customFormat="1" ht="20.45" customHeight="1" x14ac:dyDescent="0.2">
      <c r="A20" s="31" t="s">
        <v>12</v>
      </c>
      <c r="B20" s="25">
        <f>B8+B9</f>
        <v>4130789.1689232588</v>
      </c>
      <c r="C20" s="26">
        <f>C8+C9</f>
        <v>2218409.9185657408</v>
      </c>
      <c r="D20" s="25">
        <f t="shared" ref="D20:Q20" si="0">D8+D9</f>
        <v>2765467.4187391996</v>
      </c>
      <c r="E20" s="25">
        <f t="shared" si="0"/>
        <v>1557194.1571797132</v>
      </c>
      <c r="F20" s="25">
        <f t="shared" si="0"/>
        <v>752962.09886956215</v>
      </c>
      <c r="G20" s="25">
        <f t="shared" si="0"/>
        <v>455311.16268992424</v>
      </c>
      <c r="H20" s="25">
        <f t="shared" si="0"/>
        <v>1233797.4490685463</v>
      </c>
      <c r="I20" s="25">
        <f t="shared" si="0"/>
        <v>486192.25170564651</v>
      </c>
      <c r="J20" s="25">
        <f t="shared" si="0"/>
        <v>548945.37528300285</v>
      </c>
      <c r="K20" s="25">
        <f t="shared" si="0"/>
        <v>183948.8153617382</v>
      </c>
      <c r="L20" s="25">
        <f t="shared" si="0"/>
        <v>14711.006718158722</v>
      </c>
      <c r="M20" s="25">
        <f t="shared" si="0"/>
        <v>666807.40506160259</v>
      </c>
      <c r="N20" s="25">
        <f t="shared" si="0"/>
        <v>654630.85230898857</v>
      </c>
      <c r="O20" s="25">
        <f t="shared" si="0"/>
        <v>1444029.1613686085</v>
      </c>
      <c r="P20" s="26">
        <f t="shared" si="0"/>
        <v>973876.53186975035</v>
      </c>
      <c r="Q20" s="59">
        <f t="shared" si="0"/>
        <v>1601833.9396455018</v>
      </c>
    </row>
  </sheetData>
  <mergeCells count="15">
    <mergeCell ref="C5:C7"/>
    <mergeCell ref="D5:D7"/>
    <mergeCell ref="E5:G5"/>
    <mergeCell ref="H5:L5"/>
    <mergeCell ref="M5:O5"/>
    <mergeCell ref="P5:Q6"/>
    <mergeCell ref="E6:G6"/>
    <mergeCell ref="H6:H7"/>
    <mergeCell ref="I6:L6"/>
    <mergeCell ref="M6:O6"/>
    <mergeCell ref="A1:Q1"/>
    <mergeCell ref="A4:A7"/>
    <mergeCell ref="B4:C4"/>
    <mergeCell ref="D4:Q4"/>
    <mergeCell ref="B5:B7"/>
  </mergeCells>
  <conditionalFormatting sqref="B8:B20">
    <cfRule type="cellIs" dxfId="790" priority="30" stopIfTrue="1" operator="equal">
      <formula>0</formula>
    </cfRule>
  </conditionalFormatting>
  <conditionalFormatting sqref="C8:C20">
    <cfRule type="cellIs" dxfId="789" priority="29" stopIfTrue="1" operator="equal">
      <formula>0</formula>
    </cfRule>
  </conditionalFormatting>
  <conditionalFormatting sqref="D8:D20">
    <cfRule type="cellIs" dxfId="788" priority="14" stopIfTrue="1" operator="equal">
      <formula>0</formula>
    </cfRule>
  </conditionalFormatting>
  <conditionalFormatting sqref="E8:E20">
    <cfRule type="cellIs" dxfId="787" priority="13" stopIfTrue="1" operator="equal">
      <formula>0</formula>
    </cfRule>
  </conditionalFormatting>
  <conditionalFormatting sqref="F8:F20">
    <cfRule type="cellIs" dxfId="786" priority="12" stopIfTrue="1" operator="equal">
      <formula>0</formula>
    </cfRule>
  </conditionalFormatting>
  <conditionalFormatting sqref="G8:G20">
    <cfRule type="cellIs" dxfId="785" priority="11" stopIfTrue="1" operator="equal">
      <formula>0</formula>
    </cfRule>
  </conditionalFormatting>
  <conditionalFormatting sqref="H8:H20">
    <cfRule type="cellIs" dxfId="784" priority="10" stopIfTrue="1" operator="equal">
      <formula>0</formula>
    </cfRule>
  </conditionalFormatting>
  <conditionalFormatting sqref="I8:I20">
    <cfRule type="cellIs" dxfId="783" priority="9" stopIfTrue="1" operator="equal">
      <formula>0</formula>
    </cfRule>
  </conditionalFormatting>
  <conditionalFormatting sqref="J8:J20">
    <cfRule type="cellIs" dxfId="782" priority="8" stopIfTrue="1" operator="equal">
      <formula>0</formula>
    </cfRule>
  </conditionalFormatting>
  <conditionalFormatting sqref="K8:K20">
    <cfRule type="cellIs" dxfId="781" priority="7" stopIfTrue="1" operator="equal">
      <formula>0</formula>
    </cfRule>
  </conditionalFormatting>
  <conditionalFormatting sqref="L8:L20">
    <cfRule type="cellIs" dxfId="780" priority="6" stopIfTrue="1" operator="equal">
      <formula>0</formula>
    </cfRule>
  </conditionalFormatting>
  <conditionalFormatting sqref="M8:M20">
    <cfRule type="cellIs" dxfId="779" priority="5" stopIfTrue="1" operator="equal">
      <formula>0</formula>
    </cfRule>
  </conditionalFormatting>
  <conditionalFormatting sqref="N8:N20">
    <cfRule type="cellIs" dxfId="778" priority="4" stopIfTrue="1" operator="equal">
      <formula>0</formula>
    </cfRule>
  </conditionalFormatting>
  <conditionalFormatting sqref="O8:O20">
    <cfRule type="cellIs" dxfId="777" priority="3" stopIfTrue="1" operator="equal">
      <formula>0</formula>
    </cfRule>
  </conditionalFormatting>
  <conditionalFormatting sqref="P8:P20">
    <cfRule type="cellIs" dxfId="776" priority="2" stopIfTrue="1" operator="equal">
      <formula>0</formula>
    </cfRule>
  </conditionalFormatting>
  <conditionalFormatting sqref="Q8:Q20">
    <cfRule type="cellIs" dxfId="775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3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1923-28A9-42AD-9A6F-88A67FDB5263}">
  <dimension ref="A1:Q20"/>
  <sheetViews>
    <sheetView zoomScale="117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42578125" bestFit="1" customWidth="1"/>
    <col min="3" max="3" width="12.140625" bestFit="1" customWidth="1"/>
    <col min="4" max="4" width="11" customWidth="1"/>
    <col min="5" max="5" width="10.5703125" customWidth="1"/>
    <col min="6" max="6" width="8.5703125" bestFit="1" customWidth="1"/>
    <col min="7" max="7" width="10.42578125" bestFit="1" customWidth="1"/>
    <col min="8" max="8" width="10.140625" customWidth="1"/>
    <col min="9" max="9" width="8.5703125" customWidth="1"/>
    <col min="10" max="11" width="9.42578125" customWidth="1"/>
    <col min="13" max="13" width="10.5703125" customWidth="1"/>
    <col min="14" max="14" width="9" customWidth="1"/>
    <col min="15" max="16" width="10.5703125" customWidth="1"/>
    <col min="17" max="17" width="12.5703125" customWidth="1"/>
  </cols>
  <sheetData>
    <row r="1" spans="1:17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 t="s">
        <v>32</v>
      </c>
    </row>
    <row r="3" spans="1:17" x14ac:dyDescent="0.2">
      <c r="A3" s="27" t="s">
        <v>231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s="7" customFormat="1" x14ac:dyDescent="0.2">
      <c r="A4" s="123" t="s">
        <v>30</v>
      </c>
      <c r="B4" s="122" t="s">
        <v>47</v>
      </c>
      <c r="C4" s="122"/>
      <c r="D4" s="168" t="s">
        <v>229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69"/>
    </row>
    <row r="5" spans="1:17" s="7" customFormat="1" ht="25.5" customHeight="1" x14ac:dyDescent="0.2">
      <c r="A5" s="123"/>
      <c r="B5" s="121" t="s">
        <v>41</v>
      </c>
      <c r="C5" s="121" t="s">
        <v>21</v>
      </c>
      <c r="D5" s="121" t="s">
        <v>80</v>
      </c>
      <c r="E5" s="122" t="s">
        <v>217</v>
      </c>
      <c r="F5" s="122"/>
      <c r="G5" s="122"/>
      <c r="H5" s="176" t="s">
        <v>218</v>
      </c>
      <c r="I5" s="177"/>
      <c r="J5" s="177"/>
      <c r="K5" s="177"/>
      <c r="L5" s="178"/>
      <c r="M5" s="176" t="s">
        <v>219</v>
      </c>
      <c r="N5" s="177"/>
      <c r="O5" s="178"/>
      <c r="P5" s="170" t="s">
        <v>220</v>
      </c>
      <c r="Q5" s="171"/>
    </row>
    <row r="6" spans="1:17" s="7" customFormat="1" ht="19.5" customHeight="1" x14ac:dyDescent="0.2">
      <c r="A6" s="123"/>
      <c r="B6" s="121"/>
      <c r="C6" s="121"/>
      <c r="D6" s="121"/>
      <c r="E6" s="152" t="s">
        <v>221</v>
      </c>
      <c r="F6" s="174"/>
      <c r="G6" s="153"/>
      <c r="H6" s="126" t="s">
        <v>221</v>
      </c>
      <c r="I6" s="152" t="s">
        <v>222</v>
      </c>
      <c r="J6" s="174"/>
      <c r="K6" s="174"/>
      <c r="L6" s="153"/>
      <c r="M6" s="152" t="s">
        <v>221</v>
      </c>
      <c r="N6" s="174"/>
      <c r="O6" s="153"/>
      <c r="P6" s="172"/>
      <c r="Q6" s="173"/>
    </row>
    <row r="7" spans="1:17" s="7" customFormat="1" ht="38.25" x14ac:dyDescent="0.2">
      <c r="A7" s="123"/>
      <c r="B7" s="126"/>
      <c r="C7" s="126"/>
      <c r="D7" s="126"/>
      <c r="E7" s="33" t="s">
        <v>223</v>
      </c>
      <c r="F7" s="33" t="s">
        <v>224</v>
      </c>
      <c r="G7" s="33" t="s">
        <v>225</v>
      </c>
      <c r="H7" s="149"/>
      <c r="I7" s="65" t="s">
        <v>547</v>
      </c>
      <c r="J7" s="65" t="s">
        <v>548</v>
      </c>
      <c r="K7" s="65" t="s">
        <v>549</v>
      </c>
      <c r="L7" s="65" t="s">
        <v>550</v>
      </c>
      <c r="M7" s="33" t="s">
        <v>226</v>
      </c>
      <c r="N7" s="33" t="s">
        <v>227</v>
      </c>
      <c r="O7" s="33" t="s">
        <v>228</v>
      </c>
      <c r="P7" s="33" t="s">
        <v>21</v>
      </c>
      <c r="Q7" s="33" t="s">
        <v>508</v>
      </c>
    </row>
    <row r="8" spans="1:17" s="6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16426.101629734039</v>
      </c>
      <c r="E8" s="49">
        <v>9991.5552606582642</v>
      </c>
      <c r="F8" s="49">
        <v>3456.6860160827637</v>
      </c>
      <c r="G8" s="49">
        <v>2977.8603529930115</v>
      </c>
      <c r="H8" s="49">
        <v>2375.1482748985291</v>
      </c>
      <c r="I8" s="49">
        <v>1516.3420333862305</v>
      </c>
      <c r="J8" s="49">
        <v>639.45821332931519</v>
      </c>
      <c r="K8" s="49">
        <v>219.3480281829834</v>
      </c>
      <c r="L8" s="49">
        <v>0</v>
      </c>
      <c r="M8" s="49">
        <v>10238.450325489044</v>
      </c>
      <c r="N8" s="49">
        <v>1488.4771480560303</v>
      </c>
      <c r="O8" s="49">
        <v>4699.1741561889648</v>
      </c>
      <c r="P8" s="50">
        <v>53.617032743287595</v>
      </c>
      <c r="Q8" s="56">
        <v>398.81780731422799</v>
      </c>
    </row>
    <row r="9" spans="1:17" s="6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2589669.0138089657</v>
      </c>
      <c r="E9" s="51">
        <v>1944514.9574118853</v>
      </c>
      <c r="F9" s="51">
        <v>310927.5850726366</v>
      </c>
      <c r="G9" s="51">
        <v>334226.47132444382</v>
      </c>
      <c r="H9" s="51">
        <v>592040.63191616535</v>
      </c>
      <c r="I9" s="51">
        <v>237962.19229006767</v>
      </c>
      <c r="J9" s="51">
        <v>238171.53148400784</v>
      </c>
      <c r="K9" s="51">
        <v>106343.91683673859</v>
      </c>
      <c r="L9" s="51">
        <v>9562.9913053512573</v>
      </c>
      <c r="M9" s="51">
        <v>1328236.5007605553</v>
      </c>
      <c r="N9" s="51">
        <v>196167.57642376423</v>
      </c>
      <c r="O9" s="51">
        <v>1065264.9366246462</v>
      </c>
      <c r="P9" s="52">
        <v>296120.85654623213</v>
      </c>
      <c r="Q9" s="57">
        <v>476997.58886998089</v>
      </c>
    </row>
    <row r="10" spans="1:17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247503.74399876595</v>
      </c>
      <c r="E10" s="53">
        <v>177535.71840190887</v>
      </c>
      <c r="F10" s="53">
        <v>38094.162964582443</v>
      </c>
      <c r="G10" s="53">
        <v>31873.862632274628</v>
      </c>
      <c r="H10" s="53">
        <v>49395.707532167435</v>
      </c>
      <c r="I10" s="53">
        <v>23027.197956562042</v>
      </c>
      <c r="J10" s="53">
        <v>18931.396569728851</v>
      </c>
      <c r="K10" s="53">
        <v>7065.9877445697784</v>
      </c>
      <c r="L10" s="53">
        <v>371.1252613067627</v>
      </c>
      <c r="M10" s="53">
        <v>142250.92965292931</v>
      </c>
      <c r="N10" s="53">
        <v>18602.41654586792</v>
      </c>
      <c r="O10" s="53">
        <v>86650.397799968719</v>
      </c>
      <c r="P10" s="54">
        <v>3346.1094853968561</v>
      </c>
      <c r="Q10" s="58">
        <v>12368.758927613617</v>
      </c>
    </row>
    <row r="11" spans="1:17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425988.77663743496</v>
      </c>
      <c r="E11" s="53">
        <v>328225.62630546093</v>
      </c>
      <c r="F11" s="53">
        <v>48113.613451480865</v>
      </c>
      <c r="G11" s="53">
        <v>49649.536880493164</v>
      </c>
      <c r="H11" s="53">
        <v>81751.92040169239</v>
      </c>
      <c r="I11" s="53">
        <v>34597.539131164551</v>
      </c>
      <c r="J11" s="53">
        <v>33377.811826944351</v>
      </c>
      <c r="K11" s="53">
        <v>13099.463270068169</v>
      </c>
      <c r="L11" s="53">
        <v>677.10617351531982</v>
      </c>
      <c r="M11" s="53">
        <v>231533.72903621197</v>
      </c>
      <c r="N11" s="53">
        <v>25058.080745220184</v>
      </c>
      <c r="O11" s="53">
        <v>169396.96685600281</v>
      </c>
      <c r="P11" s="54">
        <v>16129.098393150682</v>
      </c>
      <c r="Q11" s="58">
        <v>36621.902688557515</v>
      </c>
    </row>
    <row r="12" spans="1:17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963150.23697769642</v>
      </c>
      <c r="E12" s="53">
        <v>745777.73809540272</v>
      </c>
      <c r="F12" s="53">
        <v>103495.80835294724</v>
      </c>
      <c r="G12" s="53">
        <v>113876.69052934647</v>
      </c>
      <c r="H12" s="53">
        <v>204795.81004214287</v>
      </c>
      <c r="I12" s="53">
        <v>82743.855122566223</v>
      </c>
      <c r="J12" s="53">
        <v>82646.830133676529</v>
      </c>
      <c r="K12" s="53">
        <v>36417.350726604462</v>
      </c>
      <c r="L12" s="53">
        <v>2987.7740592956543</v>
      </c>
      <c r="M12" s="53">
        <v>497801.82506525517</v>
      </c>
      <c r="N12" s="53">
        <v>60256.384243249893</v>
      </c>
      <c r="O12" s="53">
        <v>405092.02766919136</v>
      </c>
      <c r="P12" s="54">
        <v>81288.158721539308</v>
      </c>
      <c r="Q12" s="58">
        <v>137365.15377020551</v>
      </c>
    </row>
    <row r="13" spans="1:17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619127.49843800068</v>
      </c>
      <c r="E13" s="53">
        <v>459637.55282056332</v>
      </c>
      <c r="F13" s="53">
        <v>73414.194352865219</v>
      </c>
      <c r="G13" s="53">
        <v>86075.751264572144</v>
      </c>
      <c r="H13" s="53">
        <v>155551.05667877197</v>
      </c>
      <c r="I13" s="53">
        <v>61178.752550840378</v>
      </c>
      <c r="J13" s="53">
        <v>62360.475030422211</v>
      </c>
      <c r="K13" s="53">
        <v>29256.726361036301</v>
      </c>
      <c r="L13" s="53">
        <v>2755.1027364730835</v>
      </c>
      <c r="M13" s="53">
        <v>300503.81219601631</v>
      </c>
      <c r="N13" s="53">
        <v>50289.000896453857</v>
      </c>
      <c r="O13" s="53">
        <v>268334.68534553051</v>
      </c>
      <c r="P13" s="54">
        <v>98052.389804294551</v>
      </c>
      <c r="Q13" s="58">
        <v>147285.97776491303</v>
      </c>
    </row>
    <row r="14" spans="1:17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265597.46213269234</v>
      </c>
      <c r="E14" s="53">
        <v>189476.5174523592</v>
      </c>
      <c r="F14" s="53">
        <v>36711.606721520424</v>
      </c>
      <c r="G14" s="53">
        <v>39409.337958812714</v>
      </c>
      <c r="H14" s="53">
        <v>76556.413004398346</v>
      </c>
      <c r="I14" s="53">
        <v>28890.649528026581</v>
      </c>
      <c r="J14" s="53">
        <v>31009.315460085869</v>
      </c>
      <c r="K14" s="53">
        <v>14806.585195660591</v>
      </c>
      <c r="L14" s="53">
        <v>1849.8628206253052</v>
      </c>
      <c r="M14" s="53">
        <v>125452.55088436604</v>
      </c>
      <c r="N14" s="53">
        <v>30132.481958985329</v>
      </c>
      <c r="O14" s="53">
        <v>110012.42928934097</v>
      </c>
      <c r="P14" s="54">
        <v>65905.716231785802</v>
      </c>
      <c r="Q14" s="58">
        <v>95871.756712264309</v>
      </c>
    </row>
    <row r="15" spans="1:17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46829.788883805275</v>
      </c>
      <c r="E15" s="53">
        <v>31178.289098858833</v>
      </c>
      <c r="F15" s="53">
        <v>7251.1806864738464</v>
      </c>
      <c r="G15" s="53">
        <v>8400.3190984725952</v>
      </c>
      <c r="H15" s="53">
        <v>15550.571334838867</v>
      </c>
      <c r="I15" s="53">
        <v>4935.6276392936707</v>
      </c>
      <c r="J15" s="53">
        <v>6572.3101592063904</v>
      </c>
      <c r="K15" s="53">
        <v>3458.6162939071655</v>
      </c>
      <c r="L15" s="53">
        <v>584.01724243164063</v>
      </c>
      <c r="M15" s="53">
        <v>21323.812323451042</v>
      </c>
      <c r="N15" s="53">
        <v>7514.9054522514343</v>
      </c>
      <c r="O15" s="53">
        <v>17991.071108102798</v>
      </c>
      <c r="P15" s="54">
        <v>17812.251980201872</v>
      </c>
      <c r="Q15" s="58">
        <v>26542.140279397168</v>
      </c>
    </row>
    <row r="16" spans="1:17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13619.595118403435</v>
      </c>
      <c r="E16" s="53">
        <v>8537.5074416399002</v>
      </c>
      <c r="F16" s="53">
        <v>2176.7600448131561</v>
      </c>
      <c r="G16" s="53">
        <v>2905.3276319503784</v>
      </c>
      <c r="H16" s="53">
        <v>4804.1950197219849</v>
      </c>
      <c r="I16" s="53">
        <v>1565.818639755249</v>
      </c>
      <c r="J16" s="53">
        <v>1786.854606628418</v>
      </c>
      <c r="K16" s="53">
        <v>1261.94944190979</v>
      </c>
      <c r="L16" s="53">
        <v>189.57233142852783</v>
      </c>
      <c r="M16" s="53">
        <v>6209.6355341672897</v>
      </c>
      <c r="N16" s="53">
        <v>2403.5514590740204</v>
      </c>
      <c r="O16" s="53">
        <v>5006.4081251621246</v>
      </c>
      <c r="P16" s="54">
        <v>6949.4213051053739</v>
      </c>
      <c r="Q16" s="58">
        <v>10701.885143674852</v>
      </c>
    </row>
    <row r="17" spans="1:17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4260.0402011871338</v>
      </c>
      <c r="E17" s="53">
        <v>2422.9964067935944</v>
      </c>
      <c r="F17" s="53">
        <v>920.10631585121155</v>
      </c>
      <c r="G17" s="53">
        <v>916.93747854232788</v>
      </c>
      <c r="H17" s="53">
        <v>1834.9708454608917</v>
      </c>
      <c r="I17" s="53">
        <v>516.65311193466187</v>
      </c>
      <c r="J17" s="53">
        <v>687.04396176338196</v>
      </c>
      <c r="K17" s="53">
        <v>557.08295011520386</v>
      </c>
      <c r="L17" s="53">
        <v>74.190821647644043</v>
      </c>
      <c r="M17" s="53">
        <v>1881.2494170665741</v>
      </c>
      <c r="N17" s="53">
        <v>893.82011866569519</v>
      </c>
      <c r="O17" s="53">
        <v>1484.9706654548645</v>
      </c>
      <c r="P17" s="54">
        <v>2754.7204898825162</v>
      </c>
      <c r="Q17" s="58">
        <v>4293.020529444123</v>
      </c>
    </row>
    <row r="18" spans="1:17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3218.9735189676285</v>
      </c>
      <c r="E18" s="53">
        <v>1568.8687130212784</v>
      </c>
      <c r="F18" s="53">
        <v>657.97174978256226</v>
      </c>
      <c r="G18" s="53">
        <v>992.13305616378784</v>
      </c>
      <c r="H18" s="53">
        <v>1619.4500105381012</v>
      </c>
      <c r="I18" s="53">
        <v>458.37178325653076</v>
      </c>
      <c r="J18" s="53">
        <v>713.42125344276428</v>
      </c>
      <c r="K18" s="53">
        <v>383.27635192871094</v>
      </c>
      <c r="L18" s="53">
        <v>64.380621910095215</v>
      </c>
      <c r="M18" s="53">
        <v>1171.1722849607468</v>
      </c>
      <c r="N18" s="53">
        <v>927.96350359916687</v>
      </c>
      <c r="O18" s="53">
        <v>1119.8377304077148</v>
      </c>
      <c r="P18" s="54">
        <v>2919.8045296704927</v>
      </c>
      <c r="Q18" s="58">
        <v>5114.0764042860437</v>
      </c>
    </row>
    <row r="19" spans="1:17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372.89790201187134</v>
      </c>
      <c r="E19" s="53">
        <v>154.14267587661743</v>
      </c>
      <c r="F19" s="53">
        <v>92.180432319641113</v>
      </c>
      <c r="G19" s="53">
        <v>126.57479381561279</v>
      </c>
      <c r="H19" s="53">
        <v>180.53704643249512</v>
      </c>
      <c r="I19" s="53">
        <v>47.726826667785645</v>
      </c>
      <c r="J19" s="53">
        <v>86.072482109069824</v>
      </c>
      <c r="K19" s="53">
        <v>36.878500938415527</v>
      </c>
      <c r="L19" s="53">
        <v>9.8592367172241211</v>
      </c>
      <c r="M19" s="53">
        <v>107.78436613082886</v>
      </c>
      <c r="N19" s="53">
        <v>88.971500396728516</v>
      </c>
      <c r="O19" s="53">
        <v>176.14203548431396</v>
      </c>
      <c r="P19" s="54">
        <v>963.18560521088523</v>
      </c>
      <c r="Q19" s="58">
        <v>832.91664962621826</v>
      </c>
    </row>
    <row r="20" spans="1:17" s="6" customFormat="1" ht="20.45" customHeight="1" x14ac:dyDescent="0.2">
      <c r="A20" s="31" t="s">
        <v>12</v>
      </c>
      <c r="B20" s="25">
        <f>B8+B9</f>
        <v>4130789.1689232588</v>
      </c>
      <c r="C20" s="26">
        <f>C8+C9</f>
        <v>2218409.9185657408</v>
      </c>
      <c r="D20" s="25">
        <f t="shared" ref="D20:Q20" si="0">D8+D9</f>
        <v>2606095.1154386997</v>
      </c>
      <c r="E20" s="25">
        <f t="shared" si="0"/>
        <v>1954506.5126725435</v>
      </c>
      <c r="F20" s="25">
        <f t="shared" si="0"/>
        <v>314384.27108871937</v>
      </c>
      <c r="G20" s="25">
        <f t="shared" si="0"/>
        <v>337204.33167743683</v>
      </c>
      <c r="H20" s="25">
        <f t="shared" si="0"/>
        <v>594415.78019106388</v>
      </c>
      <c r="I20" s="25">
        <f t="shared" si="0"/>
        <v>239478.5343234539</v>
      </c>
      <c r="J20" s="25">
        <f t="shared" si="0"/>
        <v>238810.98969733715</v>
      </c>
      <c r="K20" s="25">
        <f t="shared" si="0"/>
        <v>106563.26486492157</v>
      </c>
      <c r="L20" s="25">
        <f t="shared" si="0"/>
        <v>9562.9913053512573</v>
      </c>
      <c r="M20" s="25">
        <f t="shared" si="0"/>
        <v>1338474.9510860443</v>
      </c>
      <c r="N20" s="25">
        <f t="shared" si="0"/>
        <v>197656.05357182026</v>
      </c>
      <c r="O20" s="25">
        <f t="shared" si="0"/>
        <v>1069964.1107808352</v>
      </c>
      <c r="P20" s="26">
        <f t="shared" si="0"/>
        <v>296174.47357897542</v>
      </c>
      <c r="Q20" s="59">
        <f t="shared" si="0"/>
        <v>477396.4066772951</v>
      </c>
    </row>
  </sheetData>
  <mergeCells count="15">
    <mergeCell ref="C5:C7"/>
    <mergeCell ref="D5:D7"/>
    <mergeCell ref="E5:G5"/>
    <mergeCell ref="H5:L5"/>
    <mergeCell ref="M5:O5"/>
    <mergeCell ref="P5:Q6"/>
    <mergeCell ref="E6:G6"/>
    <mergeCell ref="H6:H7"/>
    <mergeCell ref="I6:L6"/>
    <mergeCell ref="M6:O6"/>
    <mergeCell ref="A1:Q1"/>
    <mergeCell ref="A4:A7"/>
    <mergeCell ref="B4:C4"/>
    <mergeCell ref="D4:Q4"/>
    <mergeCell ref="B5:B7"/>
  </mergeCells>
  <conditionalFormatting sqref="B8:B20">
    <cfRule type="cellIs" dxfId="774" priority="30" stopIfTrue="1" operator="equal">
      <formula>0</formula>
    </cfRule>
  </conditionalFormatting>
  <conditionalFormatting sqref="C8:C20">
    <cfRule type="cellIs" dxfId="773" priority="29" stopIfTrue="1" operator="equal">
      <formula>0</formula>
    </cfRule>
  </conditionalFormatting>
  <conditionalFormatting sqref="D8:D20">
    <cfRule type="cellIs" dxfId="772" priority="14" stopIfTrue="1" operator="equal">
      <formula>0</formula>
    </cfRule>
  </conditionalFormatting>
  <conditionalFormatting sqref="E8:E20">
    <cfRule type="cellIs" dxfId="771" priority="13" stopIfTrue="1" operator="equal">
      <formula>0</formula>
    </cfRule>
  </conditionalFormatting>
  <conditionalFormatting sqref="F8:F20">
    <cfRule type="cellIs" dxfId="770" priority="12" stopIfTrue="1" operator="equal">
      <formula>0</formula>
    </cfRule>
  </conditionalFormatting>
  <conditionalFormatting sqref="G8:G20">
    <cfRule type="cellIs" dxfId="769" priority="11" stopIfTrue="1" operator="equal">
      <formula>0</formula>
    </cfRule>
  </conditionalFormatting>
  <conditionalFormatting sqref="H8:H20">
    <cfRule type="cellIs" dxfId="768" priority="10" stopIfTrue="1" operator="equal">
      <formula>0</formula>
    </cfRule>
  </conditionalFormatting>
  <conditionalFormatting sqref="I8:I20">
    <cfRule type="cellIs" dxfId="767" priority="9" stopIfTrue="1" operator="equal">
      <formula>0</formula>
    </cfRule>
  </conditionalFormatting>
  <conditionalFormatting sqref="J8:J20">
    <cfRule type="cellIs" dxfId="766" priority="8" stopIfTrue="1" operator="equal">
      <formula>0</formula>
    </cfRule>
  </conditionalFormatting>
  <conditionalFormatting sqref="K8:K20">
    <cfRule type="cellIs" dxfId="765" priority="7" stopIfTrue="1" operator="equal">
      <formula>0</formula>
    </cfRule>
  </conditionalFormatting>
  <conditionalFormatting sqref="L8:L20">
    <cfRule type="cellIs" dxfId="764" priority="6" stopIfTrue="1" operator="equal">
      <formula>0</formula>
    </cfRule>
  </conditionalFormatting>
  <conditionalFormatting sqref="M8:M20">
    <cfRule type="cellIs" dxfId="763" priority="5" stopIfTrue="1" operator="equal">
      <formula>0</formula>
    </cfRule>
  </conditionalFormatting>
  <conditionalFormatting sqref="N8:N20">
    <cfRule type="cellIs" dxfId="762" priority="4" stopIfTrue="1" operator="equal">
      <formula>0</formula>
    </cfRule>
  </conditionalFormatting>
  <conditionalFormatting sqref="O8:O20">
    <cfRule type="cellIs" dxfId="761" priority="3" stopIfTrue="1" operator="equal">
      <formula>0</formula>
    </cfRule>
  </conditionalFormatting>
  <conditionalFormatting sqref="P8:P20">
    <cfRule type="cellIs" dxfId="760" priority="2" stopIfTrue="1" operator="equal">
      <formula>0</formula>
    </cfRule>
  </conditionalFormatting>
  <conditionalFormatting sqref="Q8:Q20">
    <cfRule type="cellIs" dxfId="75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3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8FB8-2EDB-4A67-9564-FFFB11E699C4}">
  <dimension ref="A1:Q20"/>
  <sheetViews>
    <sheetView zoomScale="98" zoomScaleNormal="75" workbookViewId="0">
      <selection activeCell="A4" sqref="A4:A7"/>
    </sheetView>
  </sheetViews>
  <sheetFormatPr defaultColWidth="8.85546875" defaultRowHeight="12.75" x14ac:dyDescent="0.2"/>
  <cols>
    <col min="1" max="1" width="23.85546875" style="27" bestFit="1" customWidth="1"/>
    <col min="2" max="2" width="9.85546875" style="27" customWidth="1"/>
    <col min="3" max="3" width="10.85546875" style="27" customWidth="1"/>
    <col min="4" max="4" width="11" style="27" customWidth="1"/>
    <col min="5" max="5" width="10.5703125" style="27" customWidth="1"/>
    <col min="6" max="6" width="10.85546875" style="27" customWidth="1"/>
    <col min="7" max="7" width="8.5703125" style="27" customWidth="1"/>
    <col min="8" max="8" width="10.140625" style="27" customWidth="1"/>
    <col min="9" max="9" width="10.5703125" style="27" customWidth="1"/>
    <col min="10" max="11" width="9.42578125" style="27" customWidth="1"/>
    <col min="12" max="12" width="8.85546875" style="27"/>
    <col min="13" max="13" width="9.42578125" style="27" customWidth="1"/>
    <col min="14" max="14" width="9" style="27" customWidth="1"/>
    <col min="15" max="15" width="9.42578125" style="27" customWidth="1"/>
    <col min="16" max="16" width="10.5703125" style="27" customWidth="1"/>
    <col min="17" max="17" width="11" style="27" customWidth="1"/>
    <col min="18" max="16384" width="8.85546875" style="27"/>
  </cols>
  <sheetData>
    <row r="1" spans="1:17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x14ac:dyDescent="0.2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 t="s">
        <v>32</v>
      </c>
    </row>
    <row r="3" spans="1:17" x14ac:dyDescent="0.2">
      <c r="A3" s="27" t="s">
        <v>230</v>
      </c>
    </row>
    <row r="4" spans="1:17" s="39" customFormat="1" x14ac:dyDescent="0.2">
      <c r="A4" s="123" t="s">
        <v>30</v>
      </c>
      <c r="B4" s="122" t="s">
        <v>47</v>
      </c>
      <c r="C4" s="122"/>
      <c r="D4" s="168" t="s">
        <v>104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69"/>
    </row>
    <row r="5" spans="1:17" s="39" customFormat="1" ht="25.5" customHeight="1" x14ac:dyDescent="0.2">
      <c r="A5" s="123"/>
      <c r="B5" s="121" t="s">
        <v>41</v>
      </c>
      <c r="C5" s="121" t="s">
        <v>21</v>
      </c>
      <c r="D5" s="121" t="s">
        <v>80</v>
      </c>
      <c r="E5" s="122" t="s">
        <v>217</v>
      </c>
      <c r="F5" s="122"/>
      <c r="G5" s="122"/>
      <c r="H5" s="176" t="s">
        <v>218</v>
      </c>
      <c r="I5" s="177"/>
      <c r="J5" s="177"/>
      <c r="K5" s="177"/>
      <c r="L5" s="178"/>
      <c r="M5" s="176" t="s">
        <v>219</v>
      </c>
      <c r="N5" s="177"/>
      <c r="O5" s="178"/>
      <c r="P5" s="170" t="s">
        <v>220</v>
      </c>
      <c r="Q5" s="171"/>
    </row>
    <row r="6" spans="1:17" s="39" customFormat="1" ht="19.5" customHeight="1" x14ac:dyDescent="0.2">
      <c r="A6" s="123"/>
      <c r="B6" s="121"/>
      <c r="C6" s="121"/>
      <c r="D6" s="121"/>
      <c r="E6" s="152" t="s">
        <v>221</v>
      </c>
      <c r="F6" s="174"/>
      <c r="G6" s="153"/>
      <c r="H6" s="126" t="s">
        <v>221</v>
      </c>
      <c r="I6" s="152" t="s">
        <v>222</v>
      </c>
      <c r="J6" s="174"/>
      <c r="K6" s="174"/>
      <c r="L6" s="153"/>
      <c r="M6" s="152" t="s">
        <v>221</v>
      </c>
      <c r="N6" s="174"/>
      <c r="O6" s="153"/>
      <c r="P6" s="172"/>
      <c r="Q6" s="173"/>
    </row>
    <row r="7" spans="1:17" s="39" customFormat="1" ht="38.25" x14ac:dyDescent="0.2">
      <c r="A7" s="123"/>
      <c r="B7" s="126"/>
      <c r="C7" s="126"/>
      <c r="D7" s="126"/>
      <c r="E7" s="33" t="s">
        <v>223</v>
      </c>
      <c r="F7" s="33" t="s">
        <v>224</v>
      </c>
      <c r="G7" s="33" t="s">
        <v>225</v>
      </c>
      <c r="H7" s="149"/>
      <c r="I7" s="65" t="s">
        <v>547</v>
      </c>
      <c r="J7" s="65" t="s">
        <v>548</v>
      </c>
      <c r="K7" s="65" t="s">
        <v>549</v>
      </c>
      <c r="L7" s="65" t="s">
        <v>550</v>
      </c>
      <c r="M7" s="33" t="s">
        <v>226</v>
      </c>
      <c r="N7" s="33" t="s">
        <v>227</v>
      </c>
      <c r="O7" s="33" t="s">
        <v>228</v>
      </c>
      <c r="P7" s="33" t="s">
        <v>21</v>
      </c>
      <c r="Q7" s="33" t="s">
        <v>508</v>
      </c>
    </row>
    <row r="8" spans="1:17" s="38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2547.811194896698</v>
      </c>
      <c r="E8" s="49">
        <v>2184.5269951820374</v>
      </c>
      <c r="F8" s="49">
        <v>232.95943021774292</v>
      </c>
      <c r="G8" s="49">
        <v>130.32476949691772</v>
      </c>
      <c r="H8" s="49">
        <v>239.2552752494812</v>
      </c>
      <c r="I8" s="49">
        <v>93.654895305633545</v>
      </c>
      <c r="J8" s="49">
        <v>132.5579662322998</v>
      </c>
      <c r="K8" s="49">
        <v>13.042413711547852</v>
      </c>
      <c r="L8" s="49">
        <v>0</v>
      </c>
      <c r="M8" s="49">
        <v>1960.7320804595947</v>
      </c>
      <c r="N8" s="49">
        <v>205.26339626312256</v>
      </c>
      <c r="O8" s="49">
        <v>381.81571817398071</v>
      </c>
      <c r="P8" s="50">
        <v>9.7837206838937405</v>
      </c>
      <c r="Q8" s="56">
        <v>49.933331363992046</v>
      </c>
    </row>
    <row r="9" spans="1:17" s="38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2046543.3208190203</v>
      </c>
      <c r="E9" s="51">
        <v>1368759.9103186131</v>
      </c>
      <c r="F9" s="51">
        <v>556371.84780013561</v>
      </c>
      <c r="G9" s="51">
        <v>121411.56270027161</v>
      </c>
      <c r="H9" s="51">
        <v>580062.8171453476</v>
      </c>
      <c r="I9" s="51">
        <v>229100.81306326389</v>
      </c>
      <c r="J9" s="51">
        <v>281888.53856515884</v>
      </c>
      <c r="K9" s="51">
        <v>62757.901906847954</v>
      </c>
      <c r="L9" s="51">
        <v>6315.5636100769043</v>
      </c>
      <c r="M9" s="51">
        <v>847506.37523233891</v>
      </c>
      <c r="N9" s="51">
        <v>489337.58231091499</v>
      </c>
      <c r="O9" s="51">
        <v>709699.36327576637</v>
      </c>
      <c r="P9" s="52">
        <v>464568.70771409076</v>
      </c>
      <c r="Q9" s="57">
        <v>804534.56215504429</v>
      </c>
    </row>
    <row r="10" spans="1:17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111282.78655898571</v>
      </c>
      <c r="E10" s="53">
        <v>83567.110929846764</v>
      </c>
      <c r="F10" s="53">
        <v>21902.21201145649</v>
      </c>
      <c r="G10" s="53">
        <v>5813.463617682457</v>
      </c>
      <c r="H10" s="53">
        <v>22352.700461149216</v>
      </c>
      <c r="I10" s="53">
        <v>10167.611382246017</v>
      </c>
      <c r="J10" s="53">
        <v>9930.8010747432709</v>
      </c>
      <c r="K10" s="53">
        <v>1904.7669312953949</v>
      </c>
      <c r="L10" s="53">
        <v>349.52107286453247</v>
      </c>
      <c r="M10" s="53">
        <v>58712.770749092102</v>
      </c>
      <c r="N10" s="53">
        <v>20356.245541214943</v>
      </c>
      <c r="O10" s="53">
        <v>32213.770268678665</v>
      </c>
      <c r="P10" s="54">
        <v>2385.4408238482988</v>
      </c>
      <c r="Q10" s="58">
        <v>7698.9635249430567</v>
      </c>
    </row>
    <row r="11" spans="1:17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305766.20089292526</v>
      </c>
      <c r="E11" s="53">
        <v>225603.17883861065</v>
      </c>
      <c r="F11" s="53">
        <v>64601.374888062477</v>
      </c>
      <c r="G11" s="53">
        <v>15561.647166252136</v>
      </c>
      <c r="H11" s="53">
        <v>62261.030428767204</v>
      </c>
      <c r="I11" s="53">
        <v>26357.922816753387</v>
      </c>
      <c r="J11" s="53">
        <v>29356.547583460808</v>
      </c>
      <c r="K11" s="53">
        <v>5770.5466809272766</v>
      </c>
      <c r="L11" s="53">
        <v>776.01334762573242</v>
      </c>
      <c r="M11" s="53">
        <v>155177.82504999638</v>
      </c>
      <c r="N11" s="53">
        <v>55624.525475621223</v>
      </c>
      <c r="O11" s="53">
        <v>94963.850367307663</v>
      </c>
      <c r="P11" s="54">
        <v>15002.161046786059</v>
      </c>
      <c r="Q11" s="58">
        <v>34177.393256742587</v>
      </c>
    </row>
    <row r="12" spans="1:17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766715.26393246651</v>
      </c>
      <c r="E12" s="53">
        <v>536181.00648319721</v>
      </c>
      <c r="F12" s="53">
        <v>189693.90377688408</v>
      </c>
      <c r="G12" s="53">
        <v>40840.353672385216</v>
      </c>
      <c r="H12" s="53">
        <v>193600.35541331768</v>
      </c>
      <c r="I12" s="53">
        <v>77336.312417268753</v>
      </c>
      <c r="J12" s="53">
        <v>94446.634650707245</v>
      </c>
      <c r="K12" s="53">
        <v>19568.297667145729</v>
      </c>
      <c r="L12" s="53">
        <v>2249.1106781959534</v>
      </c>
      <c r="M12" s="53">
        <v>345673.45750403404</v>
      </c>
      <c r="N12" s="53">
        <v>163435.8424975872</v>
      </c>
      <c r="O12" s="53">
        <v>257605.96393084526</v>
      </c>
      <c r="P12" s="54">
        <v>88216.730130696189</v>
      </c>
      <c r="Q12" s="58">
        <v>166451.73135509834</v>
      </c>
    </row>
    <row r="13" spans="1:17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530500.98020780087</v>
      </c>
      <c r="E13" s="53">
        <v>337801.3279709816</v>
      </c>
      <c r="F13" s="53">
        <v>159060.66167211533</v>
      </c>
      <c r="G13" s="53">
        <v>33638.990564703941</v>
      </c>
      <c r="H13" s="53">
        <v>168416.29191565514</v>
      </c>
      <c r="I13" s="53">
        <v>66473.486760139465</v>
      </c>
      <c r="J13" s="53">
        <v>80854.487891197205</v>
      </c>
      <c r="K13" s="53">
        <v>19561.448529481888</v>
      </c>
      <c r="L13" s="53">
        <v>1526.8687348365784</v>
      </c>
      <c r="M13" s="53">
        <v>193883.86921942234</v>
      </c>
      <c r="N13" s="53">
        <v>140465.90956068039</v>
      </c>
      <c r="O13" s="53">
        <v>196151.20142769814</v>
      </c>
      <c r="P13" s="54">
        <v>135732.4183470312</v>
      </c>
      <c r="Q13" s="58">
        <v>241644.47652484672</v>
      </c>
    </row>
    <row r="14" spans="1:17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252145.77346718311</v>
      </c>
      <c r="E14" s="53">
        <v>145368.62880480289</v>
      </c>
      <c r="F14" s="53">
        <v>88537.310616135597</v>
      </c>
      <c r="G14" s="53">
        <v>18239.834046244621</v>
      </c>
      <c r="H14" s="53">
        <v>96420.89986538887</v>
      </c>
      <c r="I14" s="53">
        <v>36042.307643055916</v>
      </c>
      <c r="J14" s="53">
        <v>48062.424536108971</v>
      </c>
      <c r="K14" s="53">
        <v>11299.739301919937</v>
      </c>
      <c r="L14" s="53">
        <v>1016.4283843040466</v>
      </c>
      <c r="M14" s="53">
        <v>75146.2095733881</v>
      </c>
      <c r="N14" s="53">
        <v>79462.155892372131</v>
      </c>
      <c r="O14" s="53">
        <v>97537.408001422882</v>
      </c>
      <c r="P14" s="54">
        <v>128375.45683035003</v>
      </c>
      <c r="Q14" s="58">
        <v>202747.09808093985</v>
      </c>
    </row>
    <row r="15" spans="1:17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51912.595196127892</v>
      </c>
      <c r="E15" s="53">
        <v>27116.881675958633</v>
      </c>
      <c r="F15" s="53">
        <v>20438.094425797462</v>
      </c>
      <c r="G15" s="53">
        <v>4357.6190943717957</v>
      </c>
      <c r="H15" s="53">
        <v>22834.638668894768</v>
      </c>
      <c r="I15" s="53">
        <v>7774.2072737216949</v>
      </c>
      <c r="J15" s="53">
        <v>11855.305939555168</v>
      </c>
      <c r="K15" s="53">
        <v>2936.1451461315155</v>
      </c>
      <c r="L15" s="53">
        <v>268.98030948638916</v>
      </c>
      <c r="M15" s="53">
        <v>13020.551532506943</v>
      </c>
      <c r="N15" s="53">
        <v>18731.836097598076</v>
      </c>
      <c r="O15" s="53">
        <v>20160.207566022873</v>
      </c>
      <c r="P15" s="54">
        <v>46407.965214636577</v>
      </c>
      <c r="Q15" s="58">
        <v>72637.999425781862</v>
      </c>
    </row>
    <row r="16" spans="1:17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17299.391703605652</v>
      </c>
      <c r="E16" s="53">
        <v>8379.6726785898209</v>
      </c>
      <c r="F16" s="53">
        <v>7249.460951924324</v>
      </c>
      <c r="G16" s="53">
        <v>1670.258073091507</v>
      </c>
      <c r="H16" s="53">
        <v>8457.7847496271133</v>
      </c>
      <c r="I16" s="53">
        <v>3024.6035389900208</v>
      </c>
      <c r="J16" s="53">
        <v>4366.6374782323837</v>
      </c>
      <c r="K16" s="53">
        <v>961.11640048027039</v>
      </c>
      <c r="L16" s="53">
        <v>105.42733192443848</v>
      </c>
      <c r="M16" s="53">
        <v>3738.0453685522079</v>
      </c>
      <c r="N16" s="53">
        <v>6634.9796265363693</v>
      </c>
      <c r="O16" s="53">
        <v>6926.3667085170746</v>
      </c>
      <c r="P16" s="54">
        <v>23410.404348395674</v>
      </c>
      <c r="Q16" s="58">
        <v>37563.840157203376</v>
      </c>
    </row>
    <row r="17" spans="1:17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4970.2492879629135</v>
      </c>
      <c r="E17" s="53">
        <v>2350.5978056192398</v>
      </c>
      <c r="F17" s="53">
        <v>2059.5289838314056</v>
      </c>
      <c r="G17" s="53">
        <v>560.12249851226807</v>
      </c>
      <c r="H17" s="53">
        <v>2423.569632768631</v>
      </c>
      <c r="I17" s="53">
        <v>836.67387723922729</v>
      </c>
      <c r="J17" s="53">
        <v>1287.9142587184906</v>
      </c>
      <c r="K17" s="53">
        <v>298.98149681091309</v>
      </c>
      <c r="L17" s="53">
        <v>0</v>
      </c>
      <c r="M17" s="53">
        <v>1191.6282321214676</v>
      </c>
      <c r="N17" s="53">
        <v>1944.374308347702</v>
      </c>
      <c r="O17" s="53">
        <v>1834.2467474937439</v>
      </c>
      <c r="P17" s="54">
        <v>7659.2312135091124</v>
      </c>
      <c r="Q17" s="58">
        <v>12661.314908004011</v>
      </c>
    </row>
    <row r="18" spans="1:17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5255.1834528446198</v>
      </c>
      <c r="E18" s="53">
        <v>2133.338130235672</v>
      </c>
      <c r="F18" s="53">
        <v>2496.8843591213226</v>
      </c>
      <c r="G18" s="53">
        <v>624.96096348762512</v>
      </c>
      <c r="H18" s="53">
        <v>2970.6898920536041</v>
      </c>
      <c r="I18" s="53">
        <v>991.10007929801941</v>
      </c>
      <c r="J18" s="53">
        <v>1582.5582346916199</v>
      </c>
      <c r="K18" s="53">
        <v>373.81782722473145</v>
      </c>
      <c r="L18" s="53">
        <v>23.213750839233398</v>
      </c>
      <c r="M18" s="53">
        <v>889.05810618400574</v>
      </c>
      <c r="N18" s="53">
        <v>2387.5361325740814</v>
      </c>
      <c r="O18" s="53">
        <v>1978.5892140865326</v>
      </c>
      <c r="P18" s="54">
        <v>13818.139358261255</v>
      </c>
      <c r="Q18" s="58">
        <v>22928.115156074131</v>
      </c>
    </row>
    <row r="19" spans="1:17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694.89611911773682</v>
      </c>
      <c r="E19" s="53">
        <v>258.16700077056885</v>
      </c>
      <c r="F19" s="53">
        <v>332.41611480712891</v>
      </c>
      <c r="G19" s="53">
        <v>104.31300354003906</v>
      </c>
      <c r="H19" s="53">
        <v>324.85611772537231</v>
      </c>
      <c r="I19" s="53">
        <v>96.587274551391602</v>
      </c>
      <c r="J19" s="53">
        <v>145.22691774368286</v>
      </c>
      <c r="K19" s="53">
        <v>83.041925430297852</v>
      </c>
      <c r="L19" s="53">
        <v>0</v>
      </c>
      <c r="M19" s="53">
        <v>72.959897041320801</v>
      </c>
      <c r="N19" s="53">
        <v>294.17717838287354</v>
      </c>
      <c r="O19" s="53">
        <v>327.75904369354248</v>
      </c>
      <c r="P19" s="54">
        <v>3560.7604005803191</v>
      </c>
      <c r="Q19" s="58">
        <v>6023.6297654319578</v>
      </c>
    </row>
    <row r="20" spans="1:17" s="38" customFormat="1" ht="20.45" customHeight="1" x14ac:dyDescent="0.2">
      <c r="A20" s="31" t="s">
        <v>12</v>
      </c>
      <c r="B20" s="25">
        <f>B8+B9</f>
        <v>4130789.1689232588</v>
      </c>
      <c r="C20" s="26">
        <f>C8+C9</f>
        <v>2218409.9185657408</v>
      </c>
      <c r="D20" s="25">
        <f t="shared" ref="D20:Q20" si="0">D8+D9</f>
        <v>2049091.132013917</v>
      </c>
      <c r="E20" s="25">
        <f t="shared" si="0"/>
        <v>1370944.4373137951</v>
      </c>
      <c r="F20" s="25">
        <f t="shared" si="0"/>
        <v>556604.80723035336</v>
      </c>
      <c r="G20" s="25">
        <f t="shared" si="0"/>
        <v>121541.88746976852</v>
      </c>
      <c r="H20" s="25">
        <f t="shared" si="0"/>
        <v>580302.07242059708</v>
      </c>
      <c r="I20" s="25">
        <f t="shared" si="0"/>
        <v>229194.46795856953</v>
      </c>
      <c r="J20" s="25">
        <f t="shared" si="0"/>
        <v>282021.09653139114</v>
      </c>
      <c r="K20" s="25">
        <f t="shared" si="0"/>
        <v>62770.944320559502</v>
      </c>
      <c r="L20" s="25">
        <f t="shared" si="0"/>
        <v>6315.5636100769043</v>
      </c>
      <c r="M20" s="25">
        <f t="shared" si="0"/>
        <v>849467.1073127985</v>
      </c>
      <c r="N20" s="25">
        <f t="shared" si="0"/>
        <v>489542.84570717812</v>
      </c>
      <c r="O20" s="25">
        <f t="shared" si="0"/>
        <v>710081.17899394035</v>
      </c>
      <c r="P20" s="26">
        <f t="shared" si="0"/>
        <v>464578.49143477465</v>
      </c>
      <c r="Q20" s="59">
        <f t="shared" si="0"/>
        <v>804584.49548640824</v>
      </c>
    </row>
  </sheetData>
  <mergeCells count="15">
    <mergeCell ref="C5:C7"/>
    <mergeCell ref="D5:D7"/>
    <mergeCell ref="E5:G5"/>
    <mergeCell ref="H5:L5"/>
    <mergeCell ref="M5:O5"/>
    <mergeCell ref="P5:Q6"/>
    <mergeCell ref="E6:G6"/>
    <mergeCell ref="H6:H7"/>
    <mergeCell ref="I6:L6"/>
    <mergeCell ref="M6:O6"/>
    <mergeCell ref="A1:Q1"/>
    <mergeCell ref="A4:A7"/>
    <mergeCell ref="B4:C4"/>
    <mergeCell ref="D4:Q4"/>
    <mergeCell ref="B5:B7"/>
  </mergeCells>
  <conditionalFormatting sqref="B8:B20">
    <cfRule type="cellIs" dxfId="758" priority="42" stopIfTrue="1" operator="equal">
      <formula>0</formula>
    </cfRule>
  </conditionalFormatting>
  <conditionalFormatting sqref="C8:C20">
    <cfRule type="cellIs" dxfId="757" priority="41" stopIfTrue="1" operator="equal">
      <formula>0</formula>
    </cfRule>
  </conditionalFormatting>
  <conditionalFormatting sqref="D8:D20">
    <cfRule type="cellIs" dxfId="756" priority="14" stopIfTrue="1" operator="equal">
      <formula>0</formula>
    </cfRule>
  </conditionalFormatting>
  <conditionalFormatting sqref="E8:E20">
    <cfRule type="cellIs" dxfId="755" priority="13" stopIfTrue="1" operator="equal">
      <formula>0</formula>
    </cfRule>
  </conditionalFormatting>
  <conditionalFormatting sqref="F8:F20">
    <cfRule type="cellIs" dxfId="754" priority="12" stopIfTrue="1" operator="equal">
      <formula>0</formula>
    </cfRule>
  </conditionalFormatting>
  <conditionalFormatting sqref="G8:G20">
    <cfRule type="cellIs" dxfId="753" priority="11" stopIfTrue="1" operator="equal">
      <formula>0</formula>
    </cfRule>
  </conditionalFormatting>
  <conditionalFormatting sqref="H8:H20">
    <cfRule type="cellIs" dxfId="752" priority="10" stopIfTrue="1" operator="equal">
      <formula>0</formula>
    </cfRule>
  </conditionalFormatting>
  <conditionalFormatting sqref="I8:I20">
    <cfRule type="cellIs" dxfId="751" priority="9" stopIfTrue="1" operator="equal">
      <formula>0</formula>
    </cfRule>
  </conditionalFormatting>
  <conditionalFormatting sqref="J8:J20">
    <cfRule type="cellIs" dxfId="750" priority="8" stopIfTrue="1" operator="equal">
      <formula>0</formula>
    </cfRule>
  </conditionalFormatting>
  <conditionalFormatting sqref="K8:K20">
    <cfRule type="cellIs" dxfId="749" priority="7" stopIfTrue="1" operator="equal">
      <formula>0</formula>
    </cfRule>
  </conditionalFormatting>
  <conditionalFormatting sqref="L8:L20">
    <cfRule type="cellIs" dxfId="748" priority="6" stopIfTrue="1" operator="equal">
      <formula>0</formula>
    </cfRule>
  </conditionalFormatting>
  <conditionalFormatting sqref="M8:M20">
    <cfRule type="cellIs" dxfId="747" priority="5" stopIfTrue="1" operator="equal">
      <formula>0</formula>
    </cfRule>
  </conditionalFormatting>
  <conditionalFormatting sqref="N8:N20">
    <cfRule type="cellIs" dxfId="746" priority="4" stopIfTrue="1" operator="equal">
      <formula>0</formula>
    </cfRule>
  </conditionalFormatting>
  <conditionalFormatting sqref="O8:O20">
    <cfRule type="cellIs" dxfId="745" priority="3" stopIfTrue="1" operator="equal">
      <formula>0</formula>
    </cfRule>
  </conditionalFormatting>
  <conditionalFormatting sqref="P8:P20">
    <cfRule type="cellIs" dxfId="744" priority="2" stopIfTrue="1" operator="equal">
      <formula>0</formula>
    </cfRule>
  </conditionalFormatting>
  <conditionalFormatting sqref="Q8:Q20">
    <cfRule type="cellIs" dxfId="743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3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E5CE-5F01-4315-B3F2-DCE1F59ED3A3}">
  <dimension ref="A1:Q20"/>
  <sheetViews>
    <sheetView zoomScale="94" zoomScaleNormal="75" workbookViewId="0">
      <selection sqref="A1:Q1"/>
    </sheetView>
  </sheetViews>
  <sheetFormatPr defaultRowHeight="12.75" x14ac:dyDescent="0.2"/>
  <cols>
    <col min="1" max="1" width="23.85546875" bestFit="1" customWidth="1"/>
    <col min="2" max="2" width="10.42578125" bestFit="1" customWidth="1"/>
    <col min="3" max="3" width="12.140625" bestFit="1" customWidth="1"/>
    <col min="4" max="4" width="11" customWidth="1"/>
    <col min="5" max="5" width="10.5703125" customWidth="1"/>
    <col min="6" max="6" width="11.42578125" customWidth="1"/>
    <col min="7" max="7" width="10.42578125" bestFit="1" customWidth="1"/>
    <col min="8" max="8" width="10.140625" customWidth="1"/>
    <col min="9" max="11" width="9.42578125" customWidth="1"/>
    <col min="13" max="13" width="10.85546875" customWidth="1"/>
    <col min="14" max="14" width="9" customWidth="1"/>
    <col min="15" max="15" width="8.85546875" customWidth="1"/>
    <col min="16" max="16" width="10.5703125" customWidth="1"/>
    <col min="17" max="17" width="10.85546875" customWidth="1"/>
  </cols>
  <sheetData>
    <row r="1" spans="1:17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 t="s">
        <v>32</v>
      </c>
    </row>
    <row r="3" spans="1:17" x14ac:dyDescent="0.2">
      <c r="A3" s="27" t="s">
        <v>233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s="7" customFormat="1" x14ac:dyDescent="0.2">
      <c r="A4" s="123" t="s">
        <v>30</v>
      </c>
      <c r="B4" s="122" t="s">
        <v>47</v>
      </c>
      <c r="C4" s="122"/>
      <c r="D4" s="168" t="s">
        <v>232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69"/>
    </row>
    <row r="5" spans="1:17" s="7" customFormat="1" ht="25.5" customHeight="1" x14ac:dyDescent="0.2">
      <c r="A5" s="123"/>
      <c r="B5" s="121" t="s">
        <v>41</v>
      </c>
      <c r="C5" s="121" t="s">
        <v>21</v>
      </c>
      <c r="D5" s="121" t="s">
        <v>80</v>
      </c>
      <c r="E5" s="122" t="s">
        <v>217</v>
      </c>
      <c r="F5" s="122"/>
      <c r="G5" s="122"/>
      <c r="H5" s="176" t="s">
        <v>218</v>
      </c>
      <c r="I5" s="177"/>
      <c r="J5" s="177"/>
      <c r="K5" s="177"/>
      <c r="L5" s="178"/>
      <c r="M5" s="176" t="s">
        <v>219</v>
      </c>
      <c r="N5" s="177"/>
      <c r="O5" s="178"/>
      <c r="P5" s="170" t="s">
        <v>220</v>
      </c>
      <c r="Q5" s="171"/>
    </row>
    <row r="6" spans="1:17" s="7" customFormat="1" ht="21.6" customHeight="1" x14ac:dyDescent="0.2">
      <c r="A6" s="123"/>
      <c r="B6" s="121"/>
      <c r="C6" s="121"/>
      <c r="D6" s="121"/>
      <c r="E6" s="152" t="s">
        <v>221</v>
      </c>
      <c r="F6" s="174"/>
      <c r="G6" s="153"/>
      <c r="H6" s="126" t="s">
        <v>221</v>
      </c>
      <c r="I6" s="152" t="s">
        <v>222</v>
      </c>
      <c r="J6" s="174"/>
      <c r="K6" s="174"/>
      <c r="L6" s="153"/>
      <c r="M6" s="152" t="s">
        <v>221</v>
      </c>
      <c r="N6" s="174"/>
      <c r="O6" s="153"/>
      <c r="P6" s="172"/>
      <c r="Q6" s="173"/>
    </row>
    <row r="7" spans="1:17" s="7" customFormat="1" ht="38.25" x14ac:dyDescent="0.2">
      <c r="A7" s="123"/>
      <c r="B7" s="126"/>
      <c r="C7" s="126"/>
      <c r="D7" s="126"/>
      <c r="E7" s="33" t="s">
        <v>223</v>
      </c>
      <c r="F7" s="33" t="s">
        <v>224</v>
      </c>
      <c r="G7" s="33" t="s">
        <v>225</v>
      </c>
      <c r="H7" s="149"/>
      <c r="I7" s="65" t="s">
        <v>547</v>
      </c>
      <c r="J7" s="65" t="s">
        <v>548</v>
      </c>
      <c r="K7" s="65" t="s">
        <v>549</v>
      </c>
      <c r="L7" s="65" t="s">
        <v>550</v>
      </c>
      <c r="M7" s="33" t="s">
        <v>226</v>
      </c>
      <c r="N7" s="33" t="s">
        <v>227</v>
      </c>
      <c r="O7" s="33" t="s">
        <v>228</v>
      </c>
      <c r="P7" s="33" t="s">
        <v>21</v>
      </c>
      <c r="Q7" s="33" t="s">
        <v>508</v>
      </c>
    </row>
    <row r="8" spans="1:17" s="6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9051.0374963283539</v>
      </c>
      <c r="E8" s="49">
        <v>5147.5031139850616</v>
      </c>
      <c r="F8" s="49">
        <v>2881.877329826355</v>
      </c>
      <c r="G8" s="49">
        <v>1021.6570525169373</v>
      </c>
      <c r="H8" s="49">
        <v>2872.3184504508972</v>
      </c>
      <c r="I8" s="49">
        <v>1733.4895615577698</v>
      </c>
      <c r="J8" s="49">
        <v>811.12433624267578</v>
      </c>
      <c r="K8" s="49">
        <v>253.26202011108398</v>
      </c>
      <c r="L8" s="49">
        <v>74.442532539367676</v>
      </c>
      <c r="M8" s="49">
        <v>5888.6465804576874</v>
      </c>
      <c r="N8" s="49">
        <v>535.98461246490479</v>
      </c>
      <c r="O8" s="49">
        <v>2626.4063034057617</v>
      </c>
      <c r="P8" s="50">
        <v>24.552758943120217</v>
      </c>
      <c r="Q8" s="56">
        <v>275.86290175509697</v>
      </c>
    </row>
    <row r="9" spans="1:17" s="6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1769242.6105122566</v>
      </c>
      <c r="E9" s="51">
        <v>1127679.7250461578</v>
      </c>
      <c r="F9" s="51">
        <v>511034.87167811394</v>
      </c>
      <c r="G9" s="51">
        <v>130528.01378798485</v>
      </c>
      <c r="H9" s="51">
        <v>639315.88921284676</v>
      </c>
      <c r="I9" s="51">
        <v>319019.81274342537</v>
      </c>
      <c r="J9" s="51">
        <v>235591.01727890968</v>
      </c>
      <c r="K9" s="51">
        <v>78511.700783014297</v>
      </c>
      <c r="L9" s="51">
        <v>6193.358407497406</v>
      </c>
      <c r="M9" s="51">
        <v>994852.27237856388</v>
      </c>
      <c r="N9" s="51">
        <v>162369.00279653072</v>
      </c>
      <c r="O9" s="51">
        <v>612021.33533716202</v>
      </c>
      <c r="P9" s="52">
        <v>44222.752411610054</v>
      </c>
      <c r="Q9" s="57">
        <v>140379.2199457041</v>
      </c>
    </row>
    <row r="10" spans="1:17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162769.78021323681</v>
      </c>
      <c r="E10" s="53">
        <v>97379.077008366585</v>
      </c>
      <c r="F10" s="53">
        <v>51342.110467195511</v>
      </c>
      <c r="G10" s="53">
        <v>14048.592737674713</v>
      </c>
      <c r="H10" s="53">
        <v>65836.116413354874</v>
      </c>
      <c r="I10" s="53">
        <v>34519.982198953629</v>
      </c>
      <c r="J10" s="53">
        <v>22218.677560567856</v>
      </c>
      <c r="K10" s="53">
        <v>8471.308610200882</v>
      </c>
      <c r="L10" s="53">
        <v>626.14804363250732</v>
      </c>
      <c r="M10" s="53">
        <v>90274.341826081276</v>
      </c>
      <c r="N10" s="53">
        <v>16137.354089736938</v>
      </c>
      <c r="O10" s="53">
        <v>56358.084297418594</v>
      </c>
      <c r="P10" s="54">
        <v>1374.7578956854759</v>
      </c>
      <c r="Q10" s="58">
        <v>7663.3452482100993</v>
      </c>
    </row>
    <row r="11" spans="1:17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256085.46971905231</v>
      </c>
      <c r="E11" s="53">
        <v>166885.98683679104</v>
      </c>
      <c r="F11" s="53">
        <v>69346.369243383408</v>
      </c>
      <c r="G11" s="53">
        <v>19853.113638877869</v>
      </c>
      <c r="H11" s="53">
        <v>86989.584430456161</v>
      </c>
      <c r="I11" s="53">
        <v>43880.219842433929</v>
      </c>
      <c r="J11" s="53">
        <v>30518.956111431122</v>
      </c>
      <c r="K11" s="53">
        <v>11822.366183042526</v>
      </c>
      <c r="L11" s="53">
        <v>768.04229354858398</v>
      </c>
      <c r="M11" s="53">
        <v>149948.94438016415</v>
      </c>
      <c r="N11" s="53">
        <v>19138.201892137527</v>
      </c>
      <c r="O11" s="53">
        <v>86998.323446750641</v>
      </c>
      <c r="P11" s="54">
        <v>3411.5344878830897</v>
      </c>
      <c r="Q11" s="58">
        <v>14178.662788621314</v>
      </c>
    </row>
    <row r="12" spans="1:17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615711.69315862656</v>
      </c>
      <c r="E12" s="53">
        <v>403878.71652579308</v>
      </c>
      <c r="F12" s="53">
        <v>167740.36321425438</v>
      </c>
      <c r="G12" s="53">
        <v>44092.613418579102</v>
      </c>
      <c r="H12" s="53">
        <v>207353.8285048008</v>
      </c>
      <c r="I12" s="53">
        <v>101908.78039097786</v>
      </c>
      <c r="J12" s="53">
        <v>77176.397533655167</v>
      </c>
      <c r="K12" s="53">
        <v>26119.562726736069</v>
      </c>
      <c r="L12" s="53">
        <v>2149.0878534317017</v>
      </c>
      <c r="M12" s="53">
        <v>360225.30147707462</v>
      </c>
      <c r="N12" s="53">
        <v>46493.957409739494</v>
      </c>
      <c r="O12" s="53">
        <v>208992.43427181244</v>
      </c>
      <c r="P12" s="54">
        <v>12365.630540778106</v>
      </c>
      <c r="Q12" s="58">
        <v>42828.900080907981</v>
      </c>
    </row>
    <row r="13" spans="1:17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451126.46629977226</v>
      </c>
      <c r="E13" s="53">
        <v>284561.30517625809</v>
      </c>
      <c r="F13" s="53">
        <v>134301.01373958588</v>
      </c>
      <c r="G13" s="53">
        <v>32264.147383928299</v>
      </c>
      <c r="H13" s="53">
        <v>167464.50110864639</v>
      </c>
      <c r="I13" s="53">
        <v>83512.714314937592</v>
      </c>
      <c r="J13" s="53">
        <v>62074.938765525818</v>
      </c>
      <c r="K13" s="53">
        <v>20093.522895812988</v>
      </c>
      <c r="L13" s="53">
        <v>1783.3251323699951</v>
      </c>
      <c r="M13" s="53">
        <v>248356.89429163933</v>
      </c>
      <c r="N13" s="53">
        <v>43883.924369812012</v>
      </c>
      <c r="O13" s="53">
        <v>158885.64763832092</v>
      </c>
      <c r="P13" s="54">
        <v>13622.840371948081</v>
      </c>
      <c r="Q13" s="58">
        <v>40790.826893187172</v>
      </c>
    </row>
    <row r="14" spans="1:17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219580.86922049522</v>
      </c>
      <c r="E14" s="53">
        <v>136886.67629718781</v>
      </c>
      <c r="F14" s="53">
        <v>67692.831131219864</v>
      </c>
      <c r="G14" s="53">
        <v>15001.361792087555</v>
      </c>
      <c r="H14" s="53">
        <v>84842.541692495346</v>
      </c>
      <c r="I14" s="53">
        <v>42626.833385229111</v>
      </c>
      <c r="J14" s="53">
        <v>32264.796842336655</v>
      </c>
      <c r="K14" s="53">
        <v>9228.2492640018463</v>
      </c>
      <c r="L14" s="53">
        <v>722.66220092773438</v>
      </c>
      <c r="M14" s="53">
        <v>114573.07789373398</v>
      </c>
      <c r="N14" s="53">
        <v>26607.530039548874</v>
      </c>
      <c r="O14" s="53">
        <v>78400.261287212372</v>
      </c>
      <c r="P14" s="54">
        <v>9120.0256799799772</v>
      </c>
      <c r="Q14" s="58">
        <v>24667.067346075415</v>
      </c>
    </row>
    <row r="15" spans="1:17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43223.588044524193</v>
      </c>
      <c r="E15" s="53">
        <v>26110.851873040199</v>
      </c>
      <c r="F15" s="53">
        <v>13815.637621641159</v>
      </c>
      <c r="G15" s="53">
        <v>3297.0985498428345</v>
      </c>
      <c r="H15" s="53">
        <v>17817.307294845581</v>
      </c>
      <c r="I15" s="53">
        <v>8675.7254338264465</v>
      </c>
      <c r="J15" s="53">
        <v>7088.295645236969</v>
      </c>
      <c r="K15" s="53">
        <v>1943.0253410339355</v>
      </c>
      <c r="L15" s="53">
        <v>110.26087474822998</v>
      </c>
      <c r="M15" s="53">
        <v>21722.887470841408</v>
      </c>
      <c r="N15" s="53">
        <v>6359.2381377220154</v>
      </c>
      <c r="O15" s="53">
        <v>15141.46243596077</v>
      </c>
      <c r="P15" s="54">
        <v>2277.8197478213651</v>
      </c>
      <c r="Q15" s="58">
        <v>5443.8232807986124</v>
      </c>
    </row>
    <row r="16" spans="1:17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13098.886101126671</v>
      </c>
      <c r="E16" s="53">
        <v>8060.3483506441116</v>
      </c>
      <c r="F16" s="53">
        <v>3883.1636040210724</v>
      </c>
      <c r="G16" s="53">
        <v>1155.3741464614868</v>
      </c>
      <c r="H16" s="53">
        <v>5575.2112655639648</v>
      </c>
      <c r="I16" s="53">
        <v>2390.5349318981171</v>
      </c>
      <c r="J16" s="53">
        <v>2646.7394909858704</v>
      </c>
      <c r="K16" s="53">
        <v>519.99913048744202</v>
      </c>
      <c r="L16" s="53">
        <v>17.9377121925354</v>
      </c>
      <c r="M16" s="53">
        <v>6423.0101405382156</v>
      </c>
      <c r="N16" s="53">
        <v>2243.3693535327911</v>
      </c>
      <c r="O16" s="53">
        <v>4432.5066070556641</v>
      </c>
      <c r="P16" s="54">
        <v>1061.960723747673</v>
      </c>
      <c r="Q16" s="58">
        <v>2293.9497643506284</v>
      </c>
    </row>
    <row r="17" spans="1:17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4000.7403551340103</v>
      </c>
      <c r="E17" s="53">
        <v>2261.0410138368607</v>
      </c>
      <c r="F17" s="53">
        <v>1350.9082598686218</v>
      </c>
      <c r="G17" s="53">
        <v>388.79108142852783</v>
      </c>
      <c r="H17" s="53">
        <v>1686.90021276474</v>
      </c>
      <c r="I17" s="53">
        <v>764.69248104095459</v>
      </c>
      <c r="J17" s="53">
        <v>759.15773630142212</v>
      </c>
      <c r="K17" s="53">
        <v>163.04999542236328</v>
      </c>
      <c r="L17" s="53">
        <v>0</v>
      </c>
      <c r="M17" s="53">
        <v>1880.5351091623306</v>
      </c>
      <c r="N17" s="53">
        <v>700.4264874458313</v>
      </c>
      <c r="O17" s="53">
        <v>1419.7787585258484</v>
      </c>
      <c r="P17" s="54">
        <v>491.47626846091015</v>
      </c>
      <c r="Q17" s="58">
        <v>1265.8712906481078</v>
      </c>
    </row>
    <row r="18" spans="1:17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3287.451339840889</v>
      </c>
      <c r="E18" s="53">
        <v>1556.4003618955612</v>
      </c>
      <c r="F18" s="53">
        <v>1363.0046064853668</v>
      </c>
      <c r="G18" s="53">
        <v>368.04637145996094</v>
      </c>
      <c r="H18" s="53">
        <v>1581.4056165218353</v>
      </c>
      <c r="I18" s="53">
        <v>674.44723582267761</v>
      </c>
      <c r="J18" s="53">
        <v>755.92855548858643</v>
      </c>
      <c r="K18" s="53">
        <v>135.13552856445313</v>
      </c>
      <c r="L18" s="53">
        <v>15.894296646118164</v>
      </c>
      <c r="M18" s="53">
        <v>1315.4407738447189</v>
      </c>
      <c r="N18" s="53">
        <v>738.64342331886292</v>
      </c>
      <c r="O18" s="53">
        <v>1233.3671426773071</v>
      </c>
      <c r="P18" s="54">
        <v>432.93195861033496</v>
      </c>
      <c r="Q18" s="58">
        <v>1083.5706317432052</v>
      </c>
    </row>
    <row r="19" spans="1:17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357.66606044769287</v>
      </c>
      <c r="E19" s="53">
        <v>99.321602344512939</v>
      </c>
      <c r="F19" s="53">
        <v>199.4697904586792</v>
      </c>
      <c r="G19" s="53">
        <v>58.874667644500732</v>
      </c>
      <c r="H19" s="53">
        <v>168.49267339706421</v>
      </c>
      <c r="I19" s="53">
        <v>65.882528305053711</v>
      </c>
      <c r="J19" s="53">
        <v>87.129037380218506</v>
      </c>
      <c r="K19" s="53">
        <v>15.481107711791992</v>
      </c>
      <c r="L19" s="53">
        <v>0</v>
      </c>
      <c r="M19" s="53">
        <v>131.8390154838562</v>
      </c>
      <c r="N19" s="53">
        <v>66.357593536376953</v>
      </c>
      <c r="O19" s="53">
        <v>159.46945142745972</v>
      </c>
      <c r="P19" s="54">
        <v>63.774736695408976</v>
      </c>
      <c r="Q19" s="58">
        <v>163.2026211628741</v>
      </c>
    </row>
    <row r="20" spans="1:17" s="6" customFormat="1" ht="20.45" customHeight="1" x14ac:dyDescent="0.2">
      <c r="A20" s="31" t="s">
        <v>12</v>
      </c>
      <c r="B20" s="25">
        <f>B8+B9</f>
        <v>4130789.1689232588</v>
      </c>
      <c r="C20" s="26">
        <f>C8+C9</f>
        <v>2218409.9185657408</v>
      </c>
      <c r="D20" s="25">
        <f t="shared" ref="D20:Q20" si="0">D8+D9</f>
        <v>1778293.648008585</v>
      </c>
      <c r="E20" s="25">
        <f t="shared" si="0"/>
        <v>1132827.2281601429</v>
      </c>
      <c r="F20" s="25">
        <f t="shared" si="0"/>
        <v>513916.74900794029</v>
      </c>
      <c r="G20" s="25">
        <f t="shared" si="0"/>
        <v>131549.67084050179</v>
      </c>
      <c r="H20" s="25">
        <f t="shared" si="0"/>
        <v>642188.20766329765</v>
      </c>
      <c r="I20" s="25">
        <f t="shared" si="0"/>
        <v>320753.30230498314</v>
      </c>
      <c r="J20" s="25">
        <f t="shared" si="0"/>
        <v>236402.14161515236</v>
      </c>
      <c r="K20" s="25">
        <f t="shared" si="0"/>
        <v>78764.962803125381</v>
      </c>
      <c r="L20" s="25">
        <f t="shared" si="0"/>
        <v>6267.8009400367737</v>
      </c>
      <c r="M20" s="25">
        <f t="shared" si="0"/>
        <v>1000740.9189590216</v>
      </c>
      <c r="N20" s="25">
        <f t="shared" si="0"/>
        <v>162904.98740899563</v>
      </c>
      <c r="O20" s="25">
        <f t="shared" si="0"/>
        <v>614647.74164056778</v>
      </c>
      <c r="P20" s="26">
        <f t="shared" si="0"/>
        <v>44247.305170553176</v>
      </c>
      <c r="Q20" s="59">
        <f t="shared" si="0"/>
        <v>140655.08284745918</v>
      </c>
    </row>
  </sheetData>
  <mergeCells count="15">
    <mergeCell ref="C5:C7"/>
    <mergeCell ref="D5:D7"/>
    <mergeCell ref="E5:G5"/>
    <mergeCell ref="H5:L5"/>
    <mergeCell ref="M5:O5"/>
    <mergeCell ref="P5:Q6"/>
    <mergeCell ref="E6:G6"/>
    <mergeCell ref="H6:H7"/>
    <mergeCell ref="I6:L6"/>
    <mergeCell ref="M6:O6"/>
    <mergeCell ref="A1:Q1"/>
    <mergeCell ref="A4:A7"/>
    <mergeCell ref="B4:C4"/>
    <mergeCell ref="D4:Q4"/>
    <mergeCell ref="B5:B7"/>
  </mergeCells>
  <conditionalFormatting sqref="B8:B20">
    <cfRule type="cellIs" dxfId="742" priority="28" stopIfTrue="1" operator="equal">
      <formula>0</formula>
    </cfRule>
  </conditionalFormatting>
  <conditionalFormatting sqref="C8:C20 P8:Q20">
    <cfRule type="cellIs" dxfId="741" priority="27" stopIfTrue="1" operator="equal">
      <formula>0</formula>
    </cfRule>
  </conditionalFormatting>
  <conditionalFormatting sqref="D8:D20">
    <cfRule type="cellIs" dxfId="740" priority="12" stopIfTrue="1" operator="equal">
      <formula>0</formula>
    </cfRule>
  </conditionalFormatting>
  <conditionalFormatting sqref="E8:E20">
    <cfRule type="cellIs" dxfId="739" priority="11" stopIfTrue="1" operator="equal">
      <formula>0</formula>
    </cfRule>
  </conditionalFormatting>
  <conditionalFormatting sqref="F8:F20">
    <cfRule type="cellIs" dxfId="738" priority="10" stopIfTrue="1" operator="equal">
      <formula>0</formula>
    </cfRule>
  </conditionalFormatting>
  <conditionalFormatting sqref="G8:G20">
    <cfRule type="cellIs" dxfId="737" priority="9" stopIfTrue="1" operator="equal">
      <formula>0</formula>
    </cfRule>
  </conditionalFormatting>
  <conditionalFormatting sqref="H8:H20">
    <cfRule type="cellIs" dxfId="736" priority="8" stopIfTrue="1" operator="equal">
      <formula>0</formula>
    </cfRule>
  </conditionalFormatting>
  <conditionalFormatting sqref="I8:I20">
    <cfRule type="cellIs" dxfId="735" priority="7" stopIfTrue="1" operator="equal">
      <formula>0</formula>
    </cfRule>
  </conditionalFormatting>
  <conditionalFormatting sqref="J8:J20">
    <cfRule type="cellIs" dxfId="734" priority="6" stopIfTrue="1" operator="equal">
      <formula>0</formula>
    </cfRule>
  </conditionalFormatting>
  <conditionalFormatting sqref="K8:K20">
    <cfRule type="cellIs" dxfId="733" priority="5" stopIfTrue="1" operator="equal">
      <formula>0</formula>
    </cfRule>
  </conditionalFormatting>
  <conditionalFormatting sqref="L8:L20">
    <cfRule type="cellIs" dxfId="732" priority="4" stopIfTrue="1" operator="equal">
      <formula>0</formula>
    </cfRule>
  </conditionalFormatting>
  <conditionalFormatting sqref="M8:M20">
    <cfRule type="cellIs" dxfId="731" priority="3" stopIfTrue="1" operator="equal">
      <formula>0</formula>
    </cfRule>
  </conditionalFormatting>
  <conditionalFormatting sqref="N8:N20">
    <cfRule type="cellIs" dxfId="730" priority="2" stopIfTrue="1" operator="equal">
      <formula>0</formula>
    </cfRule>
  </conditionalFormatting>
  <conditionalFormatting sqref="O8:O20">
    <cfRule type="cellIs" dxfId="72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3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0701-B29C-4E24-9F2B-5112864BD2A8}">
  <dimension ref="A1:Q20"/>
  <sheetViews>
    <sheetView zoomScale="98" zoomScaleNormal="75" workbookViewId="0">
      <selection sqref="A1:Q1"/>
    </sheetView>
  </sheetViews>
  <sheetFormatPr defaultRowHeight="12.75" x14ac:dyDescent="0.2"/>
  <cols>
    <col min="1" max="1" width="23.85546875" bestFit="1" customWidth="1"/>
    <col min="2" max="2" width="10.42578125" bestFit="1" customWidth="1"/>
    <col min="3" max="3" width="12.140625" bestFit="1" customWidth="1"/>
    <col min="4" max="4" width="9.140625" customWidth="1"/>
    <col min="5" max="5" width="9" customWidth="1"/>
    <col min="6" max="6" width="10.42578125" customWidth="1"/>
    <col min="7" max="7" width="8.85546875" customWidth="1"/>
    <col min="8" max="8" width="8.42578125" customWidth="1"/>
    <col min="9" max="9" width="11" customWidth="1"/>
    <col min="10" max="11" width="9.42578125" customWidth="1"/>
    <col min="13" max="13" width="9.140625" customWidth="1"/>
    <col min="14" max="14" width="9" customWidth="1"/>
    <col min="15" max="15" width="8" customWidth="1"/>
    <col min="16" max="16" width="9" customWidth="1"/>
    <col min="17" max="17" width="11.42578125" customWidth="1"/>
  </cols>
  <sheetData>
    <row r="1" spans="1:17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 t="s">
        <v>32</v>
      </c>
    </row>
    <row r="3" spans="1:17" x14ac:dyDescent="0.2">
      <c r="A3" s="27" t="s">
        <v>235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s="7" customFormat="1" x14ac:dyDescent="0.2">
      <c r="A4" s="123" t="s">
        <v>30</v>
      </c>
      <c r="B4" s="122" t="s">
        <v>47</v>
      </c>
      <c r="C4" s="122"/>
      <c r="D4" s="168" t="s">
        <v>234</v>
      </c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69"/>
    </row>
    <row r="5" spans="1:17" s="7" customFormat="1" ht="25.5" customHeight="1" x14ac:dyDescent="0.2">
      <c r="A5" s="123"/>
      <c r="B5" s="121" t="s">
        <v>41</v>
      </c>
      <c r="C5" s="121" t="s">
        <v>21</v>
      </c>
      <c r="D5" s="121" t="s">
        <v>80</v>
      </c>
      <c r="E5" s="122" t="s">
        <v>217</v>
      </c>
      <c r="F5" s="122"/>
      <c r="G5" s="122"/>
      <c r="H5" s="176" t="s">
        <v>218</v>
      </c>
      <c r="I5" s="177"/>
      <c r="J5" s="177"/>
      <c r="K5" s="177"/>
      <c r="L5" s="178"/>
      <c r="M5" s="176" t="s">
        <v>219</v>
      </c>
      <c r="N5" s="177"/>
      <c r="O5" s="178"/>
      <c r="P5" s="170" t="s">
        <v>220</v>
      </c>
      <c r="Q5" s="171"/>
    </row>
    <row r="6" spans="1:17" s="7" customFormat="1" ht="19.5" customHeight="1" x14ac:dyDescent="0.2">
      <c r="A6" s="123"/>
      <c r="B6" s="121"/>
      <c r="C6" s="121"/>
      <c r="D6" s="121"/>
      <c r="E6" s="152" t="s">
        <v>221</v>
      </c>
      <c r="F6" s="174"/>
      <c r="G6" s="153"/>
      <c r="H6" s="126" t="s">
        <v>221</v>
      </c>
      <c r="I6" s="152" t="s">
        <v>222</v>
      </c>
      <c r="J6" s="174"/>
      <c r="K6" s="174"/>
      <c r="L6" s="153"/>
      <c r="M6" s="152" t="s">
        <v>221</v>
      </c>
      <c r="N6" s="174"/>
      <c r="O6" s="153"/>
      <c r="P6" s="172"/>
      <c r="Q6" s="173"/>
    </row>
    <row r="7" spans="1:17" s="7" customFormat="1" ht="38.25" x14ac:dyDescent="0.2">
      <c r="A7" s="123"/>
      <c r="B7" s="126"/>
      <c r="C7" s="126"/>
      <c r="D7" s="126"/>
      <c r="E7" s="33" t="s">
        <v>223</v>
      </c>
      <c r="F7" s="33" t="s">
        <v>224</v>
      </c>
      <c r="G7" s="33" t="s">
        <v>225</v>
      </c>
      <c r="H7" s="149"/>
      <c r="I7" s="65" t="s">
        <v>547</v>
      </c>
      <c r="J7" s="65" t="s">
        <v>548</v>
      </c>
      <c r="K7" s="65" t="s">
        <v>549</v>
      </c>
      <c r="L7" s="65" t="s">
        <v>550</v>
      </c>
      <c r="M7" s="33" t="s">
        <v>226</v>
      </c>
      <c r="N7" s="33" t="s">
        <v>227</v>
      </c>
      <c r="O7" s="33" t="s">
        <v>228</v>
      </c>
      <c r="P7" s="33" t="s">
        <v>21</v>
      </c>
      <c r="Q7" s="33" t="s">
        <v>508</v>
      </c>
    </row>
    <row r="8" spans="1:17" s="6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29460.630241274834</v>
      </c>
      <c r="E8" s="49">
        <v>15796.935919046402</v>
      </c>
      <c r="F8" s="49">
        <v>9626.9871102571487</v>
      </c>
      <c r="G8" s="49">
        <v>4036.707211971283</v>
      </c>
      <c r="H8" s="49">
        <v>8085.7557755708694</v>
      </c>
      <c r="I8" s="49">
        <v>5772.9297367334366</v>
      </c>
      <c r="J8" s="49">
        <v>1981.0844225883484</v>
      </c>
      <c r="K8" s="49">
        <v>331.74161624908447</v>
      </c>
      <c r="L8" s="49">
        <v>0</v>
      </c>
      <c r="M8" s="49">
        <v>22196.054087519646</v>
      </c>
      <c r="N8" s="49">
        <v>1793.3739805221558</v>
      </c>
      <c r="O8" s="49">
        <v>5471.2021732330322</v>
      </c>
      <c r="P8" s="50">
        <v>69.396984075916919</v>
      </c>
      <c r="Q8" s="56">
        <v>626.33121486924085</v>
      </c>
    </row>
    <row r="9" spans="1:17" s="6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1948109.9079669714</v>
      </c>
      <c r="E9" s="51">
        <v>1261822.3980191946</v>
      </c>
      <c r="F9" s="51">
        <v>428643.79793357849</v>
      </c>
      <c r="G9" s="51">
        <v>257643.7120141983</v>
      </c>
      <c r="H9" s="51">
        <v>519948.64074802399</v>
      </c>
      <c r="I9" s="51">
        <v>274962.51955699921</v>
      </c>
      <c r="J9" s="51">
        <v>173506.41198205948</v>
      </c>
      <c r="K9" s="51">
        <v>67622.363251686096</v>
      </c>
      <c r="L9" s="51">
        <v>3857.3459572792053</v>
      </c>
      <c r="M9" s="51">
        <v>1494785.7045534849</v>
      </c>
      <c r="N9" s="51">
        <v>89036.429935932159</v>
      </c>
      <c r="O9" s="51">
        <v>364287.77347755432</v>
      </c>
      <c r="P9" s="52">
        <v>37104.277295863321</v>
      </c>
      <c r="Q9" s="57">
        <v>144422.46774272941</v>
      </c>
    </row>
    <row r="10" spans="1:17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247692.00142347813</v>
      </c>
      <c r="E10" s="53">
        <v>145841.31607604027</v>
      </c>
      <c r="F10" s="53">
        <v>63966.934391021729</v>
      </c>
      <c r="G10" s="53">
        <v>37883.75095641613</v>
      </c>
      <c r="H10" s="53">
        <v>70955.288754105568</v>
      </c>
      <c r="I10" s="53">
        <v>41022.158469796181</v>
      </c>
      <c r="J10" s="53">
        <v>21946.909705638885</v>
      </c>
      <c r="K10" s="53">
        <v>7494.8950352668762</v>
      </c>
      <c r="L10" s="53">
        <v>491.32554340362549</v>
      </c>
      <c r="M10" s="53">
        <v>187604.14125454426</v>
      </c>
      <c r="N10" s="53">
        <v>13253.336112976074</v>
      </c>
      <c r="O10" s="53">
        <v>46834.524055957794</v>
      </c>
      <c r="P10" s="54">
        <v>1345.5443234778029</v>
      </c>
      <c r="Q10" s="58">
        <v>7079.3258572327586</v>
      </c>
    </row>
    <row r="11" spans="1:17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298197.05855607986</v>
      </c>
      <c r="E11" s="53">
        <v>192158.08100688457</v>
      </c>
      <c r="F11" s="53">
        <v>65129.940213680267</v>
      </c>
      <c r="G11" s="53">
        <v>40909.037335515022</v>
      </c>
      <c r="H11" s="53">
        <v>74565.338783860207</v>
      </c>
      <c r="I11" s="53">
        <v>40303.696365237236</v>
      </c>
      <c r="J11" s="53">
        <v>24124.727005958557</v>
      </c>
      <c r="K11" s="53">
        <v>9647.0014672279358</v>
      </c>
      <c r="L11" s="53">
        <v>489.91394543647766</v>
      </c>
      <c r="M11" s="53">
        <v>229317.25833272934</v>
      </c>
      <c r="N11" s="53">
        <v>12527.475212812424</v>
      </c>
      <c r="O11" s="53">
        <v>56352.325010538101</v>
      </c>
      <c r="P11" s="54">
        <v>2934.3957490696175</v>
      </c>
      <c r="Q11" s="58">
        <v>14610.072283613272</v>
      </c>
    </row>
    <row r="12" spans="1:17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662618.86134171486</v>
      </c>
      <c r="E12" s="53">
        <v>439728.16638875008</v>
      </c>
      <c r="F12" s="53">
        <v>137316.98270368576</v>
      </c>
      <c r="G12" s="53">
        <v>85573.712249279022</v>
      </c>
      <c r="H12" s="53">
        <v>165590.48386096954</v>
      </c>
      <c r="I12" s="53">
        <v>86566.934486150742</v>
      </c>
      <c r="J12" s="53">
        <v>55647.195221185684</v>
      </c>
      <c r="K12" s="53">
        <v>22403.930999040604</v>
      </c>
      <c r="L12" s="53">
        <v>972.42315459251404</v>
      </c>
      <c r="M12" s="53">
        <v>516481.74945950508</v>
      </c>
      <c r="N12" s="53">
        <v>24861.275335550308</v>
      </c>
      <c r="O12" s="53">
        <v>121275.83654665947</v>
      </c>
      <c r="P12" s="54">
        <v>9857.6364607493069</v>
      </c>
      <c r="Q12" s="58">
        <v>46037.253073161977</v>
      </c>
    </row>
    <row r="13" spans="1:17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461329.18041265011</v>
      </c>
      <c r="E13" s="53">
        <v>304058.08469426632</v>
      </c>
      <c r="F13" s="53">
        <v>98595.326543092728</v>
      </c>
      <c r="G13" s="53">
        <v>58675.769175291061</v>
      </c>
      <c r="H13" s="53">
        <v>124238.47081029415</v>
      </c>
      <c r="I13" s="53">
        <v>63330.689733624458</v>
      </c>
      <c r="J13" s="53">
        <v>42546.730105161667</v>
      </c>
      <c r="K13" s="53">
        <v>17269.450616359711</v>
      </c>
      <c r="L13" s="53">
        <v>1091.6003551483154</v>
      </c>
      <c r="M13" s="53">
        <v>355221.08365142345</v>
      </c>
      <c r="N13" s="53">
        <v>21345.525283575058</v>
      </c>
      <c r="O13" s="53">
        <v>84762.571477651596</v>
      </c>
      <c r="P13" s="54">
        <v>10553.550885988658</v>
      </c>
      <c r="Q13" s="58">
        <v>39673.146847804019</v>
      </c>
    </row>
    <row r="14" spans="1:17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217759.13080382347</v>
      </c>
      <c r="E14" s="53">
        <v>141786.03814864159</v>
      </c>
      <c r="F14" s="53">
        <v>49394.451512336731</v>
      </c>
      <c r="G14" s="53">
        <v>26578.641142845154</v>
      </c>
      <c r="H14" s="53">
        <v>64342.937764286995</v>
      </c>
      <c r="I14" s="53">
        <v>33645.783933997154</v>
      </c>
      <c r="J14" s="53">
        <v>21963.845290184021</v>
      </c>
      <c r="K14" s="53">
        <v>8108.6322553157806</v>
      </c>
      <c r="L14" s="53">
        <v>624.67628479003906</v>
      </c>
      <c r="M14" s="53">
        <v>162804.82361984253</v>
      </c>
      <c r="N14" s="53">
        <v>12365.439977645874</v>
      </c>
      <c r="O14" s="53">
        <v>42588.867206335068</v>
      </c>
      <c r="P14" s="54">
        <v>7920.7428024717829</v>
      </c>
      <c r="Q14" s="58">
        <v>24408.319560773169</v>
      </c>
    </row>
    <row r="15" spans="1:17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41011.915825605392</v>
      </c>
      <c r="E15" s="53">
        <v>26270.498972535133</v>
      </c>
      <c r="F15" s="53">
        <v>9439.0562433004379</v>
      </c>
      <c r="G15" s="53">
        <v>5302.3606097698212</v>
      </c>
      <c r="H15" s="53">
        <v>13395.693226337433</v>
      </c>
      <c r="I15" s="53">
        <v>6796.8794746398926</v>
      </c>
      <c r="J15" s="53">
        <v>4838.7436013221741</v>
      </c>
      <c r="K15" s="53">
        <v>1627.1597023010254</v>
      </c>
      <c r="L15" s="53">
        <v>132.91044807434082</v>
      </c>
      <c r="M15" s="53">
        <v>29849.038605451584</v>
      </c>
      <c r="N15" s="53">
        <v>2881.1954879760742</v>
      </c>
      <c r="O15" s="53">
        <v>8281.6817321777344</v>
      </c>
      <c r="P15" s="54">
        <v>2122.943485660976</v>
      </c>
      <c r="Q15" s="58">
        <v>5637.4567749383023</v>
      </c>
    </row>
    <row r="16" spans="1:17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12457.092740893364</v>
      </c>
      <c r="E16" s="53">
        <v>8015.565896987915</v>
      </c>
      <c r="F16" s="53">
        <v>2906.369228720665</v>
      </c>
      <c r="G16" s="53">
        <v>1535.1576151847839</v>
      </c>
      <c r="H16" s="53">
        <v>4153.2349231243134</v>
      </c>
      <c r="I16" s="53">
        <v>2013.6384961605072</v>
      </c>
      <c r="J16" s="53">
        <v>1479.4835228919983</v>
      </c>
      <c r="K16" s="53">
        <v>616.04474830627441</v>
      </c>
      <c r="L16" s="53">
        <v>44.068155765533447</v>
      </c>
      <c r="M16" s="53">
        <v>8856.3122750520706</v>
      </c>
      <c r="N16" s="53">
        <v>997.48610949516296</v>
      </c>
      <c r="O16" s="53">
        <v>2603.2943563461304</v>
      </c>
      <c r="P16" s="54">
        <v>1070.1811948839609</v>
      </c>
      <c r="Q16" s="58">
        <v>2970.675306273451</v>
      </c>
    </row>
    <row r="17" spans="1:17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3621.8164894580841</v>
      </c>
      <c r="E17" s="53">
        <v>2105.2810957431793</v>
      </c>
      <c r="F17" s="53">
        <v>914.48117828369141</v>
      </c>
      <c r="G17" s="53">
        <v>602.05421543121338</v>
      </c>
      <c r="H17" s="53">
        <v>1407.0374698638916</v>
      </c>
      <c r="I17" s="53">
        <v>711.97626352310181</v>
      </c>
      <c r="J17" s="53">
        <v>504.6664719581604</v>
      </c>
      <c r="K17" s="53">
        <v>179.96666431427002</v>
      </c>
      <c r="L17" s="53">
        <v>10.428070068359375</v>
      </c>
      <c r="M17" s="53">
        <v>2420.8290774822235</v>
      </c>
      <c r="N17" s="53">
        <v>382.92465686798096</v>
      </c>
      <c r="O17" s="53">
        <v>818.06275510787964</v>
      </c>
      <c r="P17" s="54">
        <v>370.24050573389923</v>
      </c>
      <c r="Q17" s="58">
        <v>884.53866001040558</v>
      </c>
    </row>
    <row r="18" spans="1:17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3044.299042224884</v>
      </c>
      <c r="E18" s="53">
        <v>1710.5821290016174</v>
      </c>
      <c r="F18" s="53">
        <v>862.62850761413574</v>
      </c>
      <c r="G18" s="53">
        <v>471.08840560913086</v>
      </c>
      <c r="H18" s="53">
        <v>1165.7465386390686</v>
      </c>
      <c r="I18" s="53">
        <v>514.38181781768799</v>
      </c>
      <c r="J18" s="53">
        <v>422.5606255531311</v>
      </c>
      <c r="K18" s="53">
        <v>228.80409526824951</v>
      </c>
      <c r="L18" s="53">
        <v>0</v>
      </c>
      <c r="M18" s="53">
        <v>1991.9678177833557</v>
      </c>
      <c r="N18" s="53">
        <v>356.8161563873291</v>
      </c>
      <c r="O18" s="53">
        <v>695.51506805419922</v>
      </c>
      <c r="P18" s="54">
        <v>896.88286999098602</v>
      </c>
      <c r="Q18" s="58">
        <v>3067.503576324295</v>
      </c>
    </row>
    <row r="19" spans="1:17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378.55133104324341</v>
      </c>
      <c r="E19" s="53">
        <v>148.78361034393311</v>
      </c>
      <c r="F19" s="53">
        <v>117.62741184234619</v>
      </c>
      <c r="G19" s="53">
        <v>112.14030885696411</v>
      </c>
      <c r="H19" s="53">
        <v>134.40861654281616</v>
      </c>
      <c r="I19" s="53">
        <v>56.380516052246094</v>
      </c>
      <c r="J19" s="53">
        <v>31.550432205200195</v>
      </c>
      <c r="K19" s="53">
        <v>46.477668285369873</v>
      </c>
      <c r="L19" s="53">
        <v>0</v>
      </c>
      <c r="M19" s="53">
        <v>238.50045967102051</v>
      </c>
      <c r="N19" s="53">
        <v>64.955602645874023</v>
      </c>
      <c r="O19" s="53">
        <v>75.095268726348877</v>
      </c>
      <c r="P19" s="54">
        <v>32.159017835410047</v>
      </c>
      <c r="Q19" s="58">
        <v>54.175802599312775</v>
      </c>
    </row>
    <row r="20" spans="1:17" s="6" customFormat="1" ht="20.45" customHeight="1" x14ac:dyDescent="0.2">
      <c r="A20" s="31" t="s">
        <v>12</v>
      </c>
      <c r="B20" s="25">
        <f>B8+B9</f>
        <v>4130789.1689232588</v>
      </c>
      <c r="C20" s="26">
        <f>C8+C9</f>
        <v>2218409.9185657408</v>
      </c>
      <c r="D20" s="25">
        <f t="shared" ref="D20:Q20" si="0">D8+D9</f>
        <v>1977570.5382082462</v>
      </c>
      <c r="E20" s="25">
        <f t="shared" si="0"/>
        <v>1277619.333938241</v>
      </c>
      <c r="F20" s="25">
        <f t="shared" si="0"/>
        <v>438270.78504383564</v>
      </c>
      <c r="G20" s="25">
        <f t="shared" si="0"/>
        <v>261680.41922616959</v>
      </c>
      <c r="H20" s="25">
        <f t="shared" si="0"/>
        <v>528034.39652359486</v>
      </c>
      <c r="I20" s="25">
        <f t="shared" si="0"/>
        <v>280735.44929373264</v>
      </c>
      <c r="J20" s="25">
        <f t="shared" si="0"/>
        <v>175487.49640464783</v>
      </c>
      <c r="K20" s="25">
        <f t="shared" si="0"/>
        <v>67954.104867935181</v>
      </c>
      <c r="L20" s="25">
        <f t="shared" si="0"/>
        <v>3857.3459572792053</v>
      </c>
      <c r="M20" s="25">
        <f t="shared" si="0"/>
        <v>1516981.7586410046</v>
      </c>
      <c r="N20" s="25">
        <f t="shared" si="0"/>
        <v>90829.803916454315</v>
      </c>
      <c r="O20" s="25">
        <f t="shared" si="0"/>
        <v>369758.97565078735</v>
      </c>
      <c r="P20" s="26">
        <f t="shared" si="0"/>
        <v>37173.674279939238</v>
      </c>
      <c r="Q20" s="59">
        <f t="shared" si="0"/>
        <v>145048.79895759866</v>
      </c>
    </row>
  </sheetData>
  <mergeCells count="15">
    <mergeCell ref="C5:C7"/>
    <mergeCell ref="D5:D7"/>
    <mergeCell ref="E5:G5"/>
    <mergeCell ref="H5:L5"/>
    <mergeCell ref="M5:O5"/>
    <mergeCell ref="P5:Q6"/>
    <mergeCell ref="E6:G6"/>
    <mergeCell ref="H6:H7"/>
    <mergeCell ref="I6:L6"/>
    <mergeCell ref="M6:O6"/>
    <mergeCell ref="A1:Q1"/>
    <mergeCell ref="A4:A7"/>
    <mergeCell ref="B4:C4"/>
    <mergeCell ref="D4:Q4"/>
    <mergeCell ref="B5:B7"/>
  </mergeCells>
  <conditionalFormatting sqref="B8:B20">
    <cfRule type="cellIs" dxfId="728" priority="30" stopIfTrue="1" operator="equal">
      <formula>0</formula>
    </cfRule>
  </conditionalFormatting>
  <conditionalFormatting sqref="C8:C20">
    <cfRule type="cellIs" dxfId="727" priority="29" stopIfTrue="1" operator="equal">
      <formula>0</formula>
    </cfRule>
  </conditionalFormatting>
  <conditionalFormatting sqref="D8:D20">
    <cfRule type="cellIs" dxfId="726" priority="14" stopIfTrue="1" operator="equal">
      <formula>0</formula>
    </cfRule>
  </conditionalFormatting>
  <conditionalFormatting sqref="E8:E20">
    <cfRule type="cellIs" dxfId="725" priority="13" stopIfTrue="1" operator="equal">
      <formula>0</formula>
    </cfRule>
  </conditionalFormatting>
  <conditionalFormatting sqref="F8:F20">
    <cfRule type="cellIs" dxfId="724" priority="12" stopIfTrue="1" operator="equal">
      <formula>0</formula>
    </cfRule>
  </conditionalFormatting>
  <conditionalFormatting sqref="G8:G20">
    <cfRule type="cellIs" dxfId="723" priority="11" stopIfTrue="1" operator="equal">
      <formula>0</formula>
    </cfRule>
  </conditionalFormatting>
  <conditionalFormatting sqref="H8:H20">
    <cfRule type="cellIs" dxfId="722" priority="10" stopIfTrue="1" operator="equal">
      <formula>0</formula>
    </cfRule>
  </conditionalFormatting>
  <conditionalFormatting sqref="I8:I20">
    <cfRule type="cellIs" dxfId="721" priority="9" stopIfTrue="1" operator="equal">
      <formula>0</formula>
    </cfRule>
  </conditionalFormatting>
  <conditionalFormatting sqref="J8:J20">
    <cfRule type="cellIs" dxfId="720" priority="8" stopIfTrue="1" operator="equal">
      <formula>0</formula>
    </cfRule>
  </conditionalFormatting>
  <conditionalFormatting sqref="K8:K20">
    <cfRule type="cellIs" dxfId="719" priority="7" stopIfTrue="1" operator="equal">
      <formula>0</formula>
    </cfRule>
  </conditionalFormatting>
  <conditionalFormatting sqref="L8:L20">
    <cfRule type="cellIs" dxfId="718" priority="6" stopIfTrue="1" operator="equal">
      <formula>0</formula>
    </cfRule>
  </conditionalFormatting>
  <conditionalFormatting sqref="M8:M20">
    <cfRule type="cellIs" dxfId="717" priority="5" stopIfTrue="1" operator="equal">
      <formula>0</formula>
    </cfRule>
  </conditionalFormatting>
  <conditionalFormatting sqref="N8:N20">
    <cfRule type="cellIs" dxfId="716" priority="4" stopIfTrue="1" operator="equal">
      <formula>0</formula>
    </cfRule>
  </conditionalFormatting>
  <conditionalFormatting sqref="O8:O20">
    <cfRule type="cellIs" dxfId="715" priority="3" stopIfTrue="1" operator="equal">
      <formula>0</formula>
    </cfRule>
  </conditionalFormatting>
  <conditionalFormatting sqref="P8:P20">
    <cfRule type="cellIs" dxfId="714" priority="2" stopIfTrue="1" operator="equal">
      <formula>0</formula>
    </cfRule>
  </conditionalFormatting>
  <conditionalFormatting sqref="Q8:Q20">
    <cfRule type="cellIs" dxfId="713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34BA-460F-44CD-B799-67A9BCE7D9E1}">
  <sheetPr>
    <tabColor rgb="FFFFFF00"/>
  </sheetPr>
  <dimension ref="A1:N20"/>
  <sheetViews>
    <sheetView zoomScale="91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42578125" bestFit="1" customWidth="1"/>
    <col min="3" max="3" width="12.140625" bestFit="1" customWidth="1"/>
    <col min="4" max="4" width="12.140625" customWidth="1"/>
    <col min="5" max="5" width="11.5703125" customWidth="1"/>
    <col min="6" max="7" width="12" customWidth="1"/>
    <col min="8" max="8" width="12.85546875" customWidth="1"/>
    <col min="9" max="9" width="13.85546875" customWidth="1"/>
    <col min="12" max="12" width="11.5703125" bestFit="1" customWidth="1"/>
  </cols>
  <sheetData>
    <row r="1" spans="1:14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</row>
    <row r="2" spans="1:14" x14ac:dyDescent="0.2">
      <c r="A2" s="27"/>
      <c r="B2" s="28"/>
      <c r="C2" s="28"/>
      <c r="D2" s="28"/>
      <c r="E2" s="28"/>
      <c r="F2" s="28"/>
      <c r="G2" s="28"/>
      <c r="H2" s="28"/>
      <c r="I2" s="28" t="s">
        <v>32</v>
      </c>
    </row>
    <row r="3" spans="1:14" ht="27.6" customHeight="1" x14ac:dyDescent="0.2">
      <c r="A3" s="179" t="s">
        <v>534</v>
      </c>
      <c r="B3" s="179"/>
      <c r="C3" s="179"/>
      <c r="D3" s="179"/>
      <c r="E3" s="179"/>
      <c r="F3" s="179"/>
      <c r="G3" s="179"/>
      <c r="H3" s="179"/>
      <c r="I3" s="179"/>
    </row>
    <row r="4" spans="1:14" s="7" customFormat="1" x14ac:dyDescent="0.2">
      <c r="A4" s="123" t="s">
        <v>30</v>
      </c>
      <c r="B4" s="122" t="s">
        <v>47</v>
      </c>
      <c r="C4" s="122"/>
      <c r="D4" s="168" t="s">
        <v>535</v>
      </c>
      <c r="E4" s="175"/>
      <c r="F4" s="175"/>
      <c r="G4" s="175"/>
      <c r="H4" s="175"/>
      <c r="I4" s="169"/>
      <c r="N4"/>
    </row>
    <row r="5" spans="1:14" s="7" customFormat="1" ht="25.5" customHeight="1" x14ac:dyDescent="0.2">
      <c r="A5" s="123"/>
      <c r="B5" s="121" t="s">
        <v>41</v>
      </c>
      <c r="C5" s="121" t="s">
        <v>21</v>
      </c>
      <c r="D5" s="121" t="s">
        <v>80</v>
      </c>
      <c r="E5" s="176" t="s">
        <v>219</v>
      </c>
      <c r="F5" s="177"/>
      <c r="G5" s="178"/>
      <c r="H5" s="170" t="s">
        <v>220</v>
      </c>
      <c r="I5" s="171"/>
      <c r="N5"/>
    </row>
    <row r="6" spans="1:14" s="7" customFormat="1" ht="19.5" customHeight="1" x14ac:dyDescent="0.2">
      <c r="A6" s="123"/>
      <c r="B6" s="121"/>
      <c r="C6" s="121"/>
      <c r="D6" s="121"/>
      <c r="E6" s="152" t="s">
        <v>221</v>
      </c>
      <c r="F6" s="174"/>
      <c r="G6" s="153"/>
      <c r="H6" s="172"/>
      <c r="I6" s="173"/>
      <c r="N6"/>
    </row>
    <row r="7" spans="1:14" s="7" customFormat="1" ht="55.7" customHeight="1" x14ac:dyDescent="0.2">
      <c r="A7" s="123"/>
      <c r="B7" s="126"/>
      <c r="C7" s="126"/>
      <c r="D7" s="126"/>
      <c r="E7" s="33" t="s">
        <v>226</v>
      </c>
      <c r="F7" s="33" t="s">
        <v>227</v>
      </c>
      <c r="G7" s="33" t="s">
        <v>228</v>
      </c>
      <c r="H7" s="33" t="s">
        <v>21</v>
      </c>
      <c r="I7" s="33" t="s">
        <v>508</v>
      </c>
      <c r="N7"/>
    </row>
    <row r="8" spans="1:14" s="6" customFormat="1" ht="20.45" customHeight="1" x14ac:dyDescent="0.2">
      <c r="A8" s="69" t="s">
        <v>0</v>
      </c>
      <c r="B8" s="49">
        <v>131504.2034342289</v>
      </c>
      <c r="C8" s="50">
        <v>8412.8188356442006</v>
      </c>
      <c r="D8" s="49">
        <v>31433.989635586739</v>
      </c>
      <c r="E8" s="49">
        <v>28212.94641315937</v>
      </c>
      <c r="F8" s="49">
        <v>648.15261650085449</v>
      </c>
      <c r="G8" s="49">
        <v>2572.8906059265137</v>
      </c>
      <c r="H8" s="50">
        <v>32.347495533423086</v>
      </c>
      <c r="I8" s="56">
        <v>193.14260034443649</v>
      </c>
      <c r="N8"/>
    </row>
    <row r="9" spans="1:14" s="6" customFormat="1" ht="20.45" customHeight="1" x14ac:dyDescent="0.2">
      <c r="A9" s="29" t="s">
        <v>1</v>
      </c>
      <c r="B9" s="51">
        <v>3999284.9654890299</v>
      </c>
      <c r="C9" s="52">
        <v>2209997.0997300968</v>
      </c>
      <c r="D9" s="51">
        <v>3206385.7940353155</v>
      </c>
      <c r="E9" s="51">
        <v>2751337.7319923639</v>
      </c>
      <c r="F9" s="51">
        <v>151960.98419523239</v>
      </c>
      <c r="G9" s="51">
        <v>303087.07784771919</v>
      </c>
      <c r="H9" s="52">
        <v>110890.42726778398</v>
      </c>
      <c r="I9" s="57">
        <v>142178.09258015838</v>
      </c>
      <c r="N9"/>
    </row>
    <row r="10" spans="1:14" ht="20.45" customHeight="1" x14ac:dyDescent="0.2">
      <c r="A10" s="30" t="s">
        <v>2</v>
      </c>
      <c r="B10" s="53">
        <v>425217.50214135647</v>
      </c>
      <c r="C10" s="54">
        <v>25509.306759483829</v>
      </c>
      <c r="D10" s="53">
        <v>322166.65803027153</v>
      </c>
      <c r="E10" s="53">
        <v>292371.48120617867</v>
      </c>
      <c r="F10" s="53">
        <v>7412.7694807052612</v>
      </c>
      <c r="G10" s="53">
        <v>22382.407343387604</v>
      </c>
      <c r="H10" s="54">
        <v>826.92499259431509</v>
      </c>
      <c r="I10" s="58">
        <v>2942.9460180407468</v>
      </c>
    </row>
    <row r="11" spans="1:14" ht="20.45" customHeight="1" x14ac:dyDescent="0.2">
      <c r="A11" s="30" t="s">
        <v>3</v>
      </c>
      <c r="B11" s="53">
        <v>648449.97284579277</v>
      </c>
      <c r="C11" s="54">
        <v>96299.338873014785</v>
      </c>
      <c r="D11" s="53">
        <v>516080.50342655182</v>
      </c>
      <c r="E11" s="53">
        <v>456148.58008813858</v>
      </c>
      <c r="F11" s="53">
        <v>16674.53280043602</v>
      </c>
      <c r="G11" s="53">
        <v>43257.390537977219</v>
      </c>
      <c r="H11" s="54">
        <v>4454.7658866919437</v>
      </c>
      <c r="I11" s="58">
        <v>8806.6502217477209</v>
      </c>
    </row>
    <row r="12" spans="1:14" ht="20.45" customHeight="1" x14ac:dyDescent="0.2">
      <c r="A12" s="30" t="s">
        <v>4</v>
      </c>
      <c r="B12" s="53">
        <v>1430113.6145436764</v>
      </c>
      <c r="C12" s="54">
        <v>478190.54053741047</v>
      </c>
      <c r="D12" s="53">
        <v>1158327.2336325645</v>
      </c>
      <c r="E12" s="53">
        <v>1007196.0060241222</v>
      </c>
      <c r="F12" s="53">
        <v>46172.741192817688</v>
      </c>
      <c r="G12" s="53">
        <v>104958.48641562462</v>
      </c>
      <c r="H12" s="54">
        <v>22875.714763694927</v>
      </c>
      <c r="I12" s="58">
        <v>32148.671603543837</v>
      </c>
    </row>
    <row r="13" spans="1:14" ht="20.45" customHeight="1" x14ac:dyDescent="0.2">
      <c r="A13" s="30" t="s">
        <v>5</v>
      </c>
      <c r="B13" s="53">
        <v>945303.95051133633</v>
      </c>
      <c r="C13" s="54">
        <v>660203.10200041207</v>
      </c>
      <c r="D13" s="53">
        <v>767072.72461235523</v>
      </c>
      <c r="E13" s="53">
        <v>642623.39849889278</v>
      </c>
      <c r="F13" s="53">
        <v>43304.418705701828</v>
      </c>
      <c r="G13" s="53">
        <v>81144.90740776062</v>
      </c>
      <c r="H13" s="54">
        <v>32059.715999031832</v>
      </c>
      <c r="I13" s="58">
        <v>39838.863060705742</v>
      </c>
    </row>
    <row r="14" spans="1:14" ht="20.45" customHeight="1" x14ac:dyDescent="0.2">
      <c r="A14" s="30" t="s">
        <v>6</v>
      </c>
      <c r="B14" s="53">
        <v>427038.72920608521</v>
      </c>
      <c r="C14" s="54">
        <v>576346.75913770939</v>
      </c>
      <c r="D14" s="53">
        <v>344673.90854227543</v>
      </c>
      <c r="E14" s="53">
        <v>278756.94401729107</v>
      </c>
      <c r="F14" s="53">
        <v>27085.236360311508</v>
      </c>
      <c r="G14" s="53">
        <v>38831.728164672852</v>
      </c>
      <c r="H14" s="54">
        <v>28095.978817734624</v>
      </c>
      <c r="I14" s="58">
        <v>32410.477072624159</v>
      </c>
    </row>
    <row r="15" spans="1:14" ht="20.45" customHeight="1" x14ac:dyDescent="0.2">
      <c r="A15" s="30" t="s">
        <v>7</v>
      </c>
      <c r="B15" s="53">
        <v>81947.948482036591</v>
      </c>
      <c r="C15" s="54">
        <v>194230.78136854045</v>
      </c>
      <c r="D15" s="53">
        <v>65538.273897171021</v>
      </c>
      <c r="E15" s="53">
        <v>50286.189430952072</v>
      </c>
      <c r="F15" s="53">
        <v>7220.3186621665955</v>
      </c>
      <c r="G15" s="53">
        <v>8031.7658040523529</v>
      </c>
      <c r="H15" s="54">
        <v>10843.328925475435</v>
      </c>
      <c r="I15" s="58">
        <v>12317.18987333901</v>
      </c>
    </row>
    <row r="16" spans="1:14" ht="20.45" customHeight="1" x14ac:dyDescent="0.2">
      <c r="A16" s="30" t="s">
        <v>8</v>
      </c>
      <c r="B16" s="53">
        <v>25962.588759422302</v>
      </c>
      <c r="C16" s="54">
        <v>88368.61314559725</v>
      </c>
      <c r="D16" s="53">
        <v>20484.907055616379</v>
      </c>
      <c r="E16" s="53">
        <v>15461.019046545029</v>
      </c>
      <c r="F16" s="53">
        <v>2231.8668007850647</v>
      </c>
      <c r="G16" s="53">
        <v>2792.0212082862854</v>
      </c>
      <c r="H16" s="54">
        <v>5052.3909990835364</v>
      </c>
      <c r="I16" s="58">
        <v>5867.0769478004504</v>
      </c>
    </row>
    <row r="17" spans="1:12" ht="20.45" customHeight="1" x14ac:dyDescent="0.2">
      <c r="A17" s="30" t="s">
        <v>9</v>
      </c>
      <c r="B17" s="53">
        <v>7396.839360833168</v>
      </c>
      <c r="C17" s="54">
        <v>32799.663934678501</v>
      </c>
      <c r="D17" s="53">
        <v>5874.1461266279221</v>
      </c>
      <c r="E17" s="53">
        <v>4460.9115113019943</v>
      </c>
      <c r="F17" s="53">
        <v>770.81052255630493</v>
      </c>
      <c r="G17" s="53">
        <v>642.4240927696228</v>
      </c>
      <c r="H17" s="54">
        <v>1886.7316742978585</v>
      </c>
      <c r="I17" s="58">
        <v>2279.3643745867112</v>
      </c>
    </row>
    <row r="18" spans="1:12" ht="20.45" customHeight="1" x14ac:dyDescent="0.2">
      <c r="A18" s="30" t="s">
        <v>10</v>
      </c>
      <c r="B18" s="53">
        <v>6978.5904805660248</v>
      </c>
      <c r="C18" s="54">
        <v>44892.867958983035</v>
      </c>
      <c r="D18" s="53">
        <v>5515.8699557781219</v>
      </c>
      <c r="E18" s="53">
        <v>3599.7825469970703</v>
      </c>
      <c r="F18" s="53">
        <v>995.70406460762024</v>
      </c>
      <c r="G18" s="53">
        <v>920.3833441734314</v>
      </c>
      <c r="H18" s="54">
        <v>3551.885793734175</v>
      </c>
      <c r="I18" s="58">
        <v>4038.0549148549317</v>
      </c>
    </row>
    <row r="19" spans="1:12" ht="20.45" customHeight="1" x14ac:dyDescent="0.2">
      <c r="A19" s="30" t="s">
        <v>11</v>
      </c>
      <c r="B19" s="53">
        <v>875.2291579246521</v>
      </c>
      <c r="C19" s="54">
        <v>13156.126014231626</v>
      </c>
      <c r="D19" s="53">
        <v>651.56875610351563</v>
      </c>
      <c r="E19" s="53">
        <v>433.41962194442749</v>
      </c>
      <c r="F19" s="53">
        <v>92.585605144500732</v>
      </c>
      <c r="G19" s="53">
        <v>125.5635290145874</v>
      </c>
      <c r="H19" s="54">
        <v>1242.9894154429057</v>
      </c>
      <c r="I19" s="58">
        <v>1528.798492916625</v>
      </c>
    </row>
    <row r="20" spans="1:12" s="6" customFormat="1" ht="20.45" customHeight="1" x14ac:dyDescent="0.2">
      <c r="A20" s="31" t="s">
        <v>12</v>
      </c>
      <c r="B20" s="25">
        <f>B8+B9</f>
        <v>4130789.1689232588</v>
      </c>
      <c r="C20" s="26">
        <f>C8+C9</f>
        <v>2218409.9185657408</v>
      </c>
      <c r="D20" s="25">
        <f t="shared" ref="D20:I20" si="0">D8+D9</f>
        <v>3237819.7836709023</v>
      </c>
      <c r="E20" s="25">
        <f t="shared" si="0"/>
        <v>2779550.6784055233</v>
      </c>
      <c r="F20" s="25">
        <f t="shared" si="0"/>
        <v>152609.13681173325</v>
      </c>
      <c r="G20" s="25">
        <f t="shared" si="0"/>
        <v>305659.96845364571</v>
      </c>
      <c r="H20" s="26">
        <f t="shared" si="0"/>
        <v>110922.7747633174</v>
      </c>
      <c r="I20" s="59">
        <f t="shared" si="0"/>
        <v>142371.23518050282</v>
      </c>
      <c r="L20" s="75"/>
    </row>
  </sheetData>
  <mergeCells count="11">
    <mergeCell ref="D5:D7"/>
    <mergeCell ref="E5:G5"/>
    <mergeCell ref="H5:I6"/>
    <mergeCell ref="E6:G6"/>
    <mergeCell ref="A1:I1"/>
    <mergeCell ref="A3:I3"/>
    <mergeCell ref="A4:A7"/>
    <mergeCell ref="B4:C4"/>
    <mergeCell ref="D4:I4"/>
    <mergeCell ref="B5:B7"/>
    <mergeCell ref="C5:C7"/>
  </mergeCells>
  <conditionalFormatting sqref="B8:B20">
    <cfRule type="cellIs" dxfId="712" priority="10" stopIfTrue="1" operator="equal">
      <formula>0</formula>
    </cfRule>
  </conditionalFormatting>
  <conditionalFormatting sqref="C8:C20 H8:I20">
    <cfRule type="cellIs" dxfId="711" priority="9" stopIfTrue="1" operator="equal">
      <formula>0</formula>
    </cfRule>
  </conditionalFormatting>
  <conditionalFormatting sqref="D8:D20">
    <cfRule type="cellIs" dxfId="710" priority="4" stopIfTrue="1" operator="equal">
      <formula>0</formula>
    </cfRule>
  </conditionalFormatting>
  <conditionalFormatting sqref="E8:E20">
    <cfRule type="cellIs" dxfId="709" priority="3" stopIfTrue="1" operator="equal">
      <formula>0</formula>
    </cfRule>
  </conditionalFormatting>
  <conditionalFormatting sqref="F8:F20">
    <cfRule type="cellIs" dxfId="708" priority="2" stopIfTrue="1" operator="equal">
      <formula>0</formula>
    </cfRule>
  </conditionalFormatting>
  <conditionalFormatting sqref="G8:G20">
    <cfRule type="cellIs" dxfId="70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16F6-E25D-46B0-A9A1-3C56F5A64674}">
  <dimension ref="A1:P934"/>
  <sheetViews>
    <sheetView zoomScale="95" zoomScaleNormal="100" workbookViewId="0">
      <selection activeCell="C19" sqref="C19"/>
    </sheetView>
  </sheetViews>
  <sheetFormatPr defaultRowHeight="12" x14ac:dyDescent="0.2"/>
  <cols>
    <col min="1" max="1" width="24.42578125" style="9" customWidth="1"/>
    <col min="2" max="2" width="9.85546875" style="9" customWidth="1"/>
    <col min="3" max="3" width="10.42578125" style="12" customWidth="1"/>
    <col min="4" max="4" width="9.5703125" style="12" customWidth="1"/>
    <col min="5" max="5" width="9.140625" style="12" customWidth="1"/>
    <col min="6" max="6" width="9.85546875" style="12" customWidth="1"/>
    <col min="7" max="7" width="8" style="12" customWidth="1"/>
    <col min="8" max="8" width="8.42578125" style="12" customWidth="1"/>
    <col min="9" max="10" width="9.42578125" style="12" customWidth="1"/>
    <col min="11" max="11" width="8.85546875" style="12" customWidth="1"/>
    <col min="12" max="12" width="10.140625" style="12" customWidth="1"/>
    <col min="13" max="13" width="9.140625" style="12" customWidth="1"/>
    <col min="14" max="14" width="11.140625" style="12" customWidth="1"/>
    <col min="15" max="15" width="10" style="9" customWidth="1"/>
    <col min="16" max="16384" width="9.140625" style="9"/>
  </cols>
  <sheetData>
    <row r="1" spans="1:16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ht="12.75" x14ac:dyDescent="0.2">
      <c r="A2" s="27"/>
      <c r="B2" s="27"/>
      <c r="C2" s="76"/>
      <c r="D2" s="76"/>
      <c r="E2" s="76"/>
      <c r="F2" s="76"/>
      <c r="G2" s="43"/>
      <c r="H2" s="43"/>
      <c r="I2" s="43"/>
      <c r="J2" s="43"/>
      <c r="K2" s="43"/>
      <c r="L2" s="43"/>
      <c r="M2" s="43"/>
      <c r="N2" s="82"/>
      <c r="O2" s="41"/>
      <c r="P2" s="76" t="s">
        <v>32</v>
      </c>
    </row>
    <row r="3" spans="1:16" ht="16.5" customHeight="1" x14ac:dyDescent="0.2">
      <c r="A3" s="83" t="s">
        <v>280</v>
      </c>
      <c r="B3" s="8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1"/>
      <c r="P3" s="41"/>
    </row>
    <row r="4" spans="1:16" s="11" customFormat="1" ht="14.25" customHeight="1" x14ac:dyDescent="0.2">
      <c r="A4" s="123" t="s">
        <v>30</v>
      </c>
      <c r="B4" s="121" t="s">
        <v>578</v>
      </c>
      <c r="C4" s="121" t="s">
        <v>236</v>
      </c>
      <c r="D4" s="121"/>
      <c r="E4" s="121"/>
      <c r="F4" s="121"/>
      <c r="G4" s="121" t="s">
        <v>248</v>
      </c>
      <c r="H4" s="121"/>
      <c r="I4" s="121" t="s">
        <v>247</v>
      </c>
      <c r="J4" s="121"/>
      <c r="K4" s="121"/>
      <c r="L4" s="121"/>
      <c r="M4" s="121" t="s">
        <v>562</v>
      </c>
      <c r="N4" s="121"/>
      <c r="O4" s="121"/>
      <c r="P4" s="121"/>
    </row>
    <row r="5" spans="1:16" s="11" customFormat="1" ht="27.75" customHeight="1" x14ac:dyDescent="0.2">
      <c r="A5" s="123"/>
      <c r="B5" s="121"/>
      <c r="C5" s="121" t="s">
        <v>41</v>
      </c>
      <c r="D5" s="121" t="s">
        <v>244</v>
      </c>
      <c r="E5" s="121"/>
      <c r="F5" s="121"/>
      <c r="G5" s="121" t="s">
        <v>41</v>
      </c>
      <c r="H5" s="121" t="s">
        <v>244</v>
      </c>
      <c r="I5" s="121" t="s">
        <v>41</v>
      </c>
      <c r="J5" s="121" t="s">
        <v>244</v>
      </c>
      <c r="K5" s="121"/>
      <c r="L5" s="121"/>
      <c r="M5" s="121" t="s">
        <v>41</v>
      </c>
      <c r="N5" s="121" t="s">
        <v>244</v>
      </c>
      <c r="O5" s="121"/>
      <c r="P5" s="121"/>
    </row>
    <row r="6" spans="1:16" s="11" customFormat="1" ht="27.75" customHeight="1" x14ac:dyDescent="0.2">
      <c r="A6" s="123"/>
      <c r="B6" s="121"/>
      <c r="C6" s="121"/>
      <c r="D6" s="34" t="s">
        <v>47</v>
      </c>
      <c r="E6" s="34" t="s">
        <v>242</v>
      </c>
      <c r="F6" s="34" t="s">
        <v>243</v>
      </c>
      <c r="G6" s="121"/>
      <c r="H6" s="121"/>
      <c r="I6" s="121"/>
      <c r="J6" s="34" t="s">
        <v>47</v>
      </c>
      <c r="K6" s="34" t="s">
        <v>242</v>
      </c>
      <c r="L6" s="34" t="s">
        <v>243</v>
      </c>
      <c r="M6" s="121"/>
      <c r="N6" s="34" t="s">
        <v>47</v>
      </c>
      <c r="O6" s="34" t="s">
        <v>242</v>
      </c>
      <c r="P6" s="34" t="s">
        <v>243</v>
      </c>
    </row>
    <row r="7" spans="1:16" s="6" customFormat="1" ht="24" customHeight="1" x14ac:dyDescent="0.2">
      <c r="A7" s="69" t="s">
        <v>0</v>
      </c>
      <c r="B7" s="51">
        <v>108232.01466608047</v>
      </c>
      <c r="C7" s="49">
        <v>47226.966088294983</v>
      </c>
      <c r="D7" s="49">
        <v>104155.61269187905</v>
      </c>
      <c r="E7" s="49">
        <v>91483.977878570557</v>
      </c>
      <c r="F7" s="49">
        <v>12671.634813308707</v>
      </c>
      <c r="G7" s="49">
        <v>185.84007799625397</v>
      </c>
      <c r="H7" s="49">
        <v>912.71866750717152</v>
      </c>
      <c r="I7" s="49">
        <v>30926.311697125435</v>
      </c>
      <c r="J7" s="49">
        <v>66900.212681651275</v>
      </c>
      <c r="K7" s="49">
        <v>62456.647910952437</v>
      </c>
      <c r="L7" s="49">
        <v>4443.5647706985492</v>
      </c>
      <c r="M7" s="49">
        <v>64870.50300526619</v>
      </c>
      <c r="N7" s="49">
        <v>331487.88244998315</v>
      </c>
      <c r="O7" s="49">
        <v>316833.14432418294</v>
      </c>
      <c r="P7" s="49">
        <v>14654.73812580109</v>
      </c>
    </row>
    <row r="8" spans="1:16" s="6" customFormat="1" ht="24" customHeight="1" x14ac:dyDescent="0.2">
      <c r="A8" s="29" t="s">
        <v>1</v>
      </c>
      <c r="B8" s="51">
        <v>3296781.8910067081</v>
      </c>
      <c r="C8" s="51">
        <v>1661193.8991160393</v>
      </c>
      <c r="D8" s="51">
        <v>4455121.8048416553</v>
      </c>
      <c r="E8" s="51">
        <v>4160420.7699724943</v>
      </c>
      <c r="F8" s="51">
        <v>294701.03486919275</v>
      </c>
      <c r="G8" s="51">
        <v>9713.3619076013565</v>
      </c>
      <c r="H8" s="51">
        <v>52282.280938625394</v>
      </c>
      <c r="I8" s="51">
        <v>1386101.8869786263</v>
      </c>
      <c r="J8" s="51">
        <v>2856231.9103081324</v>
      </c>
      <c r="K8" s="51">
        <v>2705611.246375565</v>
      </c>
      <c r="L8" s="51">
        <v>150620.66393256193</v>
      </c>
      <c r="M8" s="51">
        <v>2386712.7053762674</v>
      </c>
      <c r="N8" s="51">
        <v>13910668.414969411</v>
      </c>
      <c r="O8" s="51">
        <v>13385245.286542263</v>
      </c>
      <c r="P8" s="51">
        <v>525423.12842714984</v>
      </c>
    </row>
    <row r="9" spans="1:16" customFormat="1" ht="20.45" customHeight="1" x14ac:dyDescent="0.2">
      <c r="A9" s="30" t="s">
        <v>2</v>
      </c>
      <c r="B9" s="53">
        <v>251486.80843317509</v>
      </c>
      <c r="C9" s="53">
        <v>90802.653904438019</v>
      </c>
      <c r="D9" s="53">
        <v>206290.91935241196</v>
      </c>
      <c r="E9" s="53">
        <v>192204.26938617256</v>
      </c>
      <c r="F9" s="53">
        <v>14086.649966239935</v>
      </c>
      <c r="G9" s="53">
        <v>1048.0689332485199</v>
      </c>
      <c r="H9" s="53">
        <v>5929.5818591117841</v>
      </c>
      <c r="I9" s="53">
        <v>57026.846022605896</v>
      </c>
      <c r="J9" s="53">
        <v>99603.055205822209</v>
      </c>
      <c r="K9" s="53">
        <v>94012.630771160169</v>
      </c>
      <c r="L9" s="53">
        <v>5590.4244346618671</v>
      </c>
      <c r="M9" s="53">
        <v>170278.54424965382</v>
      </c>
      <c r="N9" s="53">
        <v>750974.09216475568</v>
      </c>
      <c r="O9" s="53">
        <v>719448.93091320968</v>
      </c>
      <c r="P9" s="53">
        <v>31525.161251544963</v>
      </c>
    </row>
    <row r="10" spans="1:16" customFormat="1" ht="20.45" customHeight="1" x14ac:dyDescent="0.2">
      <c r="A10" s="30" t="s">
        <v>3</v>
      </c>
      <c r="B10" s="53">
        <v>498141.02038216591</v>
      </c>
      <c r="C10" s="53">
        <v>221719.93274748325</v>
      </c>
      <c r="D10" s="53">
        <v>555068.60997617408</v>
      </c>
      <c r="E10" s="53">
        <v>527096.37785804167</v>
      </c>
      <c r="F10" s="53">
        <v>27972.23211812977</v>
      </c>
      <c r="G10" s="53">
        <v>1778.2593103647232</v>
      </c>
      <c r="H10" s="53">
        <v>7488.6465972662054</v>
      </c>
      <c r="I10" s="53">
        <v>169782.20691490173</v>
      </c>
      <c r="J10" s="53">
        <v>303469.95859766018</v>
      </c>
      <c r="K10" s="53">
        <v>289121.70883440995</v>
      </c>
      <c r="L10" s="53">
        <v>14348.249763250358</v>
      </c>
      <c r="M10" s="53">
        <v>344102.13669657707</v>
      </c>
      <c r="N10" s="53">
        <v>1694461.7370427868</v>
      </c>
      <c r="O10" s="53">
        <v>1640084.5684291031</v>
      </c>
      <c r="P10" s="53">
        <v>54377.168613672155</v>
      </c>
    </row>
    <row r="11" spans="1:16" customFormat="1" ht="20.45" customHeight="1" x14ac:dyDescent="0.2">
      <c r="A11" s="30" t="s">
        <v>4</v>
      </c>
      <c r="B11" s="53">
        <v>1214401.1882648468</v>
      </c>
      <c r="C11" s="53">
        <v>603390.90137243271</v>
      </c>
      <c r="D11" s="53">
        <v>1574117.1702538677</v>
      </c>
      <c r="E11" s="53">
        <v>1487644.2897781073</v>
      </c>
      <c r="F11" s="53">
        <v>86472.880475759594</v>
      </c>
      <c r="G11" s="53">
        <v>2984.9923186302185</v>
      </c>
      <c r="H11" s="53">
        <v>13900.674387454979</v>
      </c>
      <c r="I11" s="53">
        <v>507334.76499688625</v>
      </c>
      <c r="J11" s="53">
        <v>971199.40141999209</v>
      </c>
      <c r="K11" s="53">
        <v>922458.05543219869</v>
      </c>
      <c r="L11" s="53">
        <v>48741.345987796791</v>
      </c>
      <c r="M11" s="53">
        <v>883033.00840687752</v>
      </c>
      <c r="N11" s="53">
        <v>4940299.7666313238</v>
      </c>
      <c r="O11" s="53">
        <v>4790231.1905224724</v>
      </c>
      <c r="P11" s="53">
        <v>150068.57610893276</v>
      </c>
    </row>
    <row r="12" spans="1:16" customFormat="1" ht="20.45" customHeight="1" x14ac:dyDescent="0.2">
      <c r="A12" s="30" t="s">
        <v>5</v>
      </c>
      <c r="B12" s="53">
        <v>840443.99531435966</v>
      </c>
      <c r="C12" s="53">
        <v>456869.19260299206</v>
      </c>
      <c r="D12" s="53">
        <v>1249035.4288666272</v>
      </c>
      <c r="E12" s="53">
        <v>1167755.8521089533</v>
      </c>
      <c r="F12" s="53">
        <v>81279.576757669318</v>
      </c>
      <c r="G12" s="53">
        <v>2324.6164819002151</v>
      </c>
      <c r="H12" s="53">
        <v>11631.368061304096</v>
      </c>
      <c r="I12" s="53">
        <v>399490.64347529411</v>
      </c>
      <c r="J12" s="53">
        <v>854735.93812011741</v>
      </c>
      <c r="K12" s="53">
        <v>807318.08660579124</v>
      </c>
      <c r="L12" s="53">
        <v>47417.851514339411</v>
      </c>
      <c r="M12" s="53">
        <v>626084.27842366695</v>
      </c>
      <c r="N12" s="53">
        <v>3924498.5271532335</v>
      </c>
      <c r="O12" s="53">
        <v>3777243.42383256</v>
      </c>
      <c r="P12" s="53">
        <v>147255.10332071775</v>
      </c>
    </row>
    <row r="13" spans="1:16" customFormat="1" ht="20.45" customHeight="1" x14ac:dyDescent="0.2">
      <c r="A13" s="30" t="s">
        <v>6</v>
      </c>
      <c r="B13" s="53">
        <v>384138.74517536163</v>
      </c>
      <c r="C13" s="53">
        <v>222813.1132042408</v>
      </c>
      <c r="D13" s="53">
        <v>648629.99811279587</v>
      </c>
      <c r="E13" s="53">
        <v>595355.81525289814</v>
      </c>
      <c r="F13" s="53">
        <v>53274.182859897643</v>
      </c>
      <c r="G13" s="53">
        <v>1345.1479705572128</v>
      </c>
      <c r="H13" s="53">
        <v>11152.698874115944</v>
      </c>
      <c r="I13" s="53">
        <v>195639.8402184248</v>
      </c>
      <c r="J13" s="53">
        <v>464900.82170724688</v>
      </c>
      <c r="K13" s="53">
        <v>442503.10911893507</v>
      </c>
      <c r="L13" s="53">
        <v>22397.712588310256</v>
      </c>
      <c r="M13" s="53">
        <v>286503.67927539349</v>
      </c>
      <c r="N13" s="53">
        <v>1992879.9580697934</v>
      </c>
      <c r="O13" s="53">
        <v>1899162.5925252398</v>
      </c>
      <c r="P13" s="53">
        <v>93717.365544557601</v>
      </c>
    </row>
    <row r="14" spans="1:16" customFormat="1" ht="20.45" customHeight="1" x14ac:dyDescent="0.2">
      <c r="A14" s="30" t="s">
        <v>7</v>
      </c>
      <c r="B14" s="53">
        <v>72870.536309361458</v>
      </c>
      <c r="C14" s="53">
        <v>44460.567603111267</v>
      </c>
      <c r="D14" s="53">
        <v>141753.2041906119</v>
      </c>
      <c r="E14" s="53">
        <v>125516.70933949992</v>
      </c>
      <c r="F14" s="53">
        <v>16236.494851112371</v>
      </c>
      <c r="G14" s="53">
        <v>115.94937515258789</v>
      </c>
      <c r="H14" s="53">
        <v>1556.5919013023379</v>
      </c>
      <c r="I14" s="53">
        <v>37376.109910368919</v>
      </c>
      <c r="J14" s="53">
        <v>101390.97923529126</v>
      </c>
      <c r="K14" s="53">
        <v>94258.905661225348</v>
      </c>
      <c r="L14" s="53">
        <v>7132.0735740661603</v>
      </c>
      <c r="M14" s="53">
        <v>52503.763278007507</v>
      </c>
      <c r="N14" s="53">
        <v>391559.55120253452</v>
      </c>
      <c r="O14" s="53">
        <v>365277.51094794262</v>
      </c>
      <c r="P14" s="53">
        <v>26282.040254592877</v>
      </c>
    </row>
    <row r="15" spans="1:16" customFormat="1" ht="20.45" customHeight="1" x14ac:dyDescent="0.2">
      <c r="A15" s="30" t="s">
        <v>8</v>
      </c>
      <c r="B15" s="53">
        <v>22475.352784395218</v>
      </c>
      <c r="C15" s="53">
        <v>13229.18252825737</v>
      </c>
      <c r="D15" s="53">
        <v>46321.990645885475</v>
      </c>
      <c r="E15" s="53">
        <v>41168.756665706613</v>
      </c>
      <c r="F15" s="53">
        <v>5153.2339801788339</v>
      </c>
      <c r="G15" s="53">
        <v>79.14276909828186</v>
      </c>
      <c r="H15" s="53">
        <v>451.99434113502497</v>
      </c>
      <c r="I15" s="53">
        <v>12452.792670845985</v>
      </c>
      <c r="J15" s="53">
        <v>36011.203150987589</v>
      </c>
      <c r="K15" s="53">
        <v>33124.3982784748</v>
      </c>
      <c r="L15" s="53">
        <v>2886.8048725128183</v>
      </c>
      <c r="M15" s="53">
        <v>15276.015751600266</v>
      </c>
      <c r="N15" s="53">
        <v>133455.5348081589</v>
      </c>
      <c r="O15" s="53">
        <v>121474.47010231012</v>
      </c>
      <c r="P15" s="53">
        <v>11981.064705848692</v>
      </c>
    </row>
    <row r="16" spans="1:16" customFormat="1" ht="20.45" customHeight="1" x14ac:dyDescent="0.2">
      <c r="A16" s="30" t="s">
        <v>9</v>
      </c>
      <c r="B16" s="53">
        <v>6431.1160048246384</v>
      </c>
      <c r="C16" s="53">
        <v>4108.236892580986</v>
      </c>
      <c r="D16" s="53">
        <v>18269.641281723965</v>
      </c>
      <c r="E16" s="53">
        <v>12335.418383240705</v>
      </c>
      <c r="F16" s="53">
        <v>5934.2228984832755</v>
      </c>
      <c r="G16" s="53">
        <v>13.599123954772949</v>
      </c>
      <c r="H16" s="53">
        <v>40.809547424316406</v>
      </c>
      <c r="I16" s="53">
        <v>3361.7443978786469</v>
      </c>
      <c r="J16" s="53">
        <v>10348.359105110167</v>
      </c>
      <c r="K16" s="53">
        <v>9548.7745170593316</v>
      </c>
      <c r="L16" s="53">
        <v>799.58458805084229</v>
      </c>
      <c r="M16" s="53">
        <v>4558.7927433252335</v>
      </c>
      <c r="N16" s="53">
        <v>40957.826629281051</v>
      </c>
      <c r="O16" s="53">
        <v>34352.55014669893</v>
      </c>
      <c r="P16" s="53">
        <v>6605.2764825820932</v>
      </c>
    </row>
    <row r="17" spans="1:16" customFormat="1" ht="20.45" customHeight="1" x14ac:dyDescent="0.2">
      <c r="A17" s="30" t="s">
        <v>10</v>
      </c>
      <c r="B17" s="53">
        <v>5672.4738467931747</v>
      </c>
      <c r="C17" s="53">
        <v>3324.8608466386795</v>
      </c>
      <c r="D17" s="53">
        <v>13406.00938260554</v>
      </c>
      <c r="E17" s="53">
        <v>9937.5242694616263</v>
      </c>
      <c r="F17" s="53">
        <v>3468.4851131439218</v>
      </c>
      <c r="G17" s="53">
        <v>23.585624694824219</v>
      </c>
      <c r="H17" s="53">
        <v>129.91536951065063</v>
      </c>
      <c r="I17" s="53">
        <v>3166.8293168544769</v>
      </c>
      <c r="J17" s="53">
        <v>12402.145461797716</v>
      </c>
      <c r="K17" s="53">
        <v>11618.756745100018</v>
      </c>
      <c r="L17" s="53">
        <v>783.38871669769298</v>
      </c>
      <c r="M17" s="53">
        <v>3889.122598528862</v>
      </c>
      <c r="N17" s="53">
        <v>37072.368094921098</v>
      </c>
      <c r="O17" s="53">
        <v>33715.921979427287</v>
      </c>
      <c r="P17" s="53">
        <v>3356.4461154937744</v>
      </c>
    </row>
    <row r="18" spans="1:16" customFormat="1" ht="20.45" customHeight="1" x14ac:dyDescent="0.2">
      <c r="A18" s="30" t="s">
        <v>11</v>
      </c>
      <c r="B18" s="53">
        <v>720.65449142456055</v>
      </c>
      <c r="C18" s="53">
        <v>475.25741386413574</v>
      </c>
      <c r="D18" s="53">
        <v>2228.8327789306641</v>
      </c>
      <c r="E18" s="53">
        <v>1405.7569303512573</v>
      </c>
      <c r="F18" s="53">
        <v>823.07584857940674</v>
      </c>
      <c r="G18" s="53">
        <v>0</v>
      </c>
      <c r="H18" s="53"/>
      <c r="I18" s="53">
        <v>470.10905456542969</v>
      </c>
      <c r="J18" s="53">
        <v>2170.0483040809636</v>
      </c>
      <c r="K18" s="53">
        <v>1646.8204112052913</v>
      </c>
      <c r="L18" s="53">
        <v>523.2278928756715</v>
      </c>
      <c r="M18" s="53">
        <v>483.36395263671875</v>
      </c>
      <c r="N18" s="53">
        <v>4509.0531725883475</v>
      </c>
      <c r="O18" s="53">
        <v>4254.127143383027</v>
      </c>
      <c r="P18" s="53">
        <v>254.92602920532224</v>
      </c>
    </row>
    <row r="19" spans="1:16" s="6" customFormat="1" ht="20.45" customHeight="1" x14ac:dyDescent="0.2">
      <c r="A19" s="31" t="s">
        <v>12</v>
      </c>
      <c r="B19" s="25">
        <f>B7+B8</f>
        <v>3405013.9056727886</v>
      </c>
      <c r="C19" s="25">
        <f>C7+C8</f>
        <v>1708420.8652043343</v>
      </c>
      <c r="D19" s="25">
        <f t="shared" ref="D19:P19" si="0">D7+D8</f>
        <v>4559277.4175335346</v>
      </c>
      <c r="E19" s="25">
        <f t="shared" si="0"/>
        <v>4251904.7478510644</v>
      </c>
      <c r="F19" s="25">
        <f t="shared" si="0"/>
        <v>307372.66968250147</v>
      </c>
      <c r="G19" s="25">
        <f t="shared" si="0"/>
        <v>9899.2019855976105</v>
      </c>
      <c r="H19" s="25">
        <f t="shared" si="0"/>
        <v>53194.999606132566</v>
      </c>
      <c r="I19" s="25">
        <f t="shared" si="0"/>
        <v>1417028.1986757517</v>
      </c>
      <c r="J19" s="25">
        <f t="shared" si="0"/>
        <v>2923132.1229897835</v>
      </c>
      <c r="K19" s="25">
        <f t="shared" si="0"/>
        <v>2768067.8942865175</v>
      </c>
      <c r="L19" s="25">
        <f t="shared" si="0"/>
        <v>155064.22870326048</v>
      </c>
      <c r="M19" s="25">
        <f t="shared" si="0"/>
        <v>2451583.2083815336</v>
      </c>
      <c r="N19" s="25">
        <f t="shared" si="0"/>
        <v>14242156.297419393</v>
      </c>
      <c r="O19" s="25">
        <f t="shared" si="0"/>
        <v>13702078.430866446</v>
      </c>
      <c r="P19" s="25">
        <f t="shared" si="0"/>
        <v>540077.86655295093</v>
      </c>
    </row>
    <row r="20" spans="1:16" customFormat="1" ht="12" customHeight="1" x14ac:dyDescent="0.2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6" customFormat="1" ht="12.75" x14ac:dyDescent="0.2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6" customFormat="1" ht="12.75" x14ac:dyDescent="0.2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6" customFormat="1" ht="12.75" x14ac:dyDescent="0.2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6" customFormat="1" ht="12.75" x14ac:dyDescent="0.2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6" customFormat="1" ht="12.75" x14ac:dyDescent="0.2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6" customFormat="1" ht="12.75" x14ac:dyDescent="0.2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6" customFormat="1" ht="12.75" x14ac:dyDescent="0.2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6" customFormat="1" ht="12.75" x14ac:dyDescent="0.2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6" customFormat="1" ht="12.75" x14ac:dyDescent="0.2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6" customFormat="1" ht="12.75" x14ac:dyDescent="0.2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6" customFormat="1" ht="12.75" x14ac:dyDescent="0.2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6" customFormat="1" ht="12.75" x14ac:dyDescent="0.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3:14" customFormat="1" ht="12.75" x14ac:dyDescent="0.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3:14" customFormat="1" ht="12.75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3:14" customFormat="1" ht="12.75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3:14" customFormat="1" ht="12.75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 customFormat="1" ht="12.75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3:14" customFormat="1" ht="12.75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3:14" customFormat="1" ht="12.75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3:14" customFormat="1" ht="12.75" x14ac:dyDescent="0.2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3:14" customFormat="1" ht="12.75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3:14" customFormat="1" ht="12.75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3:14" customFormat="1" ht="12.75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3:14" customFormat="1" ht="12.75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3:14" customFormat="1" ht="12.75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3:14" customFormat="1" ht="12.75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3:14" customFormat="1" ht="12.75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3:14" customFormat="1" ht="12.75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3:14" customFormat="1" ht="12.75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3:14" customFormat="1" ht="12.75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3:14" customFormat="1" ht="12.75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3:14" customFormat="1" ht="12.75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3:14" customFormat="1" ht="12.75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3:14" customFormat="1" ht="12.75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3:14" customFormat="1" ht="12.75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3:14" customFormat="1" ht="12.75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3:14" customFormat="1" ht="12.75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3:14" customFormat="1" ht="12.75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3:14" customFormat="1" ht="12.75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3:14" customFormat="1" ht="12.75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3:14" customFormat="1" ht="12.75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3:14" customFormat="1" ht="12.75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3:14" customFormat="1" ht="12.75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3:14" customFormat="1" ht="12.75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3:14" customFormat="1" ht="12.75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3:14" customFormat="1" ht="12.75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3:14" customFormat="1" ht="12.75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3:14" customFormat="1" ht="12.75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3:14" customFormat="1" ht="12.75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3:14" customFormat="1" ht="12.75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3:14" customFormat="1" ht="12.75" x14ac:dyDescent="0.2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3:14" customFormat="1" ht="12.75" x14ac:dyDescent="0.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3:14" customFormat="1" ht="12.75" x14ac:dyDescent="0.2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3:14" customFormat="1" ht="12.75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3:14" customFormat="1" ht="12.75" x14ac:dyDescent="0.2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3:14" customFormat="1" ht="12.75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3:14" customFormat="1" ht="12.75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3:14" customFormat="1" ht="12.75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3:14" customFormat="1" ht="12.75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3:14" customFormat="1" ht="12.75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3:14" customFormat="1" ht="12.75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3:14" customFormat="1" ht="12.75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3:14" customFormat="1" ht="12.75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3:14" customFormat="1" ht="12.75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3:14" customFormat="1" ht="12.75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3:14" customFormat="1" ht="12.75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3:14" customFormat="1" ht="12.75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3:14" customFormat="1" ht="12.75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3:14" customFormat="1" ht="12.75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3:14" customFormat="1" ht="12.75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3:14" customFormat="1" ht="12.75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3:14" customFormat="1" ht="12.75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3:14" customFormat="1" ht="12.75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3:14" customFormat="1" ht="12.75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3:14" customFormat="1" ht="12.75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3:14" customFormat="1" ht="12.75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3:14" customFormat="1" ht="12.75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3:14" customFormat="1" ht="12.75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3:14" customFormat="1" ht="12.75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3:14" customFormat="1" ht="12.75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3:14" customFormat="1" ht="12.75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3:14" customFormat="1" ht="12.75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3:14" customFormat="1" ht="12.75" x14ac:dyDescent="0.2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3:14" customFormat="1" ht="12.75" x14ac:dyDescent="0.2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3:14" customFormat="1" ht="12.75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3:14" customFormat="1" ht="12.75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3:14" customFormat="1" ht="12.75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3:14" customFormat="1" ht="12.75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3:14" customFormat="1" ht="12.75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3:14" customFormat="1" ht="12.75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3:14" customFormat="1" ht="12.75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3:14" customFormat="1" ht="12.75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3:14" customFormat="1" ht="12.75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3:14" customFormat="1" ht="12.75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3:14" customFormat="1" ht="12.75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3:14" customFormat="1" ht="12.75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3:14" customFormat="1" ht="12.75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3:14" customFormat="1" ht="12.75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3:14" customFormat="1" ht="12.75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3:14" customFormat="1" ht="12.75" x14ac:dyDescent="0.2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3:14" customFormat="1" ht="12.75" x14ac:dyDescent="0.2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3:14" customFormat="1" ht="12.75" x14ac:dyDescent="0.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3:14" customFormat="1" ht="12.75" x14ac:dyDescent="0.2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3:14" customFormat="1" ht="12.75" x14ac:dyDescent="0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3:14" customFormat="1" ht="12.75" x14ac:dyDescent="0.2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3:14" customFormat="1" ht="12.75" x14ac:dyDescent="0.2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3:14" customFormat="1" ht="12.75" x14ac:dyDescent="0.2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3:14" customFormat="1" ht="12.75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3:14" customFormat="1" ht="12.75" x14ac:dyDescent="0.2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3:14" customFormat="1" ht="12.75" x14ac:dyDescent="0.2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3:14" customFormat="1" ht="12.75" x14ac:dyDescent="0.2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3:14" customFormat="1" ht="12.75" x14ac:dyDescent="0.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3:14" customFormat="1" ht="12.75" x14ac:dyDescent="0.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3:14" customFormat="1" ht="12.75" x14ac:dyDescent="0.2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3:14" customFormat="1" ht="12.75" x14ac:dyDescent="0.2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3:14" customFormat="1" ht="12.75" x14ac:dyDescent="0.2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3:14" customFormat="1" ht="12.75" x14ac:dyDescent="0.2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3:14" customFormat="1" ht="12.75" x14ac:dyDescent="0.2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3:14" customFormat="1" ht="12.75" x14ac:dyDescent="0.2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3:14" customFormat="1" ht="12.75" x14ac:dyDescent="0.2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3:14" customFormat="1" ht="12.75" x14ac:dyDescent="0.2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3:14" customFormat="1" ht="12.75" x14ac:dyDescent="0.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3:14" customFormat="1" ht="12.75" x14ac:dyDescent="0.2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3:14" customFormat="1" ht="12.75" x14ac:dyDescent="0.2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3:14" customFormat="1" ht="12.75" x14ac:dyDescent="0.2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3:14" customFormat="1" ht="12.75" x14ac:dyDescent="0.2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3:14" customFormat="1" ht="12.75" x14ac:dyDescent="0.2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3:14" customFormat="1" ht="12.75" x14ac:dyDescent="0.2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3:14" customFormat="1" ht="12.75" x14ac:dyDescent="0.2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3:14" customFormat="1" ht="12.75" x14ac:dyDescent="0.2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3:14" customFormat="1" ht="12.75" x14ac:dyDescent="0.2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3:14" customFormat="1" ht="12.75" x14ac:dyDescent="0.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3:14" customFormat="1" ht="12.75" x14ac:dyDescent="0.2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3:14" customFormat="1" ht="12.75" x14ac:dyDescent="0.2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3:14" customFormat="1" ht="12.75" x14ac:dyDescent="0.2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3:14" customFormat="1" ht="12.75" x14ac:dyDescent="0.2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3:14" customFormat="1" ht="12.75" x14ac:dyDescent="0.2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3:14" customFormat="1" ht="12.75" x14ac:dyDescent="0.2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3:14" customFormat="1" ht="12.75" x14ac:dyDescent="0.2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3:14" customFormat="1" ht="12.75" x14ac:dyDescent="0.2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3:14" customFormat="1" ht="12.75" x14ac:dyDescent="0.2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3:14" customFormat="1" ht="12.75" x14ac:dyDescent="0.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3:14" customFormat="1" ht="12.75" x14ac:dyDescent="0.2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3:14" customFormat="1" ht="12.75" x14ac:dyDescent="0.2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3:14" customFormat="1" ht="12.75" x14ac:dyDescent="0.2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3:14" customFormat="1" ht="12.75" x14ac:dyDescent="0.2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3:14" customFormat="1" ht="12.75" x14ac:dyDescent="0.2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3:14" customFormat="1" ht="12.75" x14ac:dyDescent="0.2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3:14" customFormat="1" ht="12.75" x14ac:dyDescent="0.2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3:14" customFormat="1" ht="12.75" x14ac:dyDescent="0.2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3:14" customFormat="1" ht="12.75" x14ac:dyDescent="0.2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3:14" customFormat="1" ht="12.75" x14ac:dyDescent="0.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3:14" customFormat="1" ht="12.75" x14ac:dyDescent="0.2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3:14" customFormat="1" ht="12.75" x14ac:dyDescent="0.2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3:14" customFormat="1" ht="12.75" x14ac:dyDescent="0.2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3:14" customFormat="1" ht="12.75" x14ac:dyDescent="0.2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3:14" customFormat="1" ht="12.75" x14ac:dyDescent="0.2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3:14" customFormat="1" ht="12.75" x14ac:dyDescent="0.2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3:14" customFormat="1" ht="12.75" x14ac:dyDescent="0.2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3:14" customFormat="1" ht="12.75" x14ac:dyDescent="0.2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3:14" customFormat="1" ht="12.75" x14ac:dyDescent="0.2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3:14" customFormat="1" ht="12.75" x14ac:dyDescent="0.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3:14" customFormat="1" ht="12.75" x14ac:dyDescent="0.2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3:14" customFormat="1" ht="12.75" x14ac:dyDescent="0.2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3:14" customFormat="1" ht="12.75" x14ac:dyDescent="0.2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3:14" customFormat="1" ht="12.75" x14ac:dyDescent="0.2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3:14" customFormat="1" ht="12.75" x14ac:dyDescent="0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3:14" customFormat="1" ht="12.75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3:14" customFormat="1" ht="12.75" x14ac:dyDescent="0.2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3:14" customFormat="1" ht="12.75" x14ac:dyDescent="0.2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3:14" customFormat="1" ht="12.75" x14ac:dyDescent="0.2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3:14" customFormat="1" ht="12.75" x14ac:dyDescent="0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3:14" customFormat="1" ht="12.75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3:14" customFormat="1" ht="12.75" x14ac:dyDescent="0.2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3:14" customFormat="1" ht="12.75" x14ac:dyDescent="0.2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3:14" customFormat="1" ht="12.75" x14ac:dyDescent="0.2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3:14" customFormat="1" ht="12.75" x14ac:dyDescent="0.2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3:14" customFormat="1" ht="12.75" x14ac:dyDescent="0.2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3:14" customFormat="1" ht="12.75" x14ac:dyDescent="0.2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3:14" customFormat="1" ht="12.75" x14ac:dyDescent="0.2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3:14" customFormat="1" ht="12.75" x14ac:dyDescent="0.2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3:14" customFormat="1" ht="12.75" x14ac:dyDescent="0.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3:14" customFormat="1" ht="12.75" x14ac:dyDescent="0.2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3:14" customFormat="1" ht="12.75" x14ac:dyDescent="0.2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3:14" customFormat="1" ht="12.75" x14ac:dyDescent="0.2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3:14" customFormat="1" ht="12.75" x14ac:dyDescent="0.2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3:14" customFormat="1" ht="12.75" x14ac:dyDescent="0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3:14" customFormat="1" ht="12.75" x14ac:dyDescent="0.2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3:14" customFormat="1" ht="12.75" x14ac:dyDescent="0.2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3:14" customFormat="1" ht="12.75" x14ac:dyDescent="0.2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3:14" customFormat="1" ht="12.75" x14ac:dyDescent="0.2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3:14" customFormat="1" ht="12.75" x14ac:dyDescent="0.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3:14" customFormat="1" ht="12.75" x14ac:dyDescent="0.2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3:14" customFormat="1" ht="12.75" x14ac:dyDescent="0.2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3:14" customFormat="1" ht="12.75" x14ac:dyDescent="0.2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3:14" customFormat="1" ht="12.75" x14ac:dyDescent="0.2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3:14" customFormat="1" ht="12.75" x14ac:dyDescent="0.2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3:14" customFormat="1" ht="12.75" x14ac:dyDescent="0.2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3:14" customFormat="1" ht="12.75" x14ac:dyDescent="0.2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3:14" customFormat="1" ht="12.75" x14ac:dyDescent="0.2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3:14" customFormat="1" ht="12.75" x14ac:dyDescent="0.2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3:14" customFormat="1" ht="12.75" x14ac:dyDescent="0.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3:14" customFormat="1" ht="12.75" x14ac:dyDescent="0.2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3:14" customFormat="1" ht="12.75" x14ac:dyDescent="0.2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3:14" customFormat="1" ht="12.75" x14ac:dyDescent="0.2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3:14" customFormat="1" ht="12.75" x14ac:dyDescent="0.2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3:14" customFormat="1" ht="12.75" x14ac:dyDescent="0.2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3:14" customFormat="1" ht="12.75" x14ac:dyDescent="0.2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3:14" customFormat="1" ht="12.75" x14ac:dyDescent="0.2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3:14" customFormat="1" ht="12.75" x14ac:dyDescent="0.2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3:14" customFormat="1" ht="12.75" x14ac:dyDescent="0.2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3:14" customFormat="1" ht="12.75" x14ac:dyDescent="0.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3:14" customFormat="1" ht="12.75" x14ac:dyDescent="0.2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3:14" customFormat="1" ht="12.75" x14ac:dyDescent="0.2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3:14" customFormat="1" ht="12.75" x14ac:dyDescent="0.2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3:14" customFormat="1" ht="12.75" x14ac:dyDescent="0.2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3:14" customFormat="1" ht="12.75" x14ac:dyDescent="0.2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3:14" customFormat="1" ht="12.75" x14ac:dyDescent="0.2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3:14" customFormat="1" ht="12.75" x14ac:dyDescent="0.2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3:14" customFormat="1" ht="12.75" x14ac:dyDescent="0.2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3:14" customFormat="1" ht="12.75" x14ac:dyDescent="0.2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3:14" customFormat="1" ht="12.75" x14ac:dyDescent="0.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3:14" customFormat="1" ht="12.75" x14ac:dyDescent="0.2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3:14" customFormat="1" ht="12.75" x14ac:dyDescent="0.2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3:14" customFormat="1" ht="12.75" x14ac:dyDescent="0.2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3:14" customFormat="1" ht="12.75" x14ac:dyDescent="0.2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3:14" customFormat="1" ht="12.75" x14ac:dyDescent="0.2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3:14" customFormat="1" ht="12.75" x14ac:dyDescent="0.2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3:14" customFormat="1" ht="12.75" x14ac:dyDescent="0.2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3:14" customFormat="1" ht="12.75" x14ac:dyDescent="0.2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3:14" customFormat="1" ht="12.75" x14ac:dyDescent="0.2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3:14" customFormat="1" ht="12.75" x14ac:dyDescent="0.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3:14" customFormat="1" ht="12.75" x14ac:dyDescent="0.2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3:14" customFormat="1" ht="12.75" x14ac:dyDescent="0.2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3:14" customFormat="1" ht="12.75" x14ac:dyDescent="0.2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3:14" customFormat="1" ht="12.75" x14ac:dyDescent="0.2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3:14" customFormat="1" ht="12.75" x14ac:dyDescent="0.2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3:14" customFormat="1" ht="12.75" x14ac:dyDescent="0.2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3:14" customFormat="1" ht="12.75" x14ac:dyDescent="0.2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3:14" customFormat="1" ht="12.75" x14ac:dyDescent="0.2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3:14" customFormat="1" ht="12.75" x14ac:dyDescent="0.2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3:14" customFormat="1" ht="12.75" x14ac:dyDescent="0.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3:14" customFormat="1" ht="12.75" x14ac:dyDescent="0.2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3:14" customFormat="1" ht="12.75" x14ac:dyDescent="0.2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3:14" customFormat="1" ht="12.75" x14ac:dyDescent="0.2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3:14" customFormat="1" ht="12.75" x14ac:dyDescent="0.2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3:14" customFormat="1" ht="12.75" x14ac:dyDescent="0.2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3:14" customFormat="1" ht="12.75" x14ac:dyDescent="0.2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3:14" customFormat="1" ht="12.75" x14ac:dyDescent="0.2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3:14" customFormat="1" ht="12.75" x14ac:dyDescent="0.2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3:14" customFormat="1" ht="12.75" x14ac:dyDescent="0.2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3:14" customFormat="1" ht="12.75" x14ac:dyDescent="0.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3:14" customFormat="1" ht="12.75" x14ac:dyDescent="0.2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3:14" customFormat="1" ht="12.75" x14ac:dyDescent="0.2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3:14" customFormat="1" ht="12.75" x14ac:dyDescent="0.2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3:14" customFormat="1" ht="12.75" x14ac:dyDescent="0.2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3:14" customFormat="1" ht="12.75" x14ac:dyDescent="0.2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3:14" customFormat="1" ht="12.75" x14ac:dyDescent="0.2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3:14" customFormat="1" ht="12.75" x14ac:dyDescent="0.2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3:14" customFormat="1" ht="12.75" x14ac:dyDescent="0.2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3:14" customFormat="1" ht="12.75" x14ac:dyDescent="0.2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3:14" customFormat="1" ht="12.75" x14ac:dyDescent="0.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3:14" customFormat="1" ht="12.75" x14ac:dyDescent="0.2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3:14" customFormat="1" ht="12.75" x14ac:dyDescent="0.2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3:14" customFormat="1" ht="12.75" x14ac:dyDescent="0.2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3:14" customFormat="1" ht="12.75" x14ac:dyDescent="0.2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3:14" customFormat="1" ht="12.75" x14ac:dyDescent="0.2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3:14" customFormat="1" ht="12.75" x14ac:dyDescent="0.2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3:14" customFormat="1" ht="12.75" x14ac:dyDescent="0.2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3:14" customFormat="1" ht="12.75" x14ac:dyDescent="0.2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3:14" customFormat="1" ht="12.75" x14ac:dyDescent="0.2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3:14" customFormat="1" ht="12.75" x14ac:dyDescent="0.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3:14" customFormat="1" ht="12.75" x14ac:dyDescent="0.2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3:14" customFormat="1" ht="12.75" x14ac:dyDescent="0.2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3:14" customFormat="1" ht="12.75" x14ac:dyDescent="0.2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3:14" customFormat="1" ht="12.75" x14ac:dyDescent="0.2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3:14" customFormat="1" ht="12.75" x14ac:dyDescent="0.2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3:14" customFormat="1" ht="12.75" x14ac:dyDescent="0.2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3:14" customFormat="1" ht="12.75" x14ac:dyDescent="0.2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3:14" customFormat="1" ht="12.75" x14ac:dyDescent="0.2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3:14" customFormat="1" ht="12.75" x14ac:dyDescent="0.2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3:14" customFormat="1" ht="12.75" x14ac:dyDescent="0.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3:14" customFormat="1" ht="12.75" x14ac:dyDescent="0.2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3:14" customFormat="1" ht="12.75" x14ac:dyDescent="0.2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3:14" customFormat="1" ht="12.75" x14ac:dyDescent="0.2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3:14" customFormat="1" ht="12.75" x14ac:dyDescent="0.2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3:14" customFormat="1" ht="12.75" x14ac:dyDescent="0.2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3:14" customFormat="1" ht="12.75" x14ac:dyDescent="0.2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3:14" customFormat="1" ht="12.75" x14ac:dyDescent="0.2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3:14" customFormat="1" ht="12.75" x14ac:dyDescent="0.2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3:14" customFormat="1" ht="12.75" x14ac:dyDescent="0.2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3:14" customFormat="1" ht="12.75" x14ac:dyDescent="0.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3:14" customFormat="1" ht="12.75" x14ac:dyDescent="0.2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3:14" customFormat="1" ht="12.75" x14ac:dyDescent="0.2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3:14" customFormat="1" ht="12.75" x14ac:dyDescent="0.2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3:14" customFormat="1" ht="12.75" x14ac:dyDescent="0.2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3:14" customFormat="1" ht="12.75" x14ac:dyDescent="0.2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3:14" customFormat="1" ht="12.75" x14ac:dyDescent="0.2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3:14" customFormat="1" ht="12.75" x14ac:dyDescent="0.2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3:14" customFormat="1" ht="12.75" x14ac:dyDescent="0.2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3:14" customFormat="1" ht="12.75" x14ac:dyDescent="0.2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3:14" customFormat="1" ht="12.75" x14ac:dyDescent="0.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3:14" customFormat="1" ht="12.75" x14ac:dyDescent="0.2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3:14" customFormat="1" ht="12.75" x14ac:dyDescent="0.2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3:14" customFormat="1" ht="12.75" x14ac:dyDescent="0.2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3:14" customFormat="1" ht="12.75" x14ac:dyDescent="0.2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3:14" customFormat="1" ht="12.75" x14ac:dyDescent="0.2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3:14" customFormat="1" ht="12.75" x14ac:dyDescent="0.2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3:14" customFormat="1" ht="12.75" x14ac:dyDescent="0.2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3:14" customFormat="1" ht="12.75" x14ac:dyDescent="0.2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3:14" customFormat="1" ht="12.75" x14ac:dyDescent="0.2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3:14" customFormat="1" ht="12.75" x14ac:dyDescent="0.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3:14" customFormat="1" ht="12.75" x14ac:dyDescent="0.2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3:14" customFormat="1" ht="12.75" x14ac:dyDescent="0.2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3:14" customFormat="1" ht="12.75" x14ac:dyDescent="0.2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3:14" customFormat="1" ht="12.75" x14ac:dyDescent="0.2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3:14" customFormat="1" ht="12.75" x14ac:dyDescent="0.2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3:14" customFormat="1" ht="12.75" x14ac:dyDescent="0.2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3:14" customFormat="1" ht="12.75" x14ac:dyDescent="0.2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3:14" customFormat="1" ht="12.75" x14ac:dyDescent="0.2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3:14" customFormat="1" ht="12.75" x14ac:dyDescent="0.2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3:14" customFormat="1" ht="12.75" x14ac:dyDescent="0.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3:14" customFormat="1" ht="12.75" x14ac:dyDescent="0.2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3:14" customFormat="1" ht="12.75" x14ac:dyDescent="0.2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3:14" customFormat="1" ht="12.75" x14ac:dyDescent="0.2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3:14" customFormat="1" ht="12.75" x14ac:dyDescent="0.2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3:14" customFormat="1" ht="12.75" x14ac:dyDescent="0.2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3:14" customFormat="1" ht="12.75" x14ac:dyDescent="0.2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3:14" customFormat="1" ht="12.75" x14ac:dyDescent="0.2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3:14" customFormat="1" ht="12.75" x14ac:dyDescent="0.2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3:14" customFormat="1" ht="12.75" x14ac:dyDescent="0.2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3:14" customFormat="1" ht="12.75" x14ac:dyDescent="0.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3:14" customFormat="1" ht="12.75" x14ac:dyDescent="0.2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3:14" customFormat="1" ht="12.75" x14ac:dyDescent="0.2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3:14" customFormat="1" ht="12.75" x14ac:dyDescent="0.2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3:14" customFormat="1" ht="12.75" x14ac:dyDescent="0.2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3:14" customFormat="1" ht="12.75" x14ac:dyDescent="0.2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3:14" customFormat="1" ht="12.75" x14ac:dyDescent="0.2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3:14" customFormat="1" ht="12.75" x14ac:dyDescent="0.2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3:14" customFormat="1" ht="12.75" x14ac:dyDescent="0.2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3:14" customFormat="1" ht="12.75" x14ac:dyDescent="0.2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3:14" customFormat="1" ht="12.75" x14ac:dyDescent="0.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3:14" customFormat="1" ht="12.75" x14ac:dyDescent="0.2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3:14" customFormat="1" ht="12.75" x14ac:dyDescent="0.2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3:14" customFormat="1" ht="12.75" x14ac:dyDescent="0.2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3:14" customFormat="1" ht="12.75" x14ac:dyDescent="0.2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3:14" customFormat="1" ht="12.75" x14ac:dyDescent="0.2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3:14" customFormat="1" ht="12.75" x14ac:dyDescent="0.2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3:14" customFormat="1" ht="12.75" x14ac:dyDescent="0.2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3:14" customFormat="1" ht="12.75" x14ac:dyDescent="0.2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3:14" customFormat="1" ht="12.75" x14ac:dyDescent="0.2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3:14" customFormat="1" ht="12.75" x14ac:dyDescent="0.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3:14" customFormat="1" ht="12.75" x14ac:dyDescent="0.2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3:14" customFormat="1" ht="12.75" x14ac:dyDescent="0.2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3:14" customFormat="1" ht="12.75" x14ac:dyDescent="0.2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3:14" customFormat="1" ht="12.75" x14ac:dyDescent="0.2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3:14" customFormat="1" ht="12.75" x14ac:dyDescent="0.2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3:14" customFormat="1" ht="12.75" x14ac:dyDescent="0.2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3:14" customFormat="1" ht="12.75" x14ac:dyDescent="0.2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3:14" customFormat="1" ht="12.75" x14ac:dyDescent="0.2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3:14" customFormat="1" ht="12.75" x14ac:dyDescent="0.2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3:14" customFormat="1" ht="12.75" x14ac:dyDescent="0.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3:14" customFormat="1" ht="12.75" x14ac:dyDescent="0.2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3:14" customFormat="1" ht="12.75" x14ac:dyDescent="0.2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3:14" customFormat="1" ht="12.75" x14ac:dyDescent="0.2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3:14" customFormat="1" ht="12.75" x14ac:dyDescent="0.2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3:14" customFormat="1" ht="12.75" x14ac:dyDescent="0.2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3:14" customFormat="1" ht="12.75" x14ac:dyDescent="0.2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3:14" customFormat="1" ht="12.75" x14ac:dyDescent="0.2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3:14" customFormat="1" ht="12.75" x14ac:dyDescent="0.2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3:14" customFormat="1" ht="12.75" x14ac:dyDescent="0.2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3:14" customFormat="1" ht="12.75" x14ac:dyDescent="0.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3:14" customFormat="1" ht="12.75" x14ac:dyDescent="0.2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3:14" customFormat="1" ht="12.75" x14ac:dyDescent="0.2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3:14" customFormat="1" ht="12.75" x14ac:dyDescent="0.2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3:14" customFormat="1" ht="12.75" x14ac:dyDescent="0.2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3:14" customFormat="1" ht="12.75" x14ac:dyDescent="0.2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3:14" customFormat="1" ht="12.75" x14ac:dyDescent="0.2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3:14" customFormat="1" ht="12.75" x14ac:dyDescent="0.2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3:14" customFormat="1" ht="12.75" x14ac:dyDescent="0.2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3:14" customFormat="1" ht="12.75" x14ac:dyDescent="0.2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3:14" customFormat="1" ht="12.75" x14ac:dyDescent="0.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3:14" customFormat="1" ht="12.75" x14ac:dyDescent="0.2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3:14" customFormat="1" ht="12.75" x14ac:dyDescent="0.2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3:14" customFormat="1" ht="12.75" x14ac:dyDescent="0.2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3:14" customFormat="1" ht="12.75" x14ac:dyDescent="0.2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3:14" customFormat="1" ht="12.75" x14ac:dyDescent="0.2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3:14" customFormat="1" ht="12.75" x14ac:dyDescent="0.2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3:14" customFormat="1" ht="12.75" x14ac:dyDescent="0.2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3:14" customFormat="1" ht="12.75" x14ac:dyDescent="0.2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3:14" customFormat="1" ht="12.75" x14ac:dyDescent="0.2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3:14" customFormat="1" ht="12.75" x14ac:dyDescent="0.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3:14" customFormat="1" ht="12.75" x14ac:dyDescent="0.2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3:14" customFormat="1" ht="12.75" x14ac:dyDescent="0.2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3:14" customFormat="1" ht="12.75" x14ac:dyDescent="0.2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3:14" customFormat="1" ht="12.75" x14ac:dyDescent="0.2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3:14" customFormat="1" ht="12.75" x14ac:dyDescent="0.2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3:14" customFormat="1" ht="12.75" x14ac:dyDescent="0.2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3:14" customFormat="1" ht="12.75" x14ac:dyDescent="0.2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3:14" customFormat="1" ht="12.75" x14ac:dyDescent="0.2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3:14" customFormat="1" ht="12.75" x14ac:dyDescent="0.2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3:14" customFormat="1" ht="12.75" x14ac:dyDescent="0.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3:14" customFormat="1" ht="12.75" x14ac:dyDescent="0.2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3:14" customFormat="1" ht="12.75" x14ac:dyDescent="0.2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3:14" customFormat="1" ht="12.75" x14ac:dyDescent="0.2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3:14" customFormat="1" ht="12.75" x14ac:dyDescent="0.2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3:14" customFormat="1" ht="12.75" x14ac:dyDescent="0.2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3:14" customFormat="1" ht="12.75" x14ac:dyDescent="0.2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3:14" customFormat="1" ht="12.75" x14ac:dyDescent="0.2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3:14" customFormat="1" ht="12.75" x14ac:dyDescent="0.2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3:14" customFormat="1" ht="12.75" x14ac:dyDescent="0.2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3:14" customFormat="1" ht="12.75" x14ac:dyDescent="0.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3:14" customFormat="1" ht="12.75" x14ac:dyDescent="0.2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3:14" customFormat="1" ht="12.75" x14ac:dyDescent="0.2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3:14" customFormat="1" ht="12.75" x14ac:dyDescent="0.2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3:14" customFormat="1" ht="12.75" x14ac:dyDescent="0.2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3:14" customFormat="1" ht="12.75" x14ac:dyDescent="0.2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3:14" customFormat="1" ht="12.75" x14ac:dyDescent="0.2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3:14" customFormat="1" ht="12.75" x14ac:dyDescent="0.2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3:14" customFormat="1" ht="12.75" x14ac:dyDescent="0.2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3:14" customFormat="1" ht="12.75" x14ac:dyDescent="0.2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3:14" customFormat="1" ht="12.75" x14ac:dyDescent="0.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3:14" customFormat="1" ht="12.75" x14ac:dyDescent="0.2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3:14" customFormat="1" ht="12.75" x14ac:dyDescent="0.2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3:14" customFormat="1" ht="12.75" x14ac:dyDescent="0.2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3:14" customFormat="1" ht="12.75" x14ac:dyDescent="0.2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3:14" customFormat="1" ht="12.75" x14ac:dyDescent="0.2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3:14" customFormat="1" ht="12.75" x14ac:dyDescent="0.2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3:14" customFormat="1" ht="12.75" x14ac:dyDescent="0.2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3:14" customFormat="1" ht="12.75" x14ac:dyDescent="0.2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3:14" customFormat="1" ht="12.75" x14ac:dyDescent="0.2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3:14" customFormat="1" ht="12.75" x14ac:dyDescent="0.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3:14" customFormat="1" ht="12.75" x14ac:dyDescent="0.2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3:14" customFormat="1" ht="12.75" x14ac:dyDescent="0.2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3:14" customFormat="1" ht="12.75" x14ac:dyDescent="0.2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3:14" customFormat="1" ht="12.75" x14ac:dyDescent="0.2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3:14" customFormat="1" ht="12.75" x14ac:dyDescent="0.2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3:14" customFormat="1" ht="12.75" x14ac:dyDescent="0.2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3:14" customFormat="1" ht="12.75" x14ac:dyDescent="0.2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3:14" customFormat="1" ht="12.75" x14ac:dyDescent="0.2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3:14" customFormat="1" ht="12.75" x14ac:dyDescent="0.2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3:14" customFormat="1" ht="12.75" x14ac:dyDescent="0.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3:14" customFormat="1" ht="12.75" x14ac:dyDescent="0.2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3:14" customFormat="1" ht="12.75" x14ac:dyDescent="0.2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3:14" customFormat="1" ht="12.75" x14ac:dyDescent="0.2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3:14" customFormat="1" ht="12.75" x14ac:dyDescent="0.2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3:14" customFormat="1" ht="12.75" x14ac:dyDescent="0.2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3:14" customFormat="1" ht="12.75" x14ac:dyDescent="0.2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3:14" customFormat="1" ht="12.75" x14ac:dyDescent="0.2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3:14" customFormat="1" ht="12.75" x14ac:dyDescent="0.2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3:14" customFormat="1" ht="12.75" x14ac:dyDescent="0.2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3:14" customFormat="1" ht="12.75" x14ac:dyDescent="0.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3:14" customFormat="1" ht="12.75" x14ac:dyDescent="0.2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3:14" customFormat="1" ht="12.75" x14ac:dyDescent="0.2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3:14" customFormat="1" ht="12.75" x14ac:dyDescent="0.2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3:14" customFormat="1" ht="12.75" x14ac:dyDescent="0.2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3:14" customFormat="1" ht="12.75" x14ac:dyDescent="0.2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3:14" customFormat="1" ht="12.75" x14ac:dyDescent="0.2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3:14" customFormat="1" ht="12.75" x14ac:dyDescent="0.2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3:14" customFormat="1" ht="12.75" x14ac:dyDescent="0.2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3:14" customFormat="1" ht="12.75" x14ac:dyDescent="0.2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3:14" customFormat="1" ht="12.75" x14ac:dyDescent="0.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3:14" customFormat="1" ht="12.75" x14ac:dyDescent="0.2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3:14" customFormat="1" ht="12.75" x14ac:dyDescent="0.2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3:14" customFormat="1" ht="12.75" x14ac:dyDescent="0.2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3:14" customFormat="1" ht="12.75" x14ac:dyDescent="0.2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3:14" customFormat="1" ht="12.75" x14ac:dyDescent="0.2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3:14" customFormat="1" ht="12.75" x14ac:dyDescent="0.2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3:14" customFormat="1" ht="12.75" x14ac:dyDescent="0.2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3:14" customFormat="1" ht="12.75" x14ac:dyDescent="0.2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3:14" customFormat="1" ht="12.75" x14ac:dyDescent="0.2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3:14" customFormat="1" ht="12.75" x14ac:dyDescent="0.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3:14" customFormat="1" ht="12.75" x14ac:dyDescent="0.2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3:14" customFormat="1" ht="12.75" x14ac:dyDescent="0.2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3:14" customFormat="1" ht="12.75" x14ac:dyDescent="0.2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3:14" customFormat="1" ht="12.75" x14ac:dyDescent="0.2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3:14" customFormat="1" ht="12.75" x14ac:dyDescent="0.2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3:14" customFormat="1" ht="12.75" x14ac:dyDescent="0.2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3:14" customFormat="1" ht="12.75" x14ac:dyDescent="0.2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3:14" customFormat="1" ht="12.75" x14ac:dyDescent="0.2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3:14" customFormat="1" ht="12.75" x14ac:dyDescent="0.2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3:14" customFormat="1" ht="12.75" x14ac:dyDescent="0.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3:14" customFormat="1" ht="12.75" x14ac:dyDescent="0.2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3:14" customFormat="1" ht="12.75" x14ac:dyDescent="0.2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3:14" customFormat="1" ht="12.75" x14ac:dyDescent="0.2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3:14" customFormat="1" ht="12.75" x14ac:dyDescent="0.2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3:14" customFormat="1" ht="12.75" x14ac:dyDescent="0.2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3:14" customFormat="1" ht="12.75" x14ac:dyDescent="0.2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3:14" customFormat="1" ht="12.75" x14ac:dyDescent="0.2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3:14" customFormat="1" ht="12.75" x14ac:dyDescent="0.2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3:14" customFormat="1" ht="12.75" x14ac:dyDescent="0.2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3:14" customFormat="1" ht="12.75" x14ac:dyDescent="0.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3:14" customFormat="1" ht="12.75" x14ac:dyDescent="0.2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3:14" customFormat="1" ht="12.75" x14ac:dyDescent="0.2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3:14" customFormat="1" ht="12.75" x14ac:dyDescent="0.2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3:14" customFormat="1" ht="12.75" x14ac:dyDescent="0.2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3:14" customFormat="1" ht="12.75" x14ac:dyDescent="0.2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3:14" customFormat="1" ht="12.75" x14ac:dyDescent="0.2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3:14" customFormat="1" ht="12.75" x14ac:dyDescent="0.2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3:14" customFormat="1" ht="12.75" x14ac:dyDescent="0.2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3:14" customFormat="1" ht="12.75" x14ac:dyDescent="0.2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3:14" customFormat="1" ht="12.75" x14ac:dyDescent="0.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3:14" customFormat="1" ht="12.75" x14ac:dyDescent="0.2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3:14" customFormat="1" ht="12.75" x14ac:dyDescent="0.2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3:14" customFormat="1" ht="12.75" x14ac:dyDescent="0.2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3:14" customFormat="1" ht="12.75" x14ac:dyDescent="0.2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3:14" customFormat="1" ht="12.75" x14ac:dyDescent="0.2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3:14" customFormat="1" ht="12.75" x14ac:dyDescent="0.2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3:14" customFormat="1" ht="12.75" x14ac:dyDescent="0.2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3:14" customFormat="1" ht="12.75" x14ac:dyDescent="0.2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3:14" customFormat="1" ht="12.75" x14ac:dyDescent="0.2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3:14" customFormat="1" ht="12.75" x14ac:dyDescent="0.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3:14" customFormat="1" ht="12.75" x14ac:dyDescent="0.2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3:14" customFormat="1" ht="12.75" x14ac:dyDescent="0.2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3:14" customFormat="1" ht="12.75" x14ac:dyDescent="0.2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3:14" customFormat="1" ht="12.75" x14ac:dyDescent="0.2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3:14" customFormat="1" ht="12.75" x14ac:dyDescent="0.2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3:14" customFormat="1" ht="12.75" x14ac:dyDescent="0.2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3:14" customFormat="1" ht="12.75" x14ac:dyDescent="0.2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3:14" customFormat="1" ht="12.75" x14ac:dyDescent="0.2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3:14" customFormat="1" ht="12.75" x14ac:dyDescent="0.2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3:14" customFormat="1" ht="12.75" x14ac:dyDescent="0.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3:14" customFormat="1" ht="12.75" x14ac:dyDescent="0.2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3:14" customFormat="1" ht="12.75" x14ac:dyDescent="0.2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3:14" customFormat="1" ht="12.75" x14ac:dyDescent="0.2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3:14" customFormat="1" ht="12.75" x14ac:dyDescent="0.2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3:14" customFormat="1" ht="12.75" x14ac:dyDescent="0.2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3:14" customFormat="1" ht="12.75" x14ac:dyDescent="0.2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3:14" customFormat="1" ht="12.75" x14ac:dyDescent="0.2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3:14" customFormat="1" ht="12.75" x14ac:dyDescent="0.2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3:14" customFormat="1" ht="12.75" x14ac:dyDescent="0.2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3:14" customFormat="1" ht="12.75" x14ac:dyDescent="0.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3:14" customFormat="1" ht="12.75" x14ac:dyDescent="0.2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3:14" customFormat="1" ht="12.75" x14ac:dyDescent="0.2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3:14" customFormat="1" ht="12.75" x14ac:dyDescent="0.2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3:14" customFormat="1" ht="12.75" x14ac:dyDescent="0.2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3:14" customFormat="1" ht="12.75" x14ac:dyDescent="0.2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3:14" customFormat="1" ht="12.75" x14ac:dyDescent="0.2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3:14" customFormat="1" ht="12.75" x14ac:dyDescent="0.2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3:14" customFormat="1" ht="12.75" x14ac:dyDescent="0.2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3:14" customFormat="1" ht="12.75" x14ac:dyDescent="0.2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3:14" customFormat="1" ht="12.75" x14ac:dyDescent="0.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3:14" customFormat="1" ht="12.75" x14ac:dyDescent="0.2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3:14" customFormat="1" ht="12.75" x14ac:dyDescent="0.2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3:14" customFormat="1" ht="12.75" x14ac:dyDescent="0.2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3:14" customFormat="1" ht="12.75" x14ac:dyDescent="0.2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3:14" customFormat="1" ht="12.75" x14ac:dyDescent="0.2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3:14" customFormat="1" ht="12.75" x14ac:dyDescent="0.2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3:14" customFormat="1" ht="12.75" x14ac:dyDescent="0.2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3:14" customFormat="1" ht="12.75" x14ac:dyDescent="0.2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3:14" customFormat="1" ht="12.75" x14ac:dyDescent="0.2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3:14" customFormat="1" ht="12.75" x14ac:dyDescent="0.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3:14" customFormat="1" ht="12.75" x14ac:dyDescent="0.2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3:14" customFormat="1" ht="12.75" x14ac:dyDescent="0.2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3:14" customFormat="1" ht="12.75" x14ac:dyDescent="0.2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3:14" customFormat="1" ht="12.75" x14ac:dyDescent="0.2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3:14" customFormat="1" ht="12.75" x14ac:dyDescent="0.2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3:14" customFormat="1" ht="12.75" x14ac:dyDescent="0.2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3:14" customFormat="1" ht="12.75" x14ac:dyDescent="0.2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3:14" customFormat="1" ht="12.75" x14ac:dyDescent="0.2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3:14" customFormat="1" ht="12.75" x14ac:dyDescent="0.2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3:14" customFormat="1" ht="12.75" x14ac:dyDescent="0.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3:14" customFormat="1" ht="12.75" x14ac:dyDescent="0.2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3:14" customFormat="1" ht="12.75" x14ac:dyDescent="0.2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3:14" customFormat="1" ht="12.75" x14ac:dyDescent="0.2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3:14" customFormat="1" ht="12.75" x14ac:dyDescent="0.2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3:14" customFormat="1" ht="12.75" x14ac:dyDescent="0.2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3:14" customFormat="1" ht="12.75" x14ac:dyDescent="0.2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3:14" customFormat="1" ht="12.75" x14ac:dyDescent="0.2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3:14" customFormat="1" ht="12.75" x14ac:dyDescent="0.2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3:14" customFormat="1" ht="12.75" x14ac:dyDescent="0.2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3:14" customFormat="1" ht="12.75" x14ac:dyDescent="0.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3:14" customFormat="1" ht="12.75" x14ac:dyDescent="0.2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3:14" customFormat="1" ht="12.75" x14ac:dyDescent="0.2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3:14" customFormat="1" ht="12.75" x14ac:dyDescent="0.2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3:14" customFormat="1" ht="12.75" x14ac:dyDescent="0.2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3:14" customFormat="1" ht="12.75" x14ac:dyDescent="0.2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3:14" customFormat="1" ht="12.75" x14ac:dyDescent="0.2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3:14" customFormat="1" ht="12.75" x14ac:dyDescent="0.2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3:14" customFormat="1" ht="12.75" x14ac:dyDescent="0.2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3:14" customFormat="1" ht="12.75" x14ac:dyDescent="0.2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3:14" customFormat="1" ht="12.75" x14ac:dyDescent="0.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3:14" customFormat="1" ht="12.75" x14ac:dyDescent="0.2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3:14" customFormat="1" ht="12.75" x14ac:dyDescent="0.2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3:14" customFormat="1" ht="12.75" x14ac:dyDescent="0.2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3:14" customFormat="1" ht="12.75" x14ac:dyDescent="0.2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3:14" customFormat="1" ht="12.75" x14ac:dyDescent="0.2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3:14" customFormat="1" ht="12.75" x14ac:dyDescent="0.2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3:14" customFormat="1" ht="12.75" x14ac:dyDescent="0.2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3:14" customFormat="1" ht="12.75" x14ac:dyDescent="0.2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3:14" customFormat="1" ht="12.75" x14ac:dyDescent="0.2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3:14" customFormat="1" ht="12.75" x14ac:dyDescent="0.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3:14" customFormat="1" ht="12.75" x14ac:dyDescent="0.2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3:14" customFormat="1" ht="12.75" x14ac:dyDescent="0.2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3:14" customFormat="1" ht="12.75" x14ac:dyDescent="0.2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3:14" customFormat="1" ht="12.75" x14ac:dyDescent="0.2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3:14" customFormat="1" ht="12.75" x14ac:dyDescent="0.2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3:14" customFormat="1" ht="12.75" x14ac:dyDescent="0.2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3:14" customFormat="1" ht="12.75" x14ac:dyDescent="0.2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3:14" customFormat="1" ht="12.75" x14ac:dyDescent="0.2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3:14" customFormat="1" ht="12.75" x14ac:dyDescent="0.2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3:14" customFormat="1" ht="12.75" x14ac:dyDescent="0.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3:14" customFormat="1" ht="12.75" x14ac:dyDescent="0.2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3:14" customFormat="1" ht="12.75" x14ac:dyDescent="0.2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3:14" customFormat="1" ht="12.75" x14ac:dyDescent="0.2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3:14" customFormat="1" ht="12.75" x14ac:dyDescent="0.2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3:14" customFormat="1" ht="12.75" x14ac:dyDescent="0.2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3:14" customFormat="1" ht="12.75" x14ac:dyDescent="0.2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3:14" customFormat="1" ht="12.75" x14ac:dyDescent="0.2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3:14" customFormat="1" ht="12.75" x14ac:dyDescent="0.2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3:14" customFormat="1" ht="12.75" x14ac:dyDescent="0.2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3:14" customFormat="1" ht="12.75" x14ac:dyDescent="0.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3:14" customFormat="1" ht="12.75" x14ac:dyDescent="0.2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3:14" customFormat="1" ht="12.75" x14ac:dyDescent="0.2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3:14" customFormat="1" ht="12.75" x14ac:dyDescent="0.2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3:14" customFormat="1" ht="12.75" x14ac:dyDescent="0.2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3:14" customFormat="1" ht="12.75" x14ac:dyDescent="0.2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3:14" customFormat="1" ht="12.75" x14ac:dyDescent="0.2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3:14" customFormat="1" ht="12.75" x14ac:dyDescent="0.2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3:14" customFormat="1" ht="12.75" x14ac:dyDescent="0.2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3:14" customFormat="1" ht="12.75" x14ac:dyDescent="0.2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3:14" customFormat="1" ht="12.75" x14ac:dyDescent="0.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3:14" customFormat="1" ht="12.75" x14ac:dyDescent="0.2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3:14" customFormat="1" ht="12.75" x14ac:dyDescent="0.2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3:14" customFormat="1" ht="12.75" x14ac:dyDescent="0.2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3:14" customFormat="1" ht="12.75" x14ac:dyDescent="0.2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3:14" customFormat="1" ht="12.75" x14ac:dyDescent="0.2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3:14" customFormat="1" ht="12.75" x14ac:dyDescent="0.2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3:14" customFormat="1" ht="12.75" x14ac:dyDescent="0.2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3:14" customFormat="1" ht="12.75" x14ac:dyDescent="0.2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3:14" customFormat="1" ht="12.75" x14ac:dyDescent="0.2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3:14" customFormat="1" ht="12.75" x14ac:dyDescent="0.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3:14" customFormat="1" ht="12.75" x14ac:dyDescent="0.2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3:14" customFormat="1" ht="12.75" x14ac:dyDescent="0.2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3:14" customFormat="1" ht="12.75" x14ac:dyDescent="0.2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3:14" customFormat="1" ht="12.75" x14ac:dyDescent="0.2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3:14" customFormat="1" ht="12.75" x14ac:dyDescent="0.2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3:14" customFormat="1" ht="12.75" x14ac:dyDescent="0.2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3:14" customFormat="1" ht="12.75" x14ac:dyDescent="0.2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3:14" customFormat="1" ht="12.75" x14ac:dyDescent="0.2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3:14" customFormat="1" ht="12.75" x14ac:dyDescent="0.2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3:14" customFormat="1" ht="12.75" x14ac:dyDescent="0.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3:14" customFormat="1" ht="12.75" x14ac:dyDescent="0.2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3:14" customFormat="1" ht="12.75" x14ac:dyDescent="0.2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3:14" customFormat="1" ht="12.75" x14ac:dyDescent="0.2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3:14" customFormat="1" ht="12.75" x14ac:dyDescent="0.2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3:14" customFormat="1" ht="12.75" x14ac:dyDescent="0.2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3:14" customFormat="1" ht="12.75" x14ac:dyDescent="0.2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3:14" customFormat="1" ht="12.75" x14ac:dyDescent="0.2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3:14" customFormat="1" ht="12.75" x14ac:dyDescent="0.2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3:14" customFormat="1" ht="12.75" x14ac:dyDescent="0.2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3:14" customFormat="1" ht="12.75" x14ac:dyDescent="0.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3:14" customFormat="1" ht="12.75" x14ac:dyDescent="0.2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3:14" customFormat="1" ht="12.75" x14ac:dyDescent="0.2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3:14" customFormat="1" ht="12.75" x14ac:dyDescent="0.2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3:14" customFormat="1" ht="12.75" x14ac:dyDescent="0.2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3:14" customFormat="1" ht="12.75" x14ac:dyDescent="0.2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3:14" customFormat="1" ht="12.75" x14ac:dyDescent="0.2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3:14" customFormat="1" ht="12.75" x14ac:dyDescent="0.2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3:14" customFormat="1" ht="12.75" x14ac:dyDescent="0.2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3:14" customFormat="1" ht="12.75" x14ac:dyDescent="0.2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3:14" customFormat="1" ht="12.75" x14ac:dyDescent="0.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3:14" customFormat="1" ht="12.75" x14ac:dyDescent="0.2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3:14" customFormat="1" ht="12.75" x14ac:dyDescent="0.2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3:14" customFormat="1" ht="12.75" x14ac:dyDescent="0.2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3:14" customFormat="1" ht="12.75" x14ac:dyDescent="0.2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3:14" customFormat="1" ht="12.75" x14ac:dyDescent="0.2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3:14" customFormat="1" ht="12.75" x14ac:dyDescent="0.2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3:14" customFormat="1" ht="12.75" x14ac:dyDescent="0.2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3:14" customFormat="1" ht="12.75" x14ac:dyDescent="0.2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3:14" customFormat="1" ht="12.75" x14ac:dyDescent="0.2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3:14" customFormat="1" ht="12.75" x14ac:dyDescent="0.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3:14" customFormat="1" ht="12.75" x14ac:dyDescent="0.2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3:14" customFormat="1" ht="12.75" x14ac:dyDescent="0.2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3:14" customFormat="1" ht="12.75" x14ac:dyDescent="0.2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3:14" customFormat="1" ht="12.75" x14ac:dyDescent="0.2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3:14" customFormat="1" ht="12.75" x14ac:dyDescent="0.2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3:14" customFormat="1" ht="12.75" x14ac:dyDescent="0.2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3:14" customFormat="1" ht="12.75" x14ac:dyDescent="0.2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3:14" customFormat="1" ht="12.75" x14ac:dyDescent="0.2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3:14" customFormat="1" ht="12.75" x14ac:dyDescent="0.2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3:14" customFormat="1" ht="12.75" x14ac:dyDescent="0.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3:14" customFormat="1" ht="12.75" x14ac:dyDescent="0.2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3:14" customFormat="1" ht="12.75" x14ac:dyDescent="0.2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3:14" customFormat="1" ht="12.75" x14ac:dyDescent="0.2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3:14" customFormat="1" ht="12.75" x14ac:dyDescent="0.2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3:14" customFormat="1" ht="12.75" x14ac:dyDescent="0.2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3:14" customFormat="1" ht="12.75" x14ac:dyDescent="0.2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3:14" customFormat="1" ht="12.75" x14ac:dyDescent="0.2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3:14" customFormat="1" ht="12.75" x14ac:dyDescent="0.2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3:14" customFormat="1" ht="12.75" x14ac:dyDescent="0.2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3:14" customFormat="1" ht="12.75" x14ac:dyDescent="0.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3:14" customFormat="1" ht="12.75" x14ac:dyDescent="0.2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3:14" customFormat="1" ht="12.75" x14ac:dyDescent="0.2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3:14" customFormat="1" ht="12.75" x14ac:dyDescent="0.2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3:14" customFormat="1" ht="12.75" x14ac:dyDescent="0.2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3:14" customFormat="1" ht="12.75" x14ac:dyDescent="0.2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3:14" customFormat="1" ht="12.75" x14ac:dyDescent="0.2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3:14" customFormat="1" ht="12.75" x14ac:dyDescent="0.2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3:14" customFormat="1" ht="12.75" x14ac:dyDescent="0.2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3:14" customFormat="1" ht="12.75" x14ac:dyDescent="0.2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3:14" customFormat="1" ht="12.75" x14ac:dyDescent="0.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3:14" customFormat="1" ht="12.75" x14ac:dyDescent="0.2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3:14" customFormat="1" ht="12.75" x14ac:dyDescent="0.2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3:14" customFormat="1" ht="12.75" x14ac:dyDescent="0.2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3:14" customFormat="1" ht="12.75" x14ac:dyDescent="0.2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3:14" customFormat="1" ht="12.75" x14ac:dyDescent="0.2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3:14" customFormat="1" ht="12.75" x14ac:dyDescent="0.2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3:14" customFormat="1" ht="12.75" x14ac:dyDescent="0.2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3:14" customFormat="1" ht="12.75" x14ac:dyDescent="0.2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3:14" customFormat="1" ht="12.75" x14ac:dyDescent="0.2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3:14" customFormat="1" ht="12.75" x14ac:dyDescent="0.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3:14" customFormat="1" ht="12.75" x14ac:dyDescent="0.2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3:14" customFormat="1" ht="12.75" x14ac:dyDescent="0.2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3:14" customFormat="1" ht="12.75" x14ac:dyDescent="0.2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3:14" customFormat="1" ht="12.75" x14ac:dyDescent="0.2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3:14" customFormat="1" ht="12.75" x14ac:dyDescent="0.2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3:14" customFormat="1" ht="12.75" x14ac:dyDescent="0.2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3:14" customFormat="1" ht="12.75" x14ac:dyDescent="0.2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3:14" customFormat="1" ht="12.75" x14ac:dyDescent="0.2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3:14" customFormat="1" ht="12.75" x14ac:dyDescent="0.2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3:14" customFormat="1" ht="12.75" x14ac:dyDescent="0.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3:14" customFormat="1" ht="12.75" x14ac:dyDescent="0.2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3:14" customFormat="1" ht="12.75" x14ac:dyDescent="0.2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3:14" customFormat="1" ht="12.75" x14ac:dyDescent="0.2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3:14" customFormat="1" ht="12.75" x14ac:dyDescent="0.2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3:14" customFormat="1" ht="12.75" x14ac:dyDescent="0.2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3:14" customFormat="1" ht="12.75" x14ac:dyDescent="0.2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3:14" customFormat="1" ht="12.75" x14ac:dyDescent="0.2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3:14" customFormat="1" ht="12.75" x14ac:dyDescent="0.2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3:14" customFormat="1" ht="12.75" x14ac:dyDescent="0.2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3:14" customFormat="1" ht="12.75" x14ac:dyDescent="0.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3:14" customFormat="1" ht="12.75" x14ac:dyDescent="0.2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3:14" customFormat="1" ht="12.75" x14ac:dyDescent="0.2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3:14" customFormat="1" ht="12.75" x14ac:dyDescent="0.2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3:14" customFormat="1" ht="12.75" x14ac:dyDescent="0.2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3:14" customFormat="1" ht="12.75" x14ac:dyDescent="0.2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3:14" customFormat="1" ht="12.75" x14ac:dyDescent="0.2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3:14" customFormat="1" ht="12.75" x14ac:dyDescent="0.2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3:14" customFormat="1" ht="12.75" x14ac:dyDescent="0.2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3:14" customFormat="1" ht="12.75" x14ac:dyDescent="0.2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3:14" customFormat="1" ht="12.75" x14ac:dyDescent="0.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3:14" customFormat="1" ht="12.75" x14ac:dyDescent="0.2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3:14" customFormat="1" ht="12.75" x14ac:dyDescent="0.2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3:14" customFormat="1" ht="12.75" x14ac:dyDescent="0.2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3:14" customFormat="1" ht="12.75" x14ac:dyDescent="0.2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3:14" customFormat="1" ht="12.75" x14ac:dyDescent="0.2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3:14" customFormat="1" ht="12.75" x14ac:dyDescent="0.2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3:14" customFormat="1" ht="12.75" x14ac:dyDescent="0.2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3:14" customFormat="1" ht="12.75" x14ac:dyDescent="0.2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3:14" customFormat="1" ht="12.75" x14ac:dyDescent="0.2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3:14" customFormat="1" ht="12.75" x14ac:dyDescent="0.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3:14" customFormat="1" ht="12.75" x14ac:dyDescent="0.2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3:14" customFormat="1" ht="12.75" x14ac:dyDescent="0.2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3:14" customFormat="1" ht="12.75" x14ac:dyDescent="0.2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3:14" customFormat="1" ht="12.75" x14ac:dyDescent="0.2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3:14" customFormat="1" ht="12.75" x14ac:dyDescent="0.2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3:14" customFormat="1" ht="12.75" x14ac:dyDescent="0.2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3:14" customFormat="1" ht="12.75" x14ac:dyDescent="0.2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3:14" customFormat="1" ht="12.75" x14ac:dyDescent="0.2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3:14" customFormat="1" ht="12.75" x14ac:dyDescent="0.2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3:14" customFormat="1" ht="12.75" x14ac:dyDescent="0.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3:14" customFormat="1" ht="12.75" x14ac:dyDescent="0.2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3:14" customFormat="1" ht="12.75" x14ac:dyDescent="0.2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3:14" customFormat="1" ht="12.75" x14ac:dyDescent="0.2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3:14" customFormat="1" ht="12.75" x14ac:dyDescent="0.2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3:14" customFormat="1" ht="12.75" x14ac:dyDescent="0.2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3:14" customFormat="1" ht="12.75" x14ac:dyDescent="0.2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3:14" customFormat="1" ht="12.75" x14ac:dyDescent="0.2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3:14" customFormat="1" ht="12.75" x14ac:dyDescent="0.2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3:14" customFormat="1" ht="12.75" x14ac:dyDescent="0.2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3:14" customFormat="1" ht="12.75" x14ac:dyDescent="0.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3:14" customFormat="1" ht="12.75" x14ac:dyDescent="0.2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3:14" customFormat="1" ht="12.75" x14ac:dyDescent="0.2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3:14" customFormat="1" ht="12.75" x14ac:dyDescent="0.2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3:14" customFormat="1" ht="12.75" x14ac:dyDescent="0.2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3:14" customFormat="1" ht="12.75" x14ac:dyDescent="0.2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3:14" customFormat="1" ht="12.75" x14ac:dyDescent="0.2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3:14" customFormat="1" ht="12.75" x14ac:dyDescent="0.2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3:14" customFormat="1" ht="12.75" x14ac:dyDescent="0.2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3:14" customFormat="1" ht="12.75" x14ac:dyDescent="0.2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3:14" customFormat="1" ht="12.75" x14ac:dyDescent="0.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3:14" customFormat="1" ht="12.75" x14ac:dyDescent="0.2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3:14" customFormat="1" ht="12.75" x14ac:dyDescent="0.2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3:14" customFormat="1" ht="12.75" x14ac:dyDescent="0.2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3:14" customFormat="1" ht="12.75" x14ac:dyDescent="0.2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3:14" customFormat="1" ht="12.75" x14ac:dyDescent="0.2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3:14" customFormat="1" ht="12.75" x14ac:dyDescent="0.2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3:14" customFormat="1" ht="12.75" x14ac:dyDescent="0.2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3:14" customFormat="1" ht="12.75" x14ac:dyDescent="0.2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3:14" customFormat="1" ht="12.75" x14ac:dyDescent="0.2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3:14" customFormat="1" ht="12.75" x14ac:dyDescent="0.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3:14" customFormat="1" ht="12.75" x14ac:dyDescent="0.2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3:14" customFormat="1" ht="12.75" x14ac:dyDescent="0.2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3:14" customFormat="1" ht="12.75" x14ac:dyDescent="0.2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3:14" customFormat="1" ht="12.75" x14ac:dyDescent="0.2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3:14" customFormat="1" ht="12.75" x14ac:dyDescent="0.2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3:14" customFormat="1" ht="12.75" x14ac:dyDescent="0.2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3:14" customFormat="1" ht="12.75" x14ac:dyDescent="0.2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3:14" customFormat="1" ht="12.75" x14ac:dyDescent="0.2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3:14" customFormat="1" ht="12.75" x14ac:dyDescent="0.2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3:14" customFormat="1" ht="12.75" x14ac:dyDescent="0.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3:14" customFormat="1" ht="12.75" x14ac:dyDescent="0.2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3:14" customFormat="1" ht="12.75" x14ac:dyDescent="0.2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3:14" customFormat="1" ht="12.75" x14ac:dyDescent="0.2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3:14" customFormat="1" ht="12.75" x14ac:dyDescent="0.2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3:14" customFormat="1" ht="12.75" x14ac:dyDescent="0.2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3:14" customFormat="1" ht="12.75" x14ac:dyDescent="0.2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3:14" customFormat="1" ht="12.75" x14ac:dyDescent="0.2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3:14" customFormat="1" ht="12.75" x14ac:dyDescent="0.2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3:14" customFormat="1" ht="12.75" x14ac:dyDescent="0.2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3:14" customFormat="1" ht="12.75" x14ac:dyDescent="0.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3:14" customFormat="1" ht="12.75" x14ac:dyDescent="0.2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3:14" customFormat="1" ht="12.75" x14ac:dyDescent="0.2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3:14" customFormat="1" ht="12.75" x14ac:dyDescent="0.2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3:14" customFormat="1" ht="12.75" x14ac:dyDescent="0.2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3:14" customFormat="1" ht="12.75" x14ac:dyDescent="0.2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3:14" customFormat="1" ht="12.75" x14ac:dyDescent="0.2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3:14" customFormat="1" ht="12.75" x14ac:dyDescent="0.2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3:14" customFormat="1" ht="12.75" x14ac:dyDescent="0.2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3:14" customFormat="1" ht="12.75" x14ac:dyDescent="0.2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3:14" customFormat="1" ht="12.75" x14ac:dyDescent="0.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3:14" customFormat="1" ht="12.75" x14ac:dyDescent="0.2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3:14" customFormat="1" ht="12.75" x14ac:dyDescent="0.2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3:14" customFormat="1" ht="12.75" x14ac:dyDescent="0.2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3:14" customFormat="1" ht="12.75" x14ac:dyDescent="0.2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3:14" customFormat="1" ht="12.75" x14ac:dyDescent="0.2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3:14" customFormat="1" ht="12.75" x14ac:dyDescent="0.2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3:14" customFormat="1" ht="12.75" x14ac:dyDescent="0.2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3:14" customFormat="1" ht="12.75" x14ac:dyDescent="0.2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3:14" customFormat="1" ht="12.75" x14ac:dyDescent="0.2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3:14" customFormat="1" ht="12.75" x14ac:dyDescent="0.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3:14" customFormat="1" ht="12.75" x14ac:dyDescent="0.2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3:14" customFormat="1" ht="12.75" x14ac:dyDescent="0.2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3:14" customFormat="1" ht="12.75" x14ac:dyDescent="0.2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3:14" customFormat="1" ht="12.75" x14ac:dyDescent="0.2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3:14" customFormat="1" ht="12.75" x14ac:dyDescent="0.2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3:14" customFormat="1" ht="12.75" x14ac:dyDescent="0.2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3:14" customFormat="1" ht="12.75" x14ac:dyDescent="0.2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3:14" customFormat="1" ht="12.75" x14ac:dyDescent="0.2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3:14" customFormat="1" ht="12.75" x14ac:dyDescent="0.2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3:14" customFormat="1" ht="12.75" x14ac:dyDescent="0.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3:14" customFormat="1" ht="12.75" x14ac:dyDescent="0.2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3:14" customFormat="1" ht="12.75" x14ac:dyDescent="0.2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3:14" customFormat="1" ht="12.75" x14ac:dyDescent="0.2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3:14" customFormat="1" ht="12.75" x14ac:dyDescent="0.2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3:14" customFormat="1" ht="12.75" x14ac:dyDescent="0.2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3:14" customFormat="1" ht="12.75" x14ac:dyDescent="0.2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3:14" customFormat="1" ht="12.75" x14ac:dyDescent="0.2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3:14" customFormat="1" ht="12.75" x14ac:dyDescent="0.2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3:14" customFormat="1" ht="12.75" x14ac:dyDescent="0.2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3:14" customFormat="1" ht="12.75" x14ac:dyDescent="0.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3:14" customFormat="1" ht="12.75" x14ac:dyDescent="0.2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3:14" customFormat="1" ht="12.75" x14ac:dyDescent="0.2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3:14" customFormat="1" ht="12.75" x14ac:dyDescent="0.2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3:14" customFormat="1" ht="12.75" x14ac:dyDescent="0.2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3:14" customFormat="1" ht="12.75" x14ac:dyDescent="0.2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3:14" customFormat="1" ht="12.75" x14ac:dyDescent="0.2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3:14" customFormat="1" ht="12.75" x14ac:dyDescent="0.2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3:14" customFormat="1" ht="12.75" x14ac:dyDescent="0.2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3:14" customFormat="1" ht="12.75" x14ac:dyDescent="0.2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3:14" customFormat="1" ht="12.75" x14ac:dyDescent="0.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3:14" customFormat="1" ht="12.75" x14ac:dyDescent="0.2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3:14" customFormat="1" ht="12.75" x14ac:dyDescent="0.2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3:14" customFormat="1" ht="12.75" x14ac:dyDescent="0.2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3:14" customFormat="1" ht="12.75" x14ac:dyDescent="0.2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3:14" customFormat="1" ht="12.75" x14ac:dyDescent="0.2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3:14" customFormat="1" ht="12.75" x14ac:dyDescent="0.2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3:14" customFormat="1" ht="12.75" x14ac:dyDescent="0.2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3:14" customFormat="1" ht="12.75" x14ac:dyDescent="0.2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3:14" customFormat="1" ht="12.75" x14ac:dyDescent="0.2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3:14" customFormat="1" ht="12.75" x14ac:dyDescent="0.2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3:14" customFormat="1" ht="12.75" x14ac:dyDescent="0.2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3:14" customFormat="1" ht="12.75" x14ac:dyDescent="0.2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3:14" customFormat="1" ht="12.75" x14ac:dyDescent="0.2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3:14" customFormat="1" ht="12.75" x14ac:dyDescent="0.2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3:14" customFormat="1" ht="12.75" x14ac:dyDescent="0.2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3:14" customFormat="1" ht="12.75" x14ac:dyDescent="0.2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3:14" customFormat="1" ht="12.75" x14ac:dyDescent="0.2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3:14" customFormat="1" ht="12.75" x14ac:dyDescent="0.2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3:14" customFormat="1" ht="12.75" x14ac:dyDescent="0.2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3:14" customFormat="1" ht="12.75" x14ac:dyDescent="0.2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3:14" customFormat="1" ht="12.75" x14ac:dyDescent="0.2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3:14" customFormat="1" ht="12.75" x14ac:dyDescent="0.2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3:14" customFormat="1" ht="12.75" x14ac:dyDescent="0.2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3:14" customFormat="1" ht="12.75" x14ac:dyDescent="0.2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3:14" customFormat="1" ht="12.75" x14ac:dyDescent="0.2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3:14" customFormat="1" ht="12.75" x14ac:dyDescent="0.2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3:14" customFormat="1" ht="12.75" x14ac:dyDescent="0.2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3:14" customFormat="1" ht="12.75" x14ac:dyDescent="0.2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3:14" customFormat="1" ht="12.75" x14ac:dyDescent="0.2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3:14" customFormat="1" ht="12.75" x14ac:dyDescent="0.2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3:14" customFormat="1" ht="12.75" x14ac:dyDescent="0.2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3:14" customFormat="1" ht="12.75" x14ac:dyDescent="0.2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3:14" customFormat="1" ht="12.75" x14ac:dyDescent="0.2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3:14" customFormat="1" ht="12.75" x14ac:dyDescent="0.2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3:14" customFormat="1" ht="12.75" x14ac:dyDescent="0.2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3:14" customFormat="1" ht="12.75" x14ac:dyDescent="0.2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3:14" customFormat="1" ht="12.75" x14ac:dyDescent="0.2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3:14" customFormat="1" ht="12.75" x14ac:dyDescent="0.2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3:14" customFormat="1" ht="12.75" x14ac:dyDescent="0.2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3:14" customFormat="1" ht="12.75" x14ac:dyDescent="0.2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3:14" customFormat="1" ht="12.75" x14ac:dyDescent="0.2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3:14" customFormat="1" ht="12.75" x14ac:dyDescent="0.2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3:14" customFormat="1" ht="12.75" x14ac:dyDescent="0.2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3:14" customFormat="1" ht="12.75" x14ac:dyDescent="0.2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3:14" customFormat="1" ht="12.75" x14ac:dyDescent="0.2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3:14" customFormat="1" ht="12.75" x14ac:dyDescent="0.2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3:14" customFormat="1" ht="12.75" x14ac:dyDescent="0.2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3:14" customFormat="1" ht="12.75" x14ac:dyDescent="0.2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3:14" customFormat="1" ht="12.75" x14ac:dyDescent="0.2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3:14" customFormat="1" ht="12.75" x14ac:dyDescent="0.2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3:14" customFormat="1" ht="12.75" x14ac:dyDescent="0.2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3:14" customFormat="1" ht="12.75" x14ac:dyDescent="0.2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</sheetData>
  <mergeCells count="15">
    <mergeCell ref="B4:B6"/>
    <mergeCell ref="I5:I6"/>
    <mergeCell ref="J5:L5"/>
    <mergeCell ref="M5:M6"/>
    <mergeCell ref="N5:P5"/>
    <mergeCell ref="A1:P1"/>
    <mergeCell ref="A4:A6"/>
    <mergeCell ref="C4:F4"/>
    <mergeCell ref="G4:H4"/>
    <mergeCell ref="I4:L4"/>
    <mergeCell ref="M4:P4"/>
    <mergeCell ref="C5:C6"/>
    <mergeCell ref="D5:F5"/>
    <mergeCell ref="G5:G6"/>
    <mergeCell ref="H5:H6"/>
  </mergeCells>
  <conditionalFormatting sqref="C7:C19">
    <cfRule type="cellIs" dxfId="706" priority="15" stopIfTrue="1" operator="equal">
      <formula>0</formula>
    </cfRule>
  </conditionalFormatting>
  <conditionalFormatting sqref="D7:D19">
    <cfRule type="cellIs" dxfId="705" priority="14" stopIfTrue="1" operator="equal">
      <formula>0</formula>
    </cfRule>
  </conditionalFormatting>
  <conditionalFormatting sqref="E7:E19">
    <cfRule type="cellIs" dxfId="704" priority="13" stopIfTrue="1" operator="equal">
      <formula>0</formula>
    </cfRule>
  </conditionalFormatting>
  <conditionalFormatting sqref="F7:F19">
    <cfRule type="cellIs" dxfId="703" priority="12" stopIfTrue="1" operator="equal">
      <formula>0</formula>
    </cfRule>
  </conditionalFormatting>
  <conditionalFormatting sqref="G7:G19">
    <cfRule type="cellIs" dxfId="702" priority="11" stopIfTrue="1" operator="equal">
      <formula>0</formula>
    </cfRule>
  </conditionalFormatting>
  <conditionalFormatting sqref="H7:H19">
    <cfRule type="cellIs" dxfId="701" priority="10" stopIfTrue="1" operator="equal">
      <formula>0</formula>
    </cfRule>
  </conditionalFormatting>
  <conditionalFormatting sqref="I7:I19">
    <cfRule type="cellIs" dxfId="700" priority="9" stopIfTrue="1" operator="equal">
      <formula>0</formula>
    </cfRule>
  </conditionalFormatting>
  <conditionalFormatting sqref="J7:J19">
    <cfRule type="cellIs" dxfId="699" priority="8" stopIfTrue="1" operator="equal">
      <formula>0</formula>
    </cfRule>
  </conditionalFormatting>
  <conditionalFormatting sqref="K7:K19">
    <cfRule type="cellIs" dxfId="698" priority="7" stopIfTrue="1" operator="equal">
      <formula>0</formula>
    </cfRule>
  </conditionalFormatting>
  <conditionalFormatting sqref="L7:L19">
    <cfRule type="cellIs" dxfId="697" priority="6" stopIfTrue="1" operator="equal">
      <formula>0</formula>
    </cfRule>
  </conditionalFormatting>
  <conditionalFormatting sqref="M7:M19">
    <cfRule type="cellIs" dxfId="696" priority="5" stopIfTrue="1" operator="equal">
      <formula>0</formula>
    </cfRule>
  </conditionalFormatting>
  <conditionalFormatting sqref="N7:N19">
    <cfRule type="cellIs" dxfId="695" priority="4" stopIfTrue="1" operator="equal">
      <formula>0</formula>
    </cfRule>
  </conditionalFormatting>
  <conditionalFormatting sqref="O7:O19">
    <cfRule type="cellIs" dxfId="694" priority="3" stopIfTrue="1" operator="equal">
      <formula>0</formula>
    </cfRule>
  </conditionalFormatting>
  <conditionalFormatting sqref="P7:P19">
    <cfRule type="cellIs" dxfId="693" priority="2" stopIfTrue="1" operator="equal">
      <formula>0</formula>
    </cfRule>
  </conditionalFormatting>
  <conditionalFormatting sqref="B7:B19">
    <cfRule type="cellIs" dxfId="692" priority="1" stopIfTrue="1" operator="equal">
      <formula>0</formula>
    </cfRule>
  </conditionalFormatting>
  <pageMargins left="0.27559055118110237" right="3.937007874015748E-2" top="0.74803149606299213" bottom="0.74803149606299213" header="0.31496062992125984" footer="0.31496062992125984"/>
  <pageSetup scale="8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95E7-9764-4293-81D8-9E435BB46CD9}">
  <dimension ref="A1:Q948"/>
  <sheetViews>
    <sheetView zoomScale="87" zoomScaleNormal="122" workbookViewId="0">
      <selection sqref="A1:Q1"/>
    </sheetView>
  </sheetViews>
  <sheetFormatPr defaultRowHeight="12" x14ac:dyDescent="0.2"/>
  <cols>
    <col min="1" max="1" width="23.140625" style="9" customWidth="1"/>
    <col min="2" max="3" width="8.85546875" style="12" customWidth="1"/>
    <col min="4" max="4" width="10.140625" style="12" customWidth="1"/>
    <col min="5" max="5" width="9.5703125" style="12" customWidth="1"/>
    <col min="6" max="6" width="9" style="12" customWidth="1"/>
    <col min="7" max="9" width="10.140625" style="12" customWidth="1"/>
    <col min="10" max="10" width="8.140625" style="12" customWidth="1"/>
    <col min="11" max="11" width="7.5703125" style="12" customWidth="1"/>
    <col min="12" max="12" width="10.140625" style="12" customWidth="1"/>
    <col min="13" max="13" width="8.140625" style="12" customWidth="1"/>
    <col min="14" max="15" width="8.85546875" style="12" customWidth="1"/>
    <col min="16" max="16" width="8.42578125" style="9" customWidth="1"/>
    <col min="17" max="17" width="7.5703125" style="9" customWidth="1"/>
    <col min="18" max="16384" width="9.140625" style="9"/>
  </cols>
  <sheetData>
    <row r="1" spans="1:17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spans="1:17" ht="12.75" x14ac:dyDescent="0.2">
      <c r="A2" s="27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82"/>
      <c r="P2" s="41"/>
      <c r="Q2" s="76" t="s">
        <v>32</v>
      </c>
    </row>
    <row r="3" spans="1:17" ht="29.45" customHeight="1" x14ac:dyDescent="0.2">
      <c r="A3" s="180" t="s">
        <v>281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41"/>
      <c r="Q3" s="41"/>
    </row>
    <row r="4" spans="1:17" s="11" customFormat="1" ht="14.25" customHeight="1" x14ac:dyDescent="0.2">
      <c r="A4" s="123" t="s">
        <v>30</v>
      </c>
      <c r="B4" s="152" t="s">
        <v>245</v>
      </c>
      <c r="C4" s="174"/>
      <c r="D4" s="174"/>
      <c r="E4" s="153"/>
      <c r="F4" s="152" t="s">
        <v>509</v>
      </c>
      <c r="G4" s="174"/>
      <c r="H4" s="174"/>
      <c r="I4" s="153"/>
      <c r="J4" s="121" t="s">
        <v>257</v>
      </c>
      <c r="K4" s="121"/>
      <c r="L4" s="152" t="s">
        <v>258</v>
      </c>
      <c r="M4" s="153"/>
      <c r="N4" s="121" t="s">
        <v>526</v>
      </c>
      <c r="O4" s="121"/>
      <c r="P4" s="121" t="s">
        <v>83</v>
      </c>
      <c r="Q4" s="121"/>
    </row>
    <row r="5" spans="1:17" s="11" customFormat="1" ht="27.75" customHeight="1" x14ac:dyDescent="0.2">
      <c r="A5" s="123"/>
      <c r="B5" s="126" t="s">
        <v>41</v>
      </c>
      <c r="C5" s="152" t="s">
        <v>244</v>
      </c>
      <c r="D5" s="174"/>
      <c r="E5" s="153"/>
      <c r="F5" s="126" t="s">
        <v>41</v>
      </c>
      <c r="G5" s="152" t="s">
        <v>244</v>
      </c>
      <c r="H5" s="174"/>
      <c r="I5" s="153"/>
      <c r="J5" s="126" t="s">
        <v>41</v>
      </c>
      <c r="K5" s="126" t="s">
        <v>244</v>
      </c>
      <c r="L5" s="126" t="s">
        <v>41</v>
      </c>
      <c r="M5" s="126" t="s">
        <v>244</v>
      </c>
      <c r="N5" s="126" t="s">
        <v>41</v>
      </c>
      <c r="O5" s="126" t="s">
        <v>244</v>
      </c>
      <c r="P5" s="126" t="s">
        <v>41</v>
      </c>
      <c r="Q5" s="126" t="s">
        <v>244</v>
      </c>
    </row>
    <row r="6" spans="1:17" s="11" customFormat="1" ht="27.75" customHeight="1" x14ac:dyDescent="0.2">
      <c r="A6" s="123"/>
      <c r="B6" s="127"/>
      <c r="C6" s="34" t="s">
        <v>47</v>
      </c>
      <c r="D6" s="34" t="s">
        <v>242</v>
      </c>
      <c r="E6" s="34" t="s">
        <v>243</v>
      </c>
      <c r="F6" s="127"/>
      <c r="G6" s="34" t="s">
        <v>47</v>
      </c>
      <c r="H6" s="34" t="s">
        <v>242</v>
      </c>
      <c r="I6" s="34" t="s">
        <v>243</v>
      </c>
      <c r="J6" s="127"/>
      <c r="K6" s="127"/>
      <c r="L6" s="127"/>
      <c r="M6" s="127"/>
      <c r="N6" s="127"/>
      <c r="O6" s="127"/>
      <c r="P6" s="127"/>
      <c r="Q6" s="127"/>
    </row>
    <row r="7" spans="1:17" s="6" customFormat="1" ht="20.45" customHeight="1" x14ac:dyDescent="0.2">
      <c r="A7" s="69" t="s">
        <v>0</v>
      </c>
      <c r="B7" s="49">
        <v>1046.2190042734146</v>
      </c>
      <c r="C7" s="49">
        <v>4529.817831993103</v>
      </c>
      <c r="D7" s="49">
        <v>4283.0596446990976</v>
      </c>
      <c r="E7" s="49">
        <v>246.75818729400635</v>
      </c>
      <c r="F7" s="49">
        <v>12853.59908747673</v>
      </c>
      <c r="G7" s="49">
        <v>80914.398890733704</v>
      </c>
      <c r="H7" s="49">
        <v>61921.644285440445</v>
      </c>
      <c r="I7" s="49">
        <v>18992.754605293267</v>
      </c>
      <c r="J7" s="49">
        <v>141.68556237220764</v>
      </c>
      <c r="K7" s="49">
        <v>348.26597118377691</v>
      </c>
      <c r="L7" s="49">
        <v>52.115282535552979</v>
      </c>
      <c r="M7" s="49">
        <v>116.84366321563722</v>
      </c>
      <c r="N7" s="49">
        <v>0</v>
      </c>
      <c r="O7" s="49"/>
      <c r="P7" s="49">
        <v>476.97550582885742</v>
      </c>
      <c r="Q7" s="49">
        <v>891.98287153243996</v>
      </c>
    </row>
    <row r="8" spans="1:17" s="6" customFormat="1" ht="20.45" customHeight="1" x14ac:dyDescent="0.2">
      <c r="A8" s="29" t="s">
        <v>1</v>
      </c>
      <c r="B8" s="51">
        <v>71689.457616329193</v>
      </c>
      <c r="C8" s="51">
        <v>473644.90878510533</v>
      </c>
      <c r="D8" s="51">
        <v>469080.85901713336</v>
      </c>
      <c r="E8" s="51">
        <v>4564.0497679710388</v>
      </c>
      <c r="F8" s="51">
        <v>409647.70706093311</v>
      </c>
      <c r="G8" s="51">
        <v>1276593.0572662298</v>
      </c>
      <c r="H8" s="51">
        <v>1114294.7588696482</v>
      </c>
      <c r="I8" s="51">
        <v>162298.29839658734</v>
      </c>
      <c r="J8" s="51">
        <v>5400.5592937469482</v>
      </c>
      <c r="K8" s="51">
        <v>10646.229383349413</v>
      </c>
      <c r="L8" s="51">
        <v>1562.6475540399551</v>
      </c>
      <c r="M8" s="51">
        <v>5561.3694736957559</v>
      </c>
      <c r="N8" s="51">
        <v>341.10336017608643</v>
      </c>
      <c r="O8" s="51">
        <v>659.63619661331177</v>
      </c>
      <c r="P8" s="51">
        <v>15232.153046369553</v>
      </c>
      <c r="Q8" s="51">
        <v>33611.942719936371</v>
      </c>
    </row>
    <row r="9" spans="1:17" customFormat="1" ht="20.45" customHeight="1" x14ac:dyDescent="0.2">
      <c r="A9" s="30" t="s">
        <v>2</v>
      </c>
      <c r="B9" s="53">
        <v>3452.2150820493698</v>
      </c>
      <c r="C9" s="53">
        <v>19060.551314830769</v>
      </c>
      <c r="D9" s="53">
        <v>18457.637261867527</v>
      </c>
      <c r="E9" s="53">
        <v>602.91405296325684</v>
      </c>
      <c r="F9" s="53">
        <v>31466.957863211632</v>
      </c>
      <c r="G9" s="53">
        <v>108659.33816528314</v>
      </c>
      <c r="H9" s="53">
        <v>92469.015110969514</v>
      </c>
      <c r="I9" s="53">
        <v>16190.32305431366</v>
      </c>
      <c r="J9" s="53">
        <v>287.67428016662598</v>
      </c>
      <c r="K9" s="53">
        <v>418.06047868728649</v>
      </c>
      <c r="L9" s="53">
        <v>97.622633934020996</v>
      </c>
      <c r="M9" s="53">
        <v>198.99759483337405</v>
      </c>
      <c r="N9" s="53">
        <v>26.21473217010498</v>
      </c>
      <c r="O9" s="53">
        <v>52.429464340209961</v>
      </c>
      <c r="P9" s="53">
        <v>770.88332748413086</v>
      </c>
      <c r="Q9" s="53">
        <v>1634.6210117340088</v>
      </c>
    </row>
    <row r="10" spans="1:17" customFormat="1" ht="20.45" customHeight="1" x14ac:dyDescent="0.2">
      <c r="A10" s="30" t="s">
        <v>3</v>
      </c>
      <c r="B10" s="53">
        <v>10360.544011473656</v>
      </c>
      <c r="C10" s="53">
        <v>60247.296050190889</v>
      </c>
      <c r="D10" s="53">
        <v>60036.208061337471</v>
      </c>
      <c r="E10" s="53">
        <v>211.08798885345456</v>
      </c>
      <c r="F10" s="53">
        <v>48973.199500799179</v>
      </c>
      <c r="G10" s="53">
        <v>170495.53320240983</v>
      </c>
      <c r="H10" s="53">
        <v>141837.47660064689</v>
      </c>
      <c r="I10" s="53">
        <v>28658.056601762764</v>
      </c>
      <c r="J10" s="53">
        <v>891.97715950012207</v>
      </c>
      <c r="K10" s="53">
        <v>1514.0458095073702</v>
      </c>
      <c r="L10" s="53">
        <v>251.24818086624146</v>
      </c>
      <c r="M10" s="53">
        <v>689.79070115089405</v>
      </c>
      <c r="N10" s="53">
        <v>66.180155754089355</v>
      </c>
      <c r="O10" s="53">
        <v>145.33202409744263</v>
      </c>
      <c r="P10" s="53">
        <v>2170.120640039444</v>
      </c>
      <c r="Q10" s="53">
        <v>5189.0361778736087</v>
      </c>
    </row>
    <row r="11" spans="1:17" customFormat="1" ht="20.45" customHeight="1" x14ac:dyDescent="0.2">
      <c r="A11" s="30" t="s">
        <v>4</v>
      </c>
      <c r="B11" s="53">
        <v>28376.659495711327</v>
      </c>
      <c r="C11" s="53">
        <v>195474.45032322401</v>
      </c>
      <c r="D11" s="53">
        <v>193672.59945595282</v>
      </c>
      <c r="E11" s="53">
        <v>1801.8508672714231</v>
      </c>
      <c r="F11" s="53">
        <v>134003.50796580315</v>
      </c>
      <c r="G11" s="53">
        <v>376676.46271872532</v>
      </c>
      <c r="H11" s="53">
        <v>338388.15734243329</v>
      </c>
      <c r="I11" s="53">
        <v>38288.30537629126</v>
      </c>
      <c r="J11" s="53">
        <v>1995.512538433075</v>
      </c>
      <c r="K11" s="53">
        <v>4120.4874857664108</v>
      </c>
      <c r="L11" s="53">
        <v>631.2515321969986</v>
      </c>
      <c r="M11" s="53">
        <v>2853.2483196258536</v>
      </c>
      <c r="N11" s="53">
        <v>130.99694633483887</v>
      </c>
      <c r="O11" s="53">
        <v>250.37575435638431</v>
      </c>
      <c r="P11" s="53">
        <v>5541.1421514749527</v>
      </c>
      <c r="Q11" s="53">
        <v>12433.088176846508</v>
      </c>
    </row>
    <row r="12" spans="1:17" customFormat="1" ht="20.45" customHeight="1" x14ac:dyDescent="0.2">
      <c r="A12" s="30" t="s">
        <v>5</v>
      </c>
      <c r="B12" s="53">
        <v>18316.146244645119</v>
      </c>
      <c r="C12" s="53">
        <v>128377.59947621818</v>
      </c>
      <c r="D12" s="53">
        <v>127055.70769536527</v>
      </c>
      <c r="E12" s="53">
        <v>1321.8917808532715</v>
      </c>
      <c r="F12" s="53">
        <v>116493.75421977043</v>
      </c>
      <c r="G12" s="53">
        <v>356471.7036437986</v>
      </c>
      <c r="H12" s="53">
        <v>308594.81246757618</v>
      </c>
      <c r="I12" s="53">
        <v>47876.891176223726</v>
      </c>
      <c r="J12" s="53">
        <v>1425.8086467981339</v>
      </c>
      <c r="K12" s="53">
        <v>2991.1927918195729</v>
      </c>
      <c r="L12" s="53">
        <v>352.10123729705811</v>
      </c>
      <c r="M12" s="53">
        <v>1123.2107923030853</v>
      </c>
      <c r="N12" s="53">
        <v>52.621401786804199</v>
      </c>
      <c r="O12" s="53">
        <v>75.322152137756348</v>
      </c>
      <c r="P12" s="53">
        <v>3986.0946451425552</v>
      </c>
      <c r="Q12" s="53">
        <v>8554.3790706396085</v>
      </c>
    </row>
    <row r="13" spans="1:17" customFormat="1" ht="20.45" customHeight="1" x14ac:dyDescent="0.2">
      <c r="A13" s="30" t="s">
        <v>6</v>
      </c>
      <c r="B13" s="53">
        <v>8563.652636885643</v>
      </c>
      <c r="C13" s="53">
        <v>48759.365703463533</v>
      </c>
      <c r="D13" s="53">
        <v>48394.575363516742</v>
      </c>
      <c r="E13" s="53">
        <v>364.79033994674683</v>
      </c>
      <c r="F13" s="53">
        <v>61742.610998630524</v>
      </c>
      <c r="G13" s="53">
        <v>204977.14048814829</v>
      </c>
      <c r="H13" s="53">
        <v>178407.17399930899</v>
      </c>
      <c r="I13" s="53">
        <v>26569.966488838189</v>
      </c>
      <c r="J13" s="53">
        <v>648.51146590709686</v>
      </c>
      <c r="K13" s="53">
        <v>1358.7290588617323</v>
      </c>
      <c r="L13" s="53">
        <v>204.81972694396973</v>
      </c>
      <c r="M13" s="53">
        <v>630.58654761314392</v>
      </c>
      <c r="N13" s="53">
        <v>53.890644073486328</v>
      </c>
      <c r="O13" s="53">
        <v>124.97732162475587</v>
      </c>
      <c r="P13" s="53">
        <v>2129.4253029823303</v>
      </c>
      <c r="Q13" s="53">
        <v>4619.5852699279776</v>
      </c>
    </row>
    <row r="14" spans="1:17" customFormat="1" ht="20.45" customHeight="1" x14ac:dyDescent="0.2">
      <c r="A14" s="30" t="s">
        <v>7</v>
      </c>
      <c r="B14" s="53">
        <v>1787.7461932897568</v>
      </c>
      <c r="C14" s="53">
        <v>12196.525389909742</v>
      </c>
      <c r="D14" s="53">
        <v>11935.010651826855</v>
      </c>
      <c r="E14" s="53">
        <v>261.51473808288574</v>
      </c>
      <c r="F14" s="53">
        <v>12352.972139835358</v>
      </c>
      <c r="G14" s="53">
        <v>43140.551454067223</v>
      </c>
      <c r="H14" s="53">
        <v>38954.548570156112</v>
      </c>
      <c r="I14" s="53">
        <v>4186.0028839111328</v>
      </c>
      <c r="J14" s="53">
        <v>133.33287620544434</v>
      </c>
      <c r="K14" s="53">
        <v>212.36013245582581</v>
      </c>
      <c r="L14" s="53">
        <v>13.836496829986572</v>
      </c>
      <c r="M14" s="53">
        <v>40.156472682952881</v>
      </c>
      <c r="N14" s="53">
        <v>11.199480056762695</v>
      </c>
      <c r="O14" s="53">
        <v>11.199480056762695</v>
      </c>
      <c r="P14" s="53">
        <v>380.83159375190735</v>
      </c>
      <c r="Q14" s="53">
        <v>785.5202648639679</v>
      </c>
    </row>
    <row r="15" spans="1:17" customFormat="1" ht="20.45" customHeight="1" x14ac:dyDescent="0.2">
      <c r="A15" s="30" t="s">
        <v>8</v>
      </c>
      <c r="B15" s="53">
        <v>579.74976444244385</v>
      </c>
      <c r="C15" s="53">
        <v>7785.1549034118671</v>
      </c>
      <c r="D15" s="53">
        <v>7785.1549034118671</v>
      </c>
      <c r="E15" s="53"/>
      <c r="F15" s="53">
        <v>3134.377890586853</v>
      </c>
      <c r="G15" s="53">
        <v>11094.850841045387</v>
      </c>
      <c r="H15" s="53">
        <v>10813.865735530862</v>
      </c>
      <c r="I15" s="53">
        <v>280.98510551452637</v>
      </c>
      <c r="J15" s="53">
        <v>13.205226898193359</v>
      </c>
      <c r="K15" s="53">
        <v>13.205226898193359</v>
      </c>
      <c r="L15" s="53">
        <v>7.2306461334228516</v>
      </c>
      <c r="M15" s="53">
        <v>7.2306461334228507</v>
      </c>
      <c r="N15" s="53">
        <v>0</v>
      </c>
      <c r="O15" s="53"/>
      <c r="P15" s="53">
        <v>156.63537073135376</v>
      </c>
      <c r="Q15" s="53">
        <v>233.20853567123413</v>
      </c>
    </row>
    <row r="16" spans="1:17" customFormat="1" ht="20.45" customHeight="1" x14ac:dyDescent="0.2">
      <c r="A16" s="30" t="s">
        <v>9</v>
      </c>
      <c r="B16" s="53">
        <v>129.24431848526001</v>
      </c>
      <c r="C16" s="53">
        <v>885.88629722595203</v>
      </c>
      <c r="D16" s="53">
        <v>885.88629722595203</v>
      </c>
      <c r="E16" s="53"/>
      <c r="F16" s="53">
        <v>698.97258043289185</v>
      </c>
      <c r="G16" s="53">
        <v>2187.1372504234319</v>
      </c>
      <c r="H16" s="53">
        <v>1952.7363810539252</v>
      </c>
      <c r="I16" s="53">
        <v>234.40086936950684</v>
      </c>
      <c r="J16" s="53">
        <v>0</v>
      </c>
      <c r="K16" s="53"/>
      <c r="L16" s="53">
        <v>0</v>
      </c>
      <c r="M16" s="53"/>
      <c r="N16" s="53">
        <v>0</v>
      </c>
      <c r="O16" s="53"/>
      <c r="P16" s="53">
        <v>41.520212173461914</v>
      </c>
      <c r="Q16" s="53">
        <v>67.118078231811523</v>
      </c>
    </row>
    <row r="17" spans="1:17" customFormat="1" ht="20.45" customHeight="1" x14ac:dyDescent="0.2">
      <c r="A17" s="30" t="s">
        <v>10</v>
      </c>
      <c r="B17" s="53">
        <v>96.185392379760742</v>
      </c>
      <c r="C17" s="53">
        <v>547.15034008026123</v>
      </c>
      <c r="D17" s="53">
        <v>547.15034008026123</v>
      </c>
      <c r="E17" s="53"/>
      <c r="F17" s="53">
        <v>686.35303544998169</v>
      </c>
      <c r="G17" s="53">
        <v>2687.2402758598328</v>
      </c>
      <c r="H17" s="53">
        <v>2673.8734354972839</v>
      </c>
      <c r="I17" s="53">
        <v>13.366840362548828</v>
      </c>
      <c r="J17" s="53">
        <v>4.5370998382568359</v>
      </c>
      <c r="K17" s="53">
        <v>18.148399353027344</v>
      </c>
      <c r="L17" s="53">
        <v>4.5370998382568359</v>
      </c>
      <c r="M17" s="53">
        <v>18.148399353027344</v>
      </c>
      <c r="N17" s="53">
        <v>0</v>
      </c>
      <c r="O17" s="53"/>
      <c r="P17" s="53">
        <v>55.499802589416504</v>
      </c>
      <c r="Q17" s="53">
        <v>95.386134147644043</v>
      </c>
    </row>
    <row r="18" spans="1:17" customFormat="1" ht="20.45" customHeight="1" x14ac:dyDescent="0.2">
      <c r="A18" s="30" t="s">
        <v>11</v>
      </c>
      <c r="B18" s="53">
        <v>27.31447696685791</v>
      </c>
      <c r="C18" s="53">
        <v>310.92898654937744</v>
      </c>
      <c r="D18" s="53">
        <v>310.92898654937744</v>
      </c>
      <c r="E18" s="53"/>
      <c r="F18" s="53">
        <v>95.000866413116455</v>
      </c>
      <c r="G18" s="53">
        <v>203.09922647476196</v>
      </c>
      <c r="H18" s="53">
        <v>203.09922647476196</v>
      </c>
      <c r="I18" s="53"/>
      <c r="J18" s="53">
        <v>0</v>
      </c>
      <c r="K18" s="53"/>
      <c r="L18" s="53">
        <v>0</v>
      </c>
      <c r="M18" s="53"/>
      <c r="N18" s="53">
        <v>0</v>
      </c>
      <c r="O18" s="53"/>
      <c r="P18" s="53">
        <v>0</v>
      </c>
      <c r="Q18" s="53"/>
    </row>
    <row r="19" spans="1:17" s="6" customFormat="1" ht="20.45" customHeight="1" x14ac:dyDescent="0.2">
      <c r="A19" s="31" t="s">
        <v>12</v>
      </c>
      <c r="B19" s="25">
        <f>B7+B8</f>
        <v>72735.676620602608</v>
      </c>
      <c r="C19" s="25">
        <f t="shared" ref="C19:Q19" si="0">C7+C8</f>
        <v>478174.72661709844</v>
      </c>
      <c r="D19" s="25">
        <f t="shared" si="0"/>
        <v>473363.91866183246</v>
      </c>
      <c r="E19" s="25">
        <f t="shared" si="0"/>
        <v>4810.8079552650452</v>
      </c>
      <c r="F19" s="25">
        <f t="shared" si="0"/>
        <v>422501.30614840984</v>
      </c>
      <c r="G19" s="25">
        <f t="shared" si="0"/>
        <v>1357507.4561569635</v>
      </c>
      <c r="H19" s="25">
        <f t="shared" si="0"/>
        <v>1176216.4031550887</v>
      </c>
      <c r="I19" s="25">
        <f t="shared" si="0"/>
        <v>181291.05300188062</v>
      </c>
      <c r="J19" s="25">
        <f t="shared" si="0"/>
        <v>5542.2448561191559</v>
      </c>
      <c r="K19" s="25">
        <f t="shared" si="0"/>
        <v>10994.49535453319</v>
      </c>
      <c r="L19" s="25">
        <f t="shared" si="0"/>
        <v>1614.7628365755081</v>
      </c>
      <c r="M19" s="25">
        <f t="shared" si="0"/>
        <v>5678.2131369113931</v>
      </c>
      <c r="N19" s="25">
        <f t="shared" si="0"/>
        <v>341.10336017608643</v>
      </c>
      <c r="O19" s="25">
        <f t="shared" si="0"/>
        <v>659.63619661331177</v>
      </c>
      <c r="P19" s="25">
        <f t="shared" si="0"/>
        <v>15709.12855219841</v>
      </c>
      <c r="Q19" s="25">
        <f t="shared" si="0"/>
        <v>34503.925591468811</v>
      </c>
    </row>
    <row r="20" spans="1:17" customFormat="1" ht="12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7" customFormat="1" ht="12.75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7" customFormat="1" ht="12.75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7" customFormat="1" ht="12.75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7" customFormat="1" ht="12.75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7" customFormat="1" ht="12.75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7" customFormat="1" ht="12.75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7" customFormat="1" ht="12.75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7" customFormat="1" ht="12.75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7" customFormat="1" ht="12.75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7" customFormat="1" ht="12.75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7" customFormat="1" ht="12.75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7" customFormat="1" ht="12.75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customFormat="1" ht="12.75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customFormat="1" ht="12.75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customFormat="1" ht="12.75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customFormat="1" ht="12.7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customFormat="1" ht="12.7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customFormat="1" ht="12.7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customFormat="1" ht="12.75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customFormat="1" ht="12.75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customFormat="1" ht="12.75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customFormat="1" ht="12.75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customFormat="1" ht="12.75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customFormat="1" ht="12.75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customFormat="1" ht="12.75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customFormat="1" ht="12.75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customFormat="1" ht="12.75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customFormat="1" ht="12.75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customFormat="1" ht="12.75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customFormat="1" ht="12.75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customFormat="1" ht="12.75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customFormat="1" ht="12.75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customFormat="1" ht="12.75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customFormat="1" ht="12.75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customFormat="1" ht="12.75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customFormat="1" ht="12.75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customFormat="1" ht="12.75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customFormat="1" ht="12.75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customFormat="1" ht="12.75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customFormat="1" ht="12.75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customFormat="1" ht="12.75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customFormat="1" ht="12.75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customFormat="1" ht="12.75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customFormat="1" ht="12.75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customFormat="1" ht="12.75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customFormat="1" ht="12.75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customFormat="1" ht="12.75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customFormat="1" ht="12.75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customFormat="1" ht="12.75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customFormat="1" ht="12.75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customFormat="1" ht="12.75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customFormat="1" ht="12.75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customFormat="1" ht="12.75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customFormat="1" ht="12.7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customFormat="1" ht="12.75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customFormat="1" ht="12.7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customFormat="1" ht="12.75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customFormat="1" ht="12.7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customFormat="1" ht="12.75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customFormat="1" ht="12.75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customFormat="1" ht="12.75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customFormat="1" ht="12.75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customFormat="1" ht="12.75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customFormat="1" ht="12.7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customFormat="1" ht="12.75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customFormat="1" ht="12.75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customFormat="1" ht="12.7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customFormat="1" ht="12.75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customFormat="1" ht="12.75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customFormat="1" ht="12.7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customFormat="1" ht="12.75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customFormat="1" ht="12.7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customFormat="1" ht="12.75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customFormat="1" ht="12.7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customFormat="1" ht="12.75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customFormat="1" ht="12.75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customFormat="1" ht="12.75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customFormat="1" ht="12.7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customFormat="1" ht="12.75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customFormat="1" ht="12.75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customFormat="1" ht="12.75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customFormat="1" ht="12.75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customFormat="1" ht="12.7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customFormat="1" ht="12.75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customFormat="1" ht="12.7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customFormat="1" ht="12.75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customFormat="1" ht="12.7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customFormat="1" ht="12.75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customFormat="1" ht="12.7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customFormat="1" ht="12.75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customFormat="1" ht="12.75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customFormat="1" ht="12.75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customFormat="1" ht="12.75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customFormat="1" ht="12.7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customFormat="1" ht="12.75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customFormat="1" ht="12.75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customFormat="1" ht="12.7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customFormat="1" ht="12.75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customFormat="1" ht="12.75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customFormat="1" ht="12.75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customFormat="1" ht="12.75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customFormat="1" ht="12.75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customFormat="1" ht="12.75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customFormat="1" ht="12.75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customFormat="1" ht="12.75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customFormat="1" ht="12.75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customFormat="1" ht="12.75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customFormat="1" ht="12.75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customFormat="1" ht="12.75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customFormat="1" ht="12.75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customFormat="1" ht="12.75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customFormat="1" ht="12.75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customFormat="1" ht="12.75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customFormat="1" ht="12.75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customFormat="1" ht="12.75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customFormat="1" ht="12.75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customFormat="1" ht="12.75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customFormat="1" ht="12.75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customFormat="1" ht="12.75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customFormat="1" ht="12.75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customFormat="1" ht="12.75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customFormat="1" ht="12.75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customFormat="1" ht="12.75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customFormat="1" ht="12.75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customFormat="1" ht="12.75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customFormat="1" ht="12.75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customFormat="1" ht="12.75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customFormat="1" ht="12.75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customFormat="1" ht="12.75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customFormat="1" ht="12.75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customFormat="1" ht="12.75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customFormat="1" ht="12.75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customFormat="1" ht="12.75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customFormat="1" ht="12.75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customFormat="1" ht="12.75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customFormat="1" ht="12.75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customFormat="1" ht="12.75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customFormat="1" ht="12.75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customFormat="1" ht="12.75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customFormat="1" ht="12.75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customFormat="1" ht="12.75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customFormat="1" ht="12.75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customFormat="1" ht="12.75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customFormat="1" ht="12.75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customFormat="1" ht="12.75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customFormat="1" ht="12.75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customFormat="1" ht="12.75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customFormat="1" ht="12.75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customFormat="1" ht="12.75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customFormat="1" ht="12.75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customFormat="1" ht="12.75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customFormat="1" ht="12.75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customFormat="1" ht="12.75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customFormat="1" ht="12.75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customFormat="1" ht="12.75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customFormat="1" ht="12.75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customFormat="1" ht="12.75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customFormat="1" ht="12.75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customFormat="1" ht="12.75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customFormat="1" ht="12.75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customFormat="1" ht="12.75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customFormat="1" ht="12.75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customFormat="1" ht="12.75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customFormat="1" ht="12.75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customFormat="1" ht="12.75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customFormat="1" ht="12.75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customFormat="1" ht="12.75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customFormat="1" ht="12.75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customFormat="1" ht="12.75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customFormat="1" ht="12.75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customFormat="1" ht="12.75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customFormat="1" ht="12.75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customFormat="1" ht="12.75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customFormat="1" ht="12.75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customFormat="1" ht="12.75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customFormat="1" ht="12.75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customFormat="1" ht="12.75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customFormat="1" ht="12.75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customFormat="1" ht="12.75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customFormat="1" ht="12.75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customFormat="1" ht="12.75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customFormat="1" ht="12.75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customFormat="1" ht="12.75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customFormat="1" ht="12.75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customFormat="1" ht="12.75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customFormat="1" ht="12.75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customFormat="1" ht="12.75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customFormat="1" ht="12.75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customFormat="1" ht="12.75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customFormat="1" ht="12.75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customFormat="1" ht="12.75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customFormat="1" ht="12.75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customFormat="1" ht="12.75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customFormat="1" ht="12.75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customFormat="1" ht="12.75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customFormat="1" ht="12.75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customFormat="1" ht="12.75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customFormat="1" ht="12.75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customFormat="1" ht="12.75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customFormat="1" ht="12.75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customFormat="1" ht="12.75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customFormat="1" ht="12.75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customFormat="1" ht="12.75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customFormat="1" ht="12.75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customFormat="1" ht="12.75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customFormat="1" ht="12.75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customFormat="1" ht="12.75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customFormat="1" ht="12.75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customFormat="1" ht="12.75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customFormat="1" ht="12.75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customFormat="1" ht="12.75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customFormat="1" ht="12.75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 customFormat="1" ht="12.75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 customFormat="1" ht="12.75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 customFormat="1" ht="12.75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 customFormat="1" ht="12.75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2:15" customFormat="1" ht="12.75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2:15" customFormat="1" ht="12.75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2:15" customFormat="1" ht="12.75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2:15" customFormat="1" ht="12.75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2:15" customFormat="1" ht="12.75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2:15" customFormat="1" ht="12.75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2:15" customFormat="1" ht="12.75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2:15" customFormat="1" ht="12.75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2:15" customFormat="1" ht="12.75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2:15" customFormat="1" ht="12.75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2:15" customFormat="1" ht="12.75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2:15" customFormat="1" ht="12.75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2:15" customFormat="1" ht="12.75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2:15" customFormat="1" ht="12.75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2:15" customFormat="1" ht="12.75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2:15" customFormat="1" ht="12.75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2:15" customFormat="1" ht="12.75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2:15" customFormat="1" ht="12.75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2:15" customFormat="1" ht="12.75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2:15" customFormat="1" ht="12.75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2:15" customFormat="1" ht="12.75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2:15" customFormat="1" ht="12.75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2:15" customFormat="1" ht="12.75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2:15" customFormat="1" ht="12.75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2:15" customFormat="1" ht="12.75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2:15" customFormat="1" ht="12.75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2:15" customFormat="1" ht="12.75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2:15" customFormat="1" ht="12.75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2:15" customFormat="1" ht="12.75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2:15" customFormat="1" ht="12.75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2:15" customFormat="1" ht="12.75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2:15" customFormat="1" ht="12.75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2:15" customFormat="1" ht="12.75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2:15" customFormat="1" ht="12.75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2:15" customFormat="1" ht="12.75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2:15" customFormat="1" ht="12.75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2:15" customFormat="1" ht="12.75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2:15" customFormat="1" ht="12.75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2:15" customFormat="1" ht="12.75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2:15" customFormat="1" ht="12.75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2:15" customFormat="1" ht="12.75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2:15" customFormat="1" ht="12.75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2:15" customFormat="1" ht="12.75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2:15" customFormat="1" ht="12.75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2:15" customFormat="1" ht="12.75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2:15" customFormat="1" ht="12.75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2:15" customFormat="1" ht="12.75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2:15" customFormat="1" ht="12.75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2:15" customFormat="1" ht="12.75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2:15" customFormat="1" ht="12.75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2:15" customFormat="1" ht="12.75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2:15" customFormat="1" ht="12.75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2:15" customFormat="1" ht="12.75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2:15" customFormat="1" ht="12.75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2:15" customFormat="1" ht="12.75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2:15" customFormat="1" ht="12.75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2:15" customFormat="1" ht="12.75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2:15" customFormat="1" ht="12.75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2:15" customFormat="1" ht="12.75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2:15" customFormat="1" ht="12.75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2:15" customFormat="1" ht="12.75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2:15" customFormat="1" ht="12.75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2:15" customFormat="1" ht="12.75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2:15" customFormat="1" ht="12.75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 customFormat="1" ht="12.75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2:15" customFormat="1" ht="12.75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2:15" customFormat="1" ht="12.75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2:15" customFormat="1" ht="12.75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2:15" customFormat="1" ht="12.75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2:15" customFormat="1" ht="12.75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2:15" customFormat="1" ht="12.75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2:15" customFormat="1" ht="12.75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2:15" customFormat="1" ht="12.75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2:15" customFormat="1" ht="12.75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2:15" customFormat="1" ht="12.75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2:15" customFormat="1" ht="12.75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2:15" customFormat="1" ht="12.75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2:15" customFormat="1" ht="12.75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2:15" customFormat="1" ht="12.75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2:15" customFormat="1" ht="12.75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2:15" customFormat="1" ht="12.75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2:15" customFormat="1" ht="12.75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2:15" customFormat="1" ht="12.75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2:15" customFormat="1" ht="12.75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2:15" customFormat="1" ht="12.75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2:15" customFormat="1" ht="12.75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2:15" customFormat="1" ht="12.75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2:15" customFormat="1" ht="12.75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2:15" customFormat="1" ht="12.75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2:15" customFormat="1" ht="12.75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2:15" customFormat="1" ht="12.75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2:15" customFormat="1" ht="12.75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2:15" customFormat="1" ht="12.75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2:15" customFormat="1" ht="12.75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2:15" customFormat="1" ht="12.75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2:15" customFormat="1" ht="12.75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2:15" customFormat="1" ht="12.75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2:15" customFormat="1" ht="12.75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2:15" customFormat="1" ht="12.75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2:15" customFormat="1" ht="12.75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2:15" customFormat="1" ht="12.75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2:15" customFormat="1" ht="12.75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2:15" customFormat="1" ht="12.75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2:15" customFormat="1" ht="12.75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2:15" customFormat="1" ht="12.75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2:15" customFormat="1" ht="12.75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2:15" customFormat="1" ht="12.75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2:15" customFormat="1" ht="12.75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2:15" customFormat="1" ht="12.75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2:15" customFormat="1" ht="12.75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2:15" customFormat="1" ht="12.75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2:15" customFormat="1" ht="12.75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2:15" customFormat="1" ht="12.75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2:15" customFormat="1" ht="12.75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2:15" customFormat="1" ht="12.75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2:15" customFormat="1" ht="12.75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2:15" customFormat="1" ht="12.75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2:15" customFormat="1" ht="12.75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2:15" customFormat="1" ht="12.75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2:15" customFormat="1" ht="12.75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2:15" customFormat="1" ht="12.75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2:15" customFormat="1" ht="12.75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2:15" customFormat="1" ht="12.75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2:15" customFormat="1" ht="12.75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2:15" customFormat="1" ht="12.75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2:15" customFormat="1" ht="12.75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2:15" customFormat="1" ht="12.75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2:15" customFormat="1" ht="12.75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2:15" customFormat="1" ht="12.75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2:15" customFormat="1" ht="12.75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2:15" customFormat="1" ht="12.75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2:15" customFormat="1" ht="12.75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2:15" customFormat="1" ht="12.75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2:15" customFormat="1" ht="12.75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2:15" customFormat="1" ht="12.75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2:15" customFormat="1" ht="12.75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2:15" customFormat="1" ht="12.75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2:15" customFormat="1" ht="12.75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2:15" customFormat="1" ht="12.75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2:15" customFormat="1" ht="12.75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2:15" customFormat="1" ht="12.75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2:15" customFormat="1" ht="12.75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2:15" customFormat="1" ht="12.75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2:15" customFormat="1" ht="12.75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2:15" customFormat="1" ht="12.75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2:15" customFormat="1" ht="12.75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2:15" customFormat="1" ht="12.75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2:15" customFormat="1" ht="12.75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2:15" customFormat="1" ht="12.75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2:15" customFormat="1" ht="12.75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2:15" customFormat="1" ht="12.75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2:15" customFormat="1" ht="12.75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2:15" customFormat="1" ht="12.75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2:15" customFormat="1" ht="12.75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2:15" customFormat="1" ht="12.75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2:15" customFormat="1" ht="12.75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2:15" customFormat="1" ht="12.75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2:15" customFormat="1" ht="12.75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2:15" customFormat="1" ht="12.75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2:15" customFormat="1" ht="12.75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2:15" customFormat="1" ht="12.75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2:15" customFormat="1" ht="12.75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2:15" customFormat="1" ht="12.75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2:15" customFormat="1" ht="12.75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2:15" customFormat="1" ht="12.75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2:15" customFormat="1" ht="12.75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2:15" customFormat="1" ht="12.75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2:15" customFormat="1" ht="12.75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2:15" customFormat="1" ht="12.75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2:15" customFormat="1" ht="12.75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2:15" customFormat="1" ht="12.75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2:15" customFormat="1" ht="12.75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2:15" customFormat="1" ht="12.75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2:15" customFormat="1" ht="12.75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2:15" customFormat="1" ht="12.75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2:15" customFormat="1" ht="12.75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2:15" customFormat="1" ht="12.75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2:15" customFormat="1" ht="12.75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2:15" customFormat="1" ht="12.75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2:15" customFormat="1" ht="12.75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2:15" customFormat="1" ht="12.75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2:15" customFormat="1" ht="12.75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2:15" customFormat="1" ht="12.75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2:15" customFormat="1" ht="12.75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2:15" customFormat="1" ht="12.75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2:15" customFormat="1" ht="12.75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2:15" customFormat="1" ht="12.75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2:15" customFormat="1" ht="12.75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2:15" customFormat="1" ht="12.75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2:15" customFormat="1" ht="12.75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2:15" customFormat="1" ht="12.75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2:15" customFormat="1" ht="12.75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2:15" customFormat="1" ht="12.75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2:15" customFormat="1" ht="12.75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2:15" customFormat="1" ht="12.75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2:15" customFormat="1" ht="12.75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2:15" customFormat="1" ht="12.75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2:15" customFormat="1" ht="12.75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2:15" customFormat="1" ht="12.75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2:15" customFormat="1" ht="12.75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2:15" customFormat="1" ht="12.75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2:15" customFormat="1" ht="12.75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2:15" customFormat="1" ht="12.75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2:15" customFormat="1" ht="12.75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2:15" customFormat="1" ht="12.75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2:15" customFormat="1" ht="12.75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2:15" customFormat="1" ht="12.75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2:15" customFormat="1" ht="12.75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2:15" customFormat="1" ht="12.75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2:15" customFormat="1" ht="12.75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2:15" customFormat="1" ht="12.75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2:15" customFormat="1" ht="12.75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2:15" customFormat="1" ht="12.75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2:15" customFormat="1" ht="12.75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2:15" customFormat="1" ht="12.75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2:15" customFormat="1" ht="12.75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2:15" customFormat="1" ht="12.75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2:15" customFormat="1" ht="12.75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2:15" customFormat="1" ht="12.75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2:15" customFormat="1" ht="12.75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2:15" customFormat="1" ht="12.75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2:15" customFormat="1" ht="12.75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2:15" customFormat="1" ht="12.75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2:15" customFormat="1" ht="12.75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2:15" customFormat="1" ht="12.75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2:15" customFormat="1" ht="12.75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2:15" customFormat="1" ht="12.75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2:15" customFormat="1" ht="12.75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2:15" customFormat="1" ht="12.75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2:15" customFormat="1" ht="12.75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2:15" customFormat="1" ht="12.75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2:15" customFormat="1" ht="12.75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2:15" customFormat="1" ht="12.75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2:15" customFormat="1" ht="12.75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2:15" customFormat="1" ht="12.75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2:15" customFormat="1" ht="12.75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2:15" customFormat="1" ht="12.75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2:15" customFormat="1" ht="12.75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2:15" customFormat="1" ht="12.75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2:15" customFormat="1" ht="12.75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2:15" customFormat="1" ht="12.75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2:15" customFormat="1" ht="12.75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2:15" customFormat="1" ht="12.75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2:15" customFormat="1" ht="12.75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2:15" customFormat="1" ht="12.75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2:15" customFormat="1" ht="12.75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2:15" customFormat="1" ht="12.75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2:15" customFormat="1" ht="12.75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2:15" customFormat="1" ht="12.75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2:15" customFormat="1" ht="12.75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2:15" customFormat="1" ht="12.75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2:15" customFormat="1" ht="12.75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2:15" customFormat="1" ht="12.75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2:15" customFormat="1" ht="12.75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2:15" customFormat="1" ht="12.75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2:15" customFormat="1" ht="12.75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2:15" customFormat="1" ht="12.75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2:15" customFormat="1" ht="12.75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2:15" customFormat="1" ht="12.75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2:15" customFormat="1" ht="12.75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2:15" customFormat="1" ht="12.75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2:15" customFormat="1" ht="12.75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2:15" customFormat="1" ht="12.75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2:15" customFormat="1" ht="12.75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2:15" customFormat="1" ht="12.75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2:15" customFormat="1" ht="12.75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2:15" customFormat="1" ht="12.75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2:15" customFormat="1" ht="12.75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2:15" customFormat="1" ht="12.75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2:15" customFormat="1" ht="12.75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2:15" customFormat="1" ht="12.75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2:15" customFormat="1" ht="12.75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2:15" customFormat="1" ht="12.75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2:15" customFormat="1" ht="12.75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2:15" customFormat="1" ht="12.75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2:15" customFormat="1" ht="12.75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2:15" customFormat="1" ht="12.75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2:15" customFormat="1" ht="12.75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2:15" customFormat="1" ht="12.75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2:15" customFormat="1" ht="12.75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2:15" customFormat="1" ht="12.75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2:15" customFormat="1" ht="12.75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2:15" customFormat="1" ht="12.75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2:15" customFormat="1" ht="12.75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2:15" customFormat="1" ht="12.75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2:15" customFormat="1" ht="12.75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2:15" customFormat="1" ht="12.75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2:15" customFormat="1" ht="12.75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2:15" customFormat="1" ht="12.75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2:15" customFormat="1" ht="12.75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2:15" customFormat="1" ht="12.75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2:15" customFormat="1" ht="12.75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2:15" customFormat="1" ht="12.75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2:15" customFormat="1" ht="12.75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2:15" customFormat="1" ht="12.75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2:15" customFormat="1" ht="12.75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2:15" customFormat="1" ht="12.75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2:15" customFormat="1" ht="12.75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2:15" customFormat="1" ht="12.75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2:15" customFormat="1" ht="12.75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2:15" customFormat="1" ht="12.75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2:15" customFormat="1" ht="12.75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2:15" customFormat="1" ht="12.75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2:15" customFormat="1" ht="12.75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2:15" customFormat="1" ht="12.75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2:15" customFormat="1" ht="12.75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2:15" customFormat="1" ht="12.75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2:15" customFormat="1" ht="12.75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2:15" customFormat="1" ht="12.75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2:15" customFormat="1" ht="12.75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2:15" customFormat="1" ht="12.75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2:15" customFormat="1" ht="12.75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2:15" customFormat="1" ht="12.75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2:15" customFormat="1" ht="12.75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2:15" customFormat="1" ht="12.75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2:15" customFormat="1" ht="12.75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2:15" customFormat="1" ht="12.75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2:15" customFormat="1" ht="12.75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2:15" customFormat="1" ht="12.75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2:15" customFormat="1" ht="12.75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2:15" customFormat="1" ht="12.75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2:15" customFormat="1" ht="12.75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2:15" customFormat="1" ht="12.75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2:15" customFormat="1" ht="12.75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2:15" customFormat="1" ht="12.75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2:15" customFormat="1" ht="12.75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2:15" customFormat="1" ht="12.75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2:15" customFormat="1" ht="12.75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2:15" customFormat="1" ht="12.75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2:15" customFormat="1" ht="12.75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2:15" customFormat="1" ht="12.75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2:15" customFormat="1" ht="12.75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2:15" customFormat="1" ht="12.75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2:15" customFormat="1" ht="12.75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2:15" customFormat="1" ht="12.75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2:15" customFormat="1" ht="12.75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2:15" customFormat="1" ht="12.75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2:15" customFormat="1" ht="12.75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2:15" customFormat="1" ht="12.75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2:15" customFormat="1" ht="12.75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2:15" customFormat="1" ht="12.75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2:15" customFormat="1" ht="12.75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2:15" customFormat="1" ht="12.75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2:15" customFormat="1" ht="12.75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2:15" customFormat="1" ht="12.75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2:15" customFormat="1" ht="12.75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2:15" customFormat="1" ht="12.75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2:15" customFormat="1" ht="12.75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2:15" customFormat="1" ht="12.75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2:15" customFormat="1" ht="12.75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2:15" customFormat="1" ht="12.75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2:15" customFormat="1" ht="12.75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2:15" customFormat="1" ht="12.75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2:15" customFormat="1" ht="12.75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2:15" customFormat="1" ht="12.75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2:15" customFormat="1" ht="12.75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2:15" customFormat="1" ht="12.75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2:15" customFormat="1" ht="12.75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2:15" customFormat="1" ht="12.75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2:15" customFormat="1" ht="12.75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2:15" customFormat="1" ht="12.75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2:15" customFormat="1" ht="12.75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2:15" customFormat="1" ht="12.75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2:15" customFormat="1" ht="12.75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2:15" customFormat="1" ht="12.75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2:15" customFormat="1" ht="12.75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2:15" customFormat="1" ht="12.75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2:15" customFormat="1" ht="12.75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2:15" customFormat="1" ht="12.75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2:15" customFormat="1" ht="12.75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2:15" customFormat="1" ht="12.75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2:15" customFormat="1" ht="12.75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2:15" customFormat="1" ht="12.75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2:15" customFormat="1" ht="12.75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2:15" customFormat="1" ht="12.75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2:15" customFormat="1" ht="12.75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2:15" customFormat="1" ht="12.75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2:15" customFormat="1" ht="12.75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2:15" customFormat="1" ht="12.75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2:15" customFormat="1" ht="12.75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2:15" customFormat="1" ht="12.75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2:15" customFormat="1" ht="12.75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2:15" customFormat="1" ht="12.75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2:15" customFormat="1" ht="12.75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2:15" customFormat="1" ht="12.75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2:15" customFormat="1" ht="12.75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2:15" customFormat="1" ht="12.75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2:15" customFormat="1" ht="12.75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2:15" customFormat="1" ht="12.75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2:15" customFormat="1" ht="12.75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2:15" customFormat="1" ht="12.75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2:15" customFormat="1" ht="12.75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2:15" customFormat="1" ht="12.75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2:15" customFormat="1" ht="12.75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2:15" customFormat="1" ht="12.75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2:15" customFormat="1" ht="12.75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2:15" customFormat="1" ht="12.75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2:15" customFormat="1" ht="12.75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2:15" customFormat="1" ht="12.75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2:15" customFormat="1" ht="12.75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2:15" customFormat="1" ht="12.75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2:15" customFormat="1" ht="12.75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2:15" customFormat="1" ht="12.75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2:15" customFormat="1" ht="12.75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2:15" customFormat="1" ht="12.75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2:15" customFormat="1" ht="12.75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2:15" customFormat="1" ht="12.75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2:15" customFormat="1" ht="12.75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2:15" customFormat="1" ht="12.75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2:15" customFormat="1" ht="12.75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2:15" customFormat="1" ht="12.75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2:15" customFormat="1" ht="12.75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2:15" customFormat="1" ht="12.75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2:15" customFormat="1" ht="12.75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2:15" customFormat="1" ht="12.75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2:15" customFormat="1" ht="12.75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2:15" customFormat="1" ht="12.75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2:15" customFormat="1" ht="12.75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2:15" customFormat="1" ht="12.75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2:15" customFormat="1" ht="12.75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2:15" customFormat="1" ht="12.75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2:15" customFormat="1" ht="12.75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2:15" customFormat="1" ht="12.75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2:15" customFormat="1" ht="12.75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2:15" customFormat="1" ht="12.75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2:15" customFormat="1" ht="12.75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2:15" customFormat="1" ht="12.75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2:15" customFormat="1" ht="12.75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2:15" customFormat="1" ht="12.75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2:15" customFormat="1" ht="12.75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2:15" customFormat="1" ht="12.75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2:15" customFormat="1" ht="12.75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2:15" customFormat="1" ht="12.75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2:15" customFormat="1" ht="12.75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2:15" customFormat="1" ht="12.75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2:15" customFormat="1" ht="12.75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2:15" customFormat="1" ht="12.75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2:15" customFormat="1" ht="12.75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2:15" customFormat="1" ht="12.75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2:15" customFormat="1" ht="12.75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2:15" customFormat="1" ht="12.75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2:15" customFormat="1" ht="12.75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2:15" customFormat="1" ht="12.75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2:15" customFormat="1" ht="12.75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2:15" customFormat="1" ht="12.75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2:15" customFormat="1" ht="12.75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2:15" customFormat="1" ht="12.75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2:15" customFormat="1" ht="12.75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2:15" customFormat="1" ht="12.75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2:15" customFormat="1" ht="12.75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2:15" customFormat="1" ht="12.75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2:15" customFormat="1" ht="12.75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2:15" customFormat="1" ht="12.75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2:15" customFormat="1" ht="12.75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2:15" customFormat="1" ht="12.75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2:15" customFormat="1" ht="12.75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2:15" customFormat="1" ht="12.75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2:15" customFormat="1" ht="12.75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2:15" customFormat="1" ht="12.75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2:15" customFormat="1" ht="12.75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2:15" customFormat="1" ht="12.75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2:15" customFormat="1" ht="12.75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2:15" customFormat="1" ht="12.75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2:15" customFormat="1" ht="12.75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2:15" customFormat="1" ht="12.75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2:15" customFormat="1" ht="12.75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2:15" customFormat="1" ht="12.75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2:15" customFormat="1" ht="12.75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2:15" customFormat="1" ht="12.75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2:15" customFormat="1" ht="12.75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2:15" customFormat="1" ht="12.75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2:15" customFormat="1" ht="12.75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2:15" customFormat="1" ht="12.75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2:15" customFormat="1" ht="12.75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2:15" customFormat="1" ht="12.75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2:15" customFormat="1" ht="12.75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2:15" customFormat="1" ht="12.75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2:15" customFormat="1" ht="12.75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2:15" customFormat="1" ht="12.75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2:15" customFormat="1" ht="12.75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2:15" customFormat="1" ht="12.75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2:15" customFormat="1" ht="12.75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2:15" customFormat="1" ht="12.75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2:15" customFormat="1" ht="12.75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2:15" customFormat="1" ht="12.75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2:15" customFormat="1" ht="12.75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2:15" customFormat="1" ht="12.75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2:15" customFormat="1" ht="12.75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2:15" customFormat="1" ht="12.75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2:15" customFormat="1" ht="12.75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2:15" customFormat="1" ht="12.75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2:15" customFormat="1" ht="12.75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2:15" customFormat="1" ht="12.75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2:15" customFormat="1" ht="12.75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2:15" customFormat="1" ht="12.75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2:15" customFormat="1" ht="12.75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2:15" customFormat="1" ht="12.75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2:15" customFormat="1" ht="12.75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2:15" customFormat="1" ht="12.75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2:15" customFormat="1" ht="12.75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2:15" customFormat="1" ht="12.75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2:15" customFormat="1" ht="12.75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2:15" customFormat="1" ht="12.75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2:15" customFormat="1" ht="12.75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2:15" customFormat="1" ht="12.75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2:15" customFormat="1" ht="12.75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2:15" customFormat="1" ht="12.75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2:15" customFormat="1" ht="12.75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2:15" customFormat="1" ht="12.75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2:15" customFormat="1" ht="12.75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2:15" customFormat="1" ht="12.75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2:15" customFormat="1" ht="12.75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2:15" customFormat="1" ht="12.75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2:15" customFormat="1" ht="12.75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2:15" customFormat="1" ht="12.75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2:15" customFormat="1" ht="12.75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2:15" customFormat="1" ht="12.75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2:15" customFormat="1" ht="12.75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2:15" customFormat="1" ht="12.75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2:15" customFormat="1" ht="12.75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2:15" customFormat="1" ht="12.75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2:15" customFormat="1" ht="12.75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2:15" customFormat="1" ht="12.75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2:15" customFormat="1" ht="12.75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2:15" customFormat="1" ht="12.75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2:15" customFormat="1" ht="12.75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2:15" customFormat="1" ht="12.75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2:15" customFormat="1" ht="12.75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2:15" customFormat="1" ht="12.75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2:15" customFormat="1" ht="12.75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2:15" customFormat="1" ht="12.75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2:15" customFormat="1" ht="12.75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2:15" customFormat="1" ht="12.75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2:15" customFormat="1" ht="12.75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2:15" customFormat="1" ht="12.75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2:15" customFormat="1" ht="12.75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2:15" customFormat="1" ht="12.75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2:15" customFormat="1" ht="12.75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2:15" customFormat="1" ht="12.75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2:15" customFormat="1" ht="12.75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2:15" customFormat="1" ht="12.75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2:15" customFormat="1" ht="12.75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2:15" customFormat="1" ht="12.75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2:15" customFormat="1" ht="12.75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2:15" customFormat="1" ht="12.75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2:15" customFormat="1" ht="12.75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2:15" customFormat="1" ht="12.75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2:15" customFormat="1" ht="12.75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2:15" customFormat="1" ht="12.75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2:15" customFormat="1" ht="12.75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2:15" customFormat="1" ht="12.75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2:15" customFormat="1" ht="12.75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2:15" customFormat="1" ht="12.75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2:15" customFormat="1" ht="12.75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2:15" customFormat="1" ht="12.75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2:15" customFormat="1" ht="12.75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2:15" customFormat="1" ht="12.75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2:15" customFormat="1" ht="12.75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2:15" customFormat="1" ht="12.75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2:15" customFormat="1" ht="12.75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2:15" customFormat="1" ht="12.75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2:15" customFormat="1" ht="12.75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2:15" customFormat="1" ht="12.75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2:15" customFormat="1" ht="12.75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2:15" customFormat="1" ht="12.75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2:15" customFormat="1" ht="12.75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2:15" customFormat="1" ht="12.75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2:15" customFormat="1" ht="12.75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2:15" customFormat="1" ht="12.75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2:15" customFormat="1" ht="12.75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2:15" customFormat="1" ht="12.75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2:15" customFormat="1" ht="12.75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2:15" customFormat="1" ht="12.75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2:15" customFormat="1" ht="12.75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2:15" customFormat="1" ht="12.75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2:15" customFormat="1" ht="12.75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2:15" customFormat="1" ht="12.75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2:15" customFormat="1" ht="12.75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2:15" customFormat="1" ht="12.75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2:15" customFormat="1" ht="12.75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2:15" customFormat="1" ht="12.75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2:15" customFormat="1" ht="12.75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2:15" customFormat="1" ht="12.75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2:15" customFormat="1" ht="12.75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2:15" customFormat="1" ht="12.75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2:15" customFormat="1" ht="12.75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2:15" customFormat="1" ht="12.75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2:15" customFormat="1" ht="12.75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2:15" customFormat="1" ht="12.75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2:15" customFormat="1" ht="12.75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2:15" customFormat="1" ht="12.75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2:15" customFormat="1" ht="12.75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2:15" customFormat="1" ht="12.75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2:15" customFormat="1" ht="12.75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2:15" customFormat="1" ht="12.75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2:15" customFormat="1" ht="12.75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2:15" customFormat="1" ht="12.75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2:15" customFormat="1" ht="12.75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2:15" customFormat="1" ht="12.75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2:15" customFormat="1" ht="12.75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2:15" customFormat="1" ht="12.75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2:15" customFormat="1" ht="12.75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2:15" customFormat="1" ht="12.75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2:15" customFormat="1" ht="12.75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2:15" customFormat="1" ht="12.75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2:15" customFormat="1" ht="12.75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2:15" customFormat="1" ht="12.75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2:15" customFormat="1" ht="12.75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2:15" customFormat="1" ht="12.75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2:15" customFormat="1" ht="12.75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2:15" customFormat="1" ht="12.75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2:15" customFormat="1" ht="12.75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2:15" customFormat="1" ht="12.75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2:15" customFormat="1" ht="12.75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2:15" customFormat="1" ht="12.75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2:15" customFormat="1" ht="12.75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2:15" customFormat="1" ht="12.75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2:15" customFormat="1" ht="12.75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2:15" customFormat="1" ht="12.75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2:15" customFormat="1" ht="12.75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2:15" customFormat="1" ht="12.75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2:15" customFormat="1" ht="12.75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2:15" customFormat="1" ht="12.75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2:15" customFormat="1" ht="12.75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2:15" customFormat="1" ht="12.75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2:15" customFormat="1" ht="12.75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2:15" customFormat="1" ht="12.75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2:15" customFormat="1" ht="12.75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2:15" customFormat="1" ht="12.75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2:15" customFormat="1" ht="12.75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2:15" customFormat="1" ht="12.75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2:15" customFormat="1" ht="12.75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2:15" customFormat="1" ht="12.75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2:15" customFormat="1" ht="12.75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2:15" customFormat="1" ht="12.75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2:15" customFormat="1" ht="12.75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2:15" customFormat="1" ht="12.75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2:15" customFormat="1" ht="12.75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2:15" customFormat="1" ht="12.75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2:15" customFormat="1" ht="12.75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2:15" customFormat="1" ht="12.75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2:15" customFormat="1" ht="12.75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2:15" customFormat="1" ht="12.75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2:15" customFormat="1" ht="12.75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2:15" customFormat="1" ht="12.75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2:15" customFormat="1" ht="12.75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2:15" customFormat="1" ht="12.75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2:15" customFormat="1" ht="12.75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2:15" customFormat="1" ht="12.75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2:15" customFormat="1" ht="12.75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2:15" customFormat="1" ht="12.75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2:15" customFormat="1" ht="12.75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2:15" customFormat="1" ht="12.75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2:15" customFormat="1" ht="12.75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2:15" customFormat="1" ht="12.75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2:15" customFormat="1" ht="12.75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2:15" customFormat="1" ht="12.75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2:15" customFormat="1" ht="12.75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2:15" customFormat="1" ht="12.75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2:15" customFormat="1" ht="12.75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2:15" customFormat="1" ht="12.75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2:15" customFormat="1" ht="12.75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2:15" customFormat="1" ht="12.75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2:15" customFormat="1" ht="12.75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2:15" customFormat="1" ht="12.75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2:15" customFormat="1" ht="12.75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2:15" customFormat="1" ht="12.75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2:15" customFormat="1" ht="12.75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2:15" customFormat="1" ht="12.75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2:15" customFormat="1" ht="12.75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2:15" customFormat="1" ht="12.75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2:15" customFormat="1" ht="12.75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2:15" customFormat="1" ht="12.75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2:15" customFormat="1" ht="12.75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2:15" customFormat="1" ht="12.75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2:15" customFormat="1" ht="12.75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2:15" customFormat="1" ht="12.75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2:15" customFormat="1" ht="12.75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2:15" customFormat="1" ht="12.75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2:15" customFormat="1" ht="12.75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2:15" customFormat="1" ht="12.75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2:15" customFormat="1" ht="12.75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2:15" customFormat="1" ht="12.75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2:15" customFormat="1" ht="12.75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2:15" customFormat="1" ht="12.75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2:15" customFormat="1" ht="12.75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2:15" customFormat="1" ht="12.75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2:15" customFormat="1" ht="12.75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2:15" customFormat="1" ht="12.75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2:15" customFormat="1" ht="12.75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2:15" customFormat="1" ht="12.75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2:15" customFormat="1" ht="12.75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2:15" customFormat="1" ht="12.75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2:15" customFormat="1" ht="12.75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2:15" customFormat="1" ht="12.75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2:15" customFormat="1" ht="12.75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2:15" customFormat="1" ht="12.75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2:15" customFormat="1" ht="12.75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2:15" customFormat="1" ht="12.75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2:15" customFormat="1" ht="12.75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2:15" customFormat="1" ht="12.75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2:15" customFormat="1" ht="12.75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2:15" customFormat="1" ht="12.75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2:15" customFormat="1" ht="12.75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2:15" customFormat="1" ht="12.75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2:15" customFormat="1" ht="12.75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2:15" customFormat="1" ht="12.75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2:15" customFormat="1" ht="12.75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2:15" customFormat="1" ht="12.75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2:15" customFormat="1" ht="12.75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2:15" customFormat="1" ht="12.75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2:15" customFormat="1" ht="12.75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</sheetData>
  <mergeCells count="21">
    <mergeCell ref="J4:K4"/>
    <mergeCell ref="L5:L6"/>
    <mergeCell ref="M5:M6"/>
    <mergeCell ref="P5:P6"/>
    <mergeCell ref="L4:M4"/>
    <mergeCell ref="F5:F6"/>
    <mergeCell ref="P4:Q4"/>
    <mergeCell ref="J5:J6"/>
    <mergeCell ref="K5:K6"/>
    <mergeCell ref="G5:I5"/>
    <mergeCell ref="O5:O6"/>
    <mergeCell ref="A1:Q1"/>
    <mergeCell ref="A3:O3"/>
    <mergeCell ref="A4:A6"/>
    <mergeCell ref="B4:E4"/>
    <mergeCell ref="F4:I4"/>
    <mergeCell ref="B5:B6"/>
    <mergeCell ref="N5:N6"/>
    <mergeCell ref="C5:E5"/>
    <mergeCell ref="Q5:Q6"/>
    <mergeCell ref="N4:O4"/>
  </mergeCells>
  <conditionalFormatting sqref="B7:B19">
    <cfRule type="cellIs" dxfId="691" priority="16" stopIfTrue="1" operator="equal">
      <formula>0</formula>
    </cfRule>
  </conditionalFormatting>
  <conditionalFormatting sqref="C7:C19">
    <cfRule type="cellIs" dxfId="690" priority="15" stopIfTrue="1" operator="equal">
      <formula>0</formula>
    </cfRule>
  </conditionalFormatting>
  <conditionalFormatting sqref="D7:D19">
    <cfRule type="cellIs" dxfId="689" priority="14" stopIfTrue="1" operator="equal">
      <formula>0</formula>
    </cfRule>
  </conditionalFormatting>
  <conditionalFormatting sqref="E7:E19">
    <cfRule type="cellIs" dxfId="688" priority="13" stopIfTrue="1" operator="equal">
      <formula>0</formula>
    </cfRule>
  </conditionalFormatting>
  <conditionalFormatting sqref="F7:F19">
    <cfRule type="cellIs" dxfId="687" priority="12" stopIfTrue="1" operator="equal">
      <formula>0</formula>
    </cfRule>
  </conditionalFormatting>
  <conditionalFormatting sqref="G7:G19">
    <cfRule type="cellIs" dxfId="686" priority="11" stopIfTrue="1" operator="equal">
      <formula>0</formula>
    </cfRule>
  </conditionalFormatting>
  <conditionalFormatting sqref="H7:H19">
    <cfRule type="cellIs" dxfId="685" priority="10" stopIfTrue="1" operator="equal">
      <formula>0</formula>
    </cfRule>
  </conditionalFormatting>
  <conditionalFormatting sqref="I7:I19">
    <cfRule type="cellIs" dxfId="684" priority="9" stopIfTrue="1" operator="equal">
      <formula>0</formula>
    </cfRule>
  </conditionalFormatting>
  <conditionalFormatting sqref="J7:J19">
    <cfRule type="cellIs" dxfId="683" priority="8" stopIfTrue="1" operator="equal">
      <formula>0</formula>
    </cfRule>
  </conditionalFormatting>
  <conditionalFormatting sqref="K7:K19">
    <cfRule type="cellIs" dxfId="682" priority="7" stopIfTrue="1" operator="equal">
      <formula>0</formula>
    </cfRule>
  </conditionalFormatting>
  <conditionalFormatting sqref="L7:L19">
    <cfRule type="cellIs" dxfId="681" priority="6" stopIfTrue="1" operator="equal">
      <formula>0</formula>
    </cfRule>
  </conditionalFormatting>
  <conditionalFormatting sqref="M7:M19">
    <cfRule type="cellIs" dxfId="680" priority="5" stopIfTrue="1" operator="equal">
      <formula>0</formula>
    </cfRule>
  </conditionalFormatting>
  <conditionalFormatting sqref="N7:N19">
    <cfRule type="cellIs" dxfId="679" priority="4" stopIfTrue="1" operator="equal">
      <formula>0</formula>
    </cfRule>
  </conditionalFormatting>
  <conditionalFormatting sqref="O7:O19">
    <cfRule type="cellIs" dxfId="678" priority="3" stopIfTrue="1" operator="equal">
      <formula>0</formula>
    </cfRule>
  </conditionalFormatting>
  <conditionalFormatting sqref="P7:P19">
    <cfRule type="cellIs" dxfId="677" priority="2" stopIfTrue="1" operator="equal">
      <formula>0</formula>
    </cfRule>
  </conditionalFormatting>
  <conditionalFormatting sqref="Q7:Q19">
    <cfRule type="cellIs" dxfId="676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D6F5-E28A-4776-92D9-CD5B7B4557B1}">
  <dimension ref="A1:N945"/>
  <sheetViews>
    <sheetView zoomScale="108" zoomScaleNormal="150" workbookViewId="0">
      <selection sqref="A1:N1"/>
    </sheetView>
  </sheetViews>
  <sheetFormatPr defaultRowHeight="12" x14ac:dyDescent="0.2"/>
  <cols>
    <col min="1" max="1" width="23.85546875" style="9" bestFit="1" customWidth="1"/>
    <col min="2" max="2" width="10.42578125" style="9" customWidth="1"/>
    <col min="3" max="4" width="10.5703125" style="9" customWidth="1"/>
    <col min="5" max="14" width="9.5703125" style="9" customWidth="1"/>
    <col min="15" max="16384" width="9.140625" style="9"/>
  </cols>
  <sheetData>
    <row r="1" spans="1:14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1"/>
      <c r="M2" s="41"/>
      <c r="N2" s="42" t="s">
        <v>32</v>
      </c>
    </row>
    <row r="3" spans="1:14" ht="12.75" x14ac:dyDescent="0.2">
      <c r="A3" s="27" t="s">
        <v>282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4" s="11" customFormat="1" ht="12.75" customHeight="1" x14ac:dyDescent="0.2">
      <c r="A4" s="123" t="s">
        <v>30</v>
      </c>
      <c r="B4" s="181" t="s">
        <v>236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</row>
    <row r="5" spans="1:14" s="11" customFormat="1" ht="14.25" customHeight="1" x14ac:dyDescent="0.2">
      <c r="A5" s="123"/>
      <c r="B5" s="121" t="s">
        <v>237</v>
      </c>
      <c r="C5" s="121"/>
      <c r="D5" s="121"/>
      <c r="E5" s="121"/>
      <c r="F5" s="121" t="s">
        <v>238</v>
      </c>
      <c r="G5" s="121"/>
      <c r="H5" s="121"/>
      <c r="I5" s="121"/>
      <c r="J5" s="121"/>
      <c r="K5" s="121"/>
      <c r="L5" s="121"/>
      <c r="M5" s="121"/>
      <c r="N5" s="121"/>
    </row>
    <row r="6" spans="1:14" s="11" customFormat="1" ht="14.25" customHeight="1" x14ac:dyDescent="0.2">
      <c r="A6" s="123"/>
      <c r="B6" s="121"/>
      <c r="C6" s="121"/>
      <c r="D6" s="121"/>
      <c r="E6" s="121"/>
      <c r="F6" s="121" t="s">
        <v>47</v>
      </c>
      <c r="G6" s="121"/>
      <c r="H6" s="121"/>
      <c r="I6" s="121" t="s">
        <v>239</v>
      </c>
      <c r="J6" s="121"/>
      <c r="K6" s="121"/>
      <c r="L6" s="121" t="s">
        <v>240</v>
      </c>
      <c r="M6" s="121"/>
      <c r="N6" s="121"/>
    </row>
    <row r="7" spans="1:14" s="11" customFormat="1" ht="14.25" customHeight="1" x14ac:dyDescent="0.2">
      <c r="A7" s="123"/>
      <c r="B7" s="121" t="s">
        <v>41</v>
      </c>
      <c r="C7" s="121" t="s">
        <v>241</v>
      </c>
      <c r="D7" s="121"/>
      <c r="E7" s="121"/>
      <c r="F7" s="121" t="s">
        <v>241</v>
      </c>
      <c r="G7" s="121"/>
      <c r="H7" s="121"/>
      <c r="I7" s="121" t="s">
        <v>241</v>
      </c>
      <c r="J7" s="121"/>
      <c r="K7" s="121"/>
      <c r="L7" s="121" t="s">
        <v>241</v>
      </c>
      <c r="M7" s="121"/>
      <c r="N7" s="121"/>
    </row>
    <row r="8" spans="1:14" s="11" customFormat="1" ht="14.25" customHeight="1" x14ac:dyDescent="0.2">
      <c r="A8" s="123"/>
      <c r="B8" s="121"/>
      <c r="C8" s="34" t="s">
        <v>47</v>
      </c>
      <c r="D8" s="34" t="s">
        <v>242</v>
      </c>
      <c r="E8" s="34" t="s">
        <v>243</v>
      </c>
      <c r="F8" s="34" t="s">
        <v>47</v>
      </c>
      <c r="G8" s="34" t="s">
        <v>242</v>
      </c>
      <c r="H8" s="34" t="s">
        <v>243</v>
      </c>
      <c r="I8" s="34" t="s">
        <v>47</v>
      </c>
      <c r="J8" s="34" t="s">
        <v>242</v>
      </c>
      <c r="K8" s="34" t="s">
        <v>243</v>
      </c>
      <c r="L8" s="34" t="s">
        <v>47</v>
      </c>
      <c r="M8" s="34" t="s">
        <v>242</v>
      </c>
      <c r="N8" s="34" t="s">
        <v>243</v>
      </c>
    </row>
    <row r="9" spans="1:14" s="6" customFormat="1" ht="20.45" customHeight="1" x14ac:dyDescent="0.2">
      <c r="A9" s="69" t="s">
        <v>0</v>
      </c>
      <c r="B9" s="70">
        <v>47226.966088294983</v>
      </c>
      <c r="C9" s="70">
        <v>104155.61269187905</v>
      </c>
      <c r="D9" s="70">
        <v>91483.977878570557</v>
      </c>
      <c r="E9" s="70">
        <v>12671.634813308707</v>
      </c>
      <c r="F9" s="70">
        <v>28079.106415510181</v>
      </c>
      <c r="G9" s="70">
        <v>24547.171913862192</v>
      </c>
      <c r="H9" s="70">
        <v>3531.9345016479388</v>
      </c>
      <c r="I9" s="70">
        <v>13819.587240219107</v>
      </c>
      <c r="J9" s="70">
        <v>11842.533710002928</v>
      </c>
      <c r="K9" s="70">
        <v>1977.0535302162104</v>
      </c>
      <c r="L9" s="70">
        <v>14259.519175291025</v>
      </c>
      <c r="M9" s="70">
        <v>12704.638203859349</v>
      </c>
      <c r="N9" s="70">
        <v>1554.8809714317347</v>
      </c>
    </row>
    <row r="10" spans="1:14" s="6" customFormat="1" ht="20.45" customHeight="1" x14ac:dyDescent="0.2">
      <c r="A10" s="29" t="s">
        <v>1</v>
      </c>
      <c r="B10" s="51">
        <v>1661193.8991160393</v>
      </c>
      <c r="C10" s="51">
        <v>4455121.8048416553</v>
      </c>
      <c r="D10" s="51">
        <v>4160420.7699724943</v>
      </c>
      <c r="E10" s="51">
        <v>294701.03486919275</v>
      </c>
      <c r="F10" s="51">
        <v>771464.77737461566</v>
      </c>
      <c r="G10" s="51">
        <v>693768.55534636881</v>
      </c>
      <c r="H10" s="51">
        <v>77696.222028256496</v>
      </c>
      <c r="I10" s="51">
        <v>396869.84900510072</v>
      </c>
      <c r="J10" s="51">
        <v>361548.12174856797</v>
      </c>
      <c r="K10" s="51">
        <v>35321.727256535727</v>
      </c>
      <c r="L10" s="51">
        <v>374594.9283695232</v>
      </c>
      <c r="M10" s="51">
        <v>332220.43359780201</v>
      </c>
      <c r="N10" s="51">
        <v>42374.494771718928</v>
      </c>
    </row>
    <row r="11" spans="1:14" customFormat="1" ht="20.45" customHeight="1" x14ac:dyDescent="0.2">
      <c r="A11" s="30" t="s">
        <v>2</v>
      </c>
      <c r="B11" s="53">
        <v>90802.653904438019</v>
      </c>
      <c r="C11" s="53">
        <v>206290.91935241196</v>
      </c>
      <c r="D11" s="53">
        <v>192204.26938617256</v>
      </c>
      <c r="E11" s="53">
        <v>14086.649966239935</v>
      </c>
      <c r="F11" s="53">
        <v>42676.854792356666</v>
      </c>
      <c r="G11" s="53">
        <v>38736.925705671398</v>
      </c>
      <c r="H11" s="53">
        <v>3939.9290866851757</v>
      </c>
      <c r="I11" s="53">
        <v>20101.559741020315</v>
      </c>
      <c r="J11" s="53">
        <v>18533.668207168579</v>
      </c>
      <c r="K11" s="53">
        <v>1567.8915338516272</v>
      </c>
      <c r="L11" s="53">
        <v>22575.295051336387</v>
      </c>
      <c r="M11" s="53">
        <v>20203.257498502735</v>
      </c>
      <c r="N11" s="53">
        <v>2372.0375528335535</v>
      </c>
    </row>
    <row r="12" spans="1:14" customFormat="1" ht="20.45" customHeight="1" x14ac:dyDescent="0.2">
      <c r="A12" s="30" t="s">
        <v>3</v>
      </c>
      <c r="B12" s="53">
        <v>221719.93274748325</v>
      </c>
      <c r="C12" s="53">
        <v>555068.60997617408</v>
      </c>
      <c r="D12" s="53">
        <v>527096.37785804167</v>
      </c>
      <c r="E12" s="53">
        <v>27972.23211812977</v>
      </c>
      <c r="F12" s="53">
        <v>93658.404640317254</v>
      </c>
      <c r="G12" s="53">
        <v>86951.997992634628</v>
      </c>
      <c r="H12" s="53">
        <v>6706.4066476822445</v>
      </c>
      <c r="I12" s="53">
        <v>47954.443558454303</v>
      </c>
      <c r="J12" s="53">
        <v>44673.748391866611</v>
      </c>
      <c r="K12" s="53">
        <v>3280.6951665878269</v>
      </c>
      <c r="L12" s="53">
        <v>45703.961081862355</v>
      </c>
      <c r="M12" s="53">
        <v>42278.249600768148</v>
      </c>
      <c r="N12" s="53">
        <v>3425.7114810943649</v>
      </c>
    </row>
    <row r="13" spans="1:14" customFormat="1" ht="20.45" customHeight="1" x14ac:dyDescent="0.2">
      <c r="A13" s="30" t="s">
        <v>4</v>
      </c>
      <c r="B13" s="53">
        <v>603390.90137243271</v>
      </c>
      <c r="C13" s="53">
        <v>1574117.1702538677</v>
      </c>
      <c r="D13" s="53">
        <v>1487644.2897781073</v>
      </c>
      <c r="E13" s="53">
        <v>86472.880475759594</v>
      </c>
      <c r="F13" s="53">
        <v>257131.46068310851</v>
      </c>
      <c r="G13" s="53">
        <v>235186.23210501741</v>
      </c>
      <c r="H13" s="53">
        <v>21945.228578090246</v>
      </c>
      <c r="I13" s="53">
        <v>133065.68372607484</v>
      </c>
      <c r="J13" s="53">
        <v>123409.86298727873</v>
      </c>
      <c r="K13" s="53">
        <v>9655.820738792585</v>
      </c>
      <c r="L13" s="53">
        <v>124065.77695703685</v>
      </c>
      <c r="M13" s="53">
        <v>111776.36911773717</v>
      </c>
      <c r="N13" s="53">
        <v>12289.407839298279</v>
      </c>
    </row>
    <row r="14" spans="1:14" customFormat="1" ht="20.45" customHeight="1" x14ac:dyDescent="0.2">
      <c r="A14" s="30" t="s">
        <v>5</v>
      </c>
      <c r="B14" s="53">
        <v>456869.19260299206</v>
      </c>
      <c r="C14" s="53">
        <v>1249035.4288666272</v>
      </c>
      <c r="D14" s="53">
        <v>1167755.8521089533</v>
      </c>
      <c r="E14" s="53">
        <v>81279.576757669318</v>
      </c>
      <c r="F14" s="53">
        <v>208479.28688597449</v>
      </c>
      <c r="G14" s="53">
        <v>186765.9298536772</v>
      </c>
      <c r="H14" s="53">
        <v>21713.357032299213</v>
      </c>
      <c r="I14" s="53">
        <v>108219.52490055397</v>
      </c>
      <c r="J14" s="53">
        <v>97861.604252696547</v>
      </c>
      <c r="K14" s="53">
        <v>10357.920647859512</v>
      </c>
      <c r="L14" s="53">
        <v>100259.76198542216</v>
      </c>
      <c r="M14" s="53">
        <v>88904.325600980796</v>
      </c>
      <c r="N14" s="53">
        <v>11355.436384439454</v>
      </c>
    </row>
    <row r="15" spans="1:14" customFormat="1" ht="20.45" customHeight="1" x14ac:dyDescent="0.2">
      <c r="A15" s="30" t="s">
        <v>6</v>
      </c>
      <c r="B15" s="53">
        <v>222813.1132042408</v>
      </c>
      <c r="C15" s="53">
        <v>648629.99811279587</v>
      </c>
      <c r="D15" s="53">
        <v>595355.81525289814</v>
      </c>
      <c r="E15" s="53">
        <v>53274.182859897643</v>
      </c>
      <c r="F15" s="53">
        <v>121206.66443312242</v>
      </c>
      <c r="G15" s="53">
        <v>106100.10879814684</v>
      </c>
      <c r="H15" s="53">
        <v>15106.555634975335</v>
      </c>
      <c r="I15" s="53">
        <v>62787.032100200471</v>
      </c>
      <c r="J15" s="53">
        <v>55962.613995074629</v>
      </c>
      <c r="K15" s="53">
        <v>6824.4181051254409</v>
      </c>
      <c r="L15" s="53">
        <v>58419.632332921363</v>
      </c>
      <c r="M15" s="53">
        <v>50137.494803071095</v>
      </c>
      <c r="N15" s="53">
        <v>8282.1375298499534</v>
      </c>
    </row>
    <row r="16" spans="1:14" customFormat="1" ht="20.45" customHeight="1" x14ac:dyDescent="0.2">
      <c r="A16" s="30" t="s">
        <v>7</v>
      </c>
      <c r="B16" s="53">
        <v>44460.567603111267</v>
      </c>
      <c r="C16" s="53">
        <v>141753.2041906119</v>
      </c>
      <c r="D16" s="53">
        <v>125516.70933949992</v>
      </c>
      <c r="E16" s="53">
        <v>16236.494851112371</v>
      </c>
      <c r="F16" s="53">
        <v>29321.704189777392</v>
      </c>
      <c r="G16" s="53">
        <v>25106.20245695116</v>
      </c>
      <c r="H16" s="53">
        <v>4215.5017328262302</v>
      </c>
      <c r="I16" s="53">
        <v>15296.188035845778</v>
      </c>
      <c r="J16" s="53">
        <v>13274.757117629048</v>
      </c>
      <c r="K16" s="53">
        <v>2021.4309182167126</v>
      </c>
      <c r="L16" s="53">
        <v>14025.516153931641</v>
      </c>
      <c r="M16" s="53">
        <v>11831.445339322081</v>
      </c>
      <c r="N16" s="53">
        <v>2194.0708146095285</v>
      </c>
    </row>
    <row r="17" spans="1:14" customFormat="1" ht="20.45" customHeight="1" x14ac:dyDescent="0.2">
      <c r="A17" s="30" t="s">
        <v>8</v>
      </c>
      <c r="B17" s="53">
        <v>13229.18252825737</v>
      </c>
      <c r="C17" s="53">
        <v>46321.990645885475</v>
      </c>
      <c r="D17" s="53">
        <v>41168.756665706613</v>
      </c>
      <c r="E17" s="53">
        <v>5153.2339801788339</v>
      </c>
      <c r="F17" s="53">
        <v>10588.127777457241</v>
      </c>
      <c r="G17" s="53">
        <v>9056.3054260015306</v>
      </c>
      <c r="H17" s="53">
        <v>1531.8223514556901</v>
      </c>
      <c r="I17" s="53">
        <v>5604.8410962820053</v>
      </c>
      <c r="J17" s="53">
        <v>4817.2310608625357</v>
      </c>
      <c r="K17" s="53">
        <v>787.61003541946457</v>
      </c>
      <c r="L17" s="53">
        <v>4983.2866811752256</v>
      </c>
      <c r="M17" s="53">
        <v>4239.0743651390085</v>
      </c>
      <c r="N17" s="53">
        <v>744.21231603622357</v>
      </c>
    </row>
    <row r="18" spans="1:14" customFormat="1" ht="20.45" customHeight="1" x14ac:dyDescent="0.2">
      <c r="A18" s="30" t="s">
        <v>9</v>
      </c>
      <c r="B18" s="53">
        <v>4108.236892580986</v>
      </c>
      <c r="C18" s="53">
        <v>18269.641281723965</v>
      </c>
      <c r="D18" s="53">
        <v>12335.418383240705</v>
      </c>
      <c r="E18" s="53">
        <v>5934.2228984832755</v>
      </c>
      <c r="F18" s="53">
        <v>4554.9467949867194</v>
      </c>
      <c r="G18" s="53">
        <v>2947.7195148467986</v>
      </c>
      <c r="H18" s="53">
        <v>1607.2272801399222</v>
      </c>
      <c r="I18" s="53">
        <v>2025.5282425880409</v>
      </c>
      <c r="J18" s="53">
        <v>1576.1317629814155</v>
      </c>
      <c r="K18" s="53">
        <v>449.39647960662859</v>
      </c>
      <c r="L18" s="53">
        <v>2529.4185523986816</v>
      </c>
      <c r="M18" s="53">
        <v>1371.5877518653876</v>
      </c>
      <c r="N18" s="53">
        <v>1157.8308005332945</v>
      </c>
    </row>
    <row r="19" spans="1:14" customFormat="1" ht="20.45" customHeight="1" x14ac:dyDescent="0.2">
      <c r="A19" s="30" t="s">
        <v>10</v>
      </c>
      <c r="B19" s="53">
        <v>3324.8608466386795</v>
      </c>
      <c r="C19" s="53">
        <v>13406.00938260554</v>
      </c>
      <c r="D19" s="53">
        <v>9937.5242694616263</v>
      </c>
      <c r="E19" s="53">
        <v>3468.4851131439218</v>
      </c>
      <c r="F19" s="53">
        <v>3252.0608687400854</v>
      </c>
      <c r="G19" s="53">
        <v>2439.432336807251</v>
      </c>
      <c r="H19" s="53">
        <v>812.62853193283127</v>
      </c>
      <c r="I19" s="53">
        <v>1553.2628436088546</v>
      </c>
      <c r="J19" s="53">
        <v>1184.7840270996103</v>
      </c>
      <c r="K19" s="53">
        <v>368.47881650924694</v>
      </c>
      <c r="L19" s="53">
        <v>1698.7980251312272</v>
      </c>
      <c r="M19" s="53">
        <v>1254.6483097076409</v>
      </c>
      <c r="N19" s="53">
        <v>444.14971542358484</v>
      </c>
    </row>
    <row r="20" spans="1:14" customFormat="1" ht="20.45" customHeight="1" x14ac:dyDescent="0.2">
      <c r="A20" s="30" t="s">
        <v>11</v>
      </c>
      <c r="B20" s="53">
        <v>475.25741386413574</v>
      </c>
      <c r="C20" s="53">
        <v>2228.8327789306641</v>
      </c>
      <c r="D20" s="53">
        <v>1405.75693035125</v>
      </c>
      <c r="E20" s="53">
        <v>823.07584857940674</v>
      </c>
      <c r="F20" s="53">
        <v>595.26630878448498</v>
      </c>
      <c r="G20" s="53">
        <v>477.70115661621088</v>
      </c>
      <c r="H20" s="53">
        <v>117.56515216827394</v>
      </c>
      <c r="I20" s="53">
        <v>261.78476047515858</v>
      </c>
      <c r="J20" s="53">
        <v>253.71994590759266</v>
      </c>
      <c r="K20" s="53">
        <v>8.0648145675659162</v>
      </c>
      <c r="L20" s="53">
        <v>333.48154830932606</v>
      </c>
      <c r="M20" s="53">
        <v>223.98121070861816</v>
      </c>
      <c r="N20" s="53">
        <v>109.50033760070798</v>
      </c>
    </row>
    <row r="21" spans="1:14" s="6" customFormat="1" ht="20.45" customHeight="1" x14ac:dyDescent="0.2">
      <c r="A21" s="31" t="s">
        <v>12</v>
      </c>
      <c r="B21" s="25">
        <f>B9+B10</f>
        <v>1708420.8652043343</v>
      </c>
      <c r="C21" s="25">
        <f t="shared" ref="C21:N21" si="0">C9+C10</f>
        <v>4559277.4175335346</v>
      </c>
      <c r="D21" s="25">
        <f t="shared" si="0"/>
        <v>4251904.7478510644</v>
      </c>
      <c r="E21" s="25">
        <f t="shared" si="0"/>
        <v>307372.66968250147</v>
      </c>
      <c r="F21" s="25">
        <f t="shared" si="0"/>
        <v>799543.88379012584</v>
      </c>
      <c r="G21" s="25">
        <f t="shared" si="0"/>
        <v>718315.72726023104</v>
      </c>
      <c r="H21" s="25">
        <f t="shared" si="0"/>
        <v>81228.15652990443</v>
      </c>
      <c r="I21" s="25">
        <f t="shared" si="0"/>
        <v>410689.43624531984</v>
      </c>
      <c r="J21" s="25">
        <f t="shared" si="0"/>
        <v>373390.65545857092</v>
      </c>
      <c r="K21" s="25">
        <f t="shared" si="0"/>
        <v>37298.780786751937</v>
      </c>
      <c r="L21" s="25">
        <f t="shared" si="0"/>
        <v>388854.4475448142</v>
      </c>
      <c r="M21" s="25">
        <f t="shared" si="0"/>
        <v>344925.07180166134</v>
      </c>
      <c r="N21" s="25">
        <f t="shared" si="0"/>
        <v>43929.37574315066</v>
      </c>
    </row>
    <row r="22" spans="1:14" customFormat="1" ht="12.75" x14ac:dyDescent="0.2"/>
    <row r="23" spans="1:14" customFormat="1" ht="12.75" x14ac:dyDescent="0.2"/>
    <row r="24" spans="1:14" customFormat="1" ht="12.75" x14ac:dyDescent="0.2"/>
    <row r="25" spans="1:14" customFormat="1" ht="12.75" x14ac:dyDescent="0.2"/>
    <row r="26" spans="1:14" customFormat="1" ht="12.75" x14ac:dyDescent="0.2"/>
    <row r="27" spans="1:14" customFormat="1" ht="12.75" x14ac:dyDescent="0.2"/>
    <row r="28" spans="1:14" customFormat="1" ht="12.75" x14ac:dyDescent="0.2"/>
    <row r="29" spans="1:14" customFormat="1" ht="12.75" x14ac:dyDescent="0.2"/>
    <row r="30" spans="1:14" customFormat="1" ht="12.75" x14ac:dyDescent="0.2"/>
    <row r="31" spans="1:14" customFormat="1" ht="12.75" x14ac:dyDescent="0.2"/>
    <row r="32" spans="1:14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</sheetData>
  <mergeCells count="13">
    <mergeCell ref="L6:N6"/>
    <mergeCell ref="B7:B8"/>
    <mergeCell ref="C7:E7"/>
    <mergeCell ref="F7:H7"/>
    <mergeCell ref="I7:K7"/>
    <mergeCell ref="L7:N7"/>
    <mergeCell ref="A1:N1"/>
    <mergeCell ref="A4:A8"/>
    <mergeCell ref="B4:N4"/>
    <mergeCell ref="B5:E6"/>
    <mergeCell ref="F5:N5"/>
    <mergeCell ref="F6:H6"/>
    <mergeCell ref="I6:K6"/>
  </mergeCells>
  <conditionalFormatting sqref="B9:B21">
    <cfRule type="cellIs" dxfId="675" priority="13" stopIfTrue="1" operator="equal">
      <formula>0</formula>
    </cfRule>
  </conditionalFormatting>
  <conditionalFormatting sqref="C9:C21">
    <cfRule type="cellIs" dxfId="674" priority="12" stopIfTrue="1" operator="equal">
      <formula>0</formula>
    </cfRule>
  </conditionalFormatting>
  <conditionalFormatting sqref="D9:D21">
    <cfRule type="cellIs" dxfId="673" priority="11" stopIfTrue="1" operator="equal">
      <formula>0</formula>
    </cfRule>
  </conditionalFormatting>
  <conditionalFormatting sqref="E9:E21">
    <cfRule type="cellIs" dxfId="672" priority="10" stopIfTrue="1" operator="equal">
      <formula>0</formula>
    </cfRule>
  </conditionalFormatting>
  <conditionalFormatting sqref="F9:F21">
    <cfRule type="cellIs" dxfId="671" priority="9" stopIfTrue="1" operator="equal">
      <formula>0</formula>
    </cfRule>
  </conditionalFormatting>
  <conditionalFormatting sqref="G9:G21">
    <cfRule type="cellIs" dxfId="670" priority="8" stopIfTrue="1" operator="equal">
      <formula>0</formula>
    </cfRule>
  </conditionalFormatting>
  <conditionalFormatting sqref="H9:H21">
    <cfRule type="cellIs" dxfId="669" priority="7" stopIfTrue="1" operator="equal">
      <formula>0</formula>
    </cfRule>
  </conditionalFormatting>
  <conditionalFormatting sqref="I9:I21">
    <cfRule type="cellIs" dxfId="668" priority="6" stopIfTrue="1" operator="equal">
      <formula>0</formula>
    </cfRule>
  </conditionalFormatting>
  <conditionalFormatting sqref="J9:J21">
    <cfRule type="cellIs" dxfId="667" priority="5" stopIfTrue="1" operator="equal">
      <formula>0</formula>
    </cfRule>
  </conditionalFormatting>
  <conditionalFormatting sqref="K9:K21">
    <cfRule type="cellIs" dxfId="666" priority="4" stopIfTrue="1" operator="equal">
      <formula>0</formula>
    </cfRule>
  </conditionalFormatting>
  <conditionalFormatting sqref="L9:L21">
    <cfRule type="cellIs" dxfId="665" priority="3" stopIfTrue="1" operator="equal">
      <formula>0</formula>
    </cfRule>
  </conditionalFormatting>
  <conditionalFormatting sqref="M9:M21">
    <cfRule type="cellIs" dxfId="664" priority="2" stopIfTrue="1" operator="equal">
      <formula>0</formula>
    </cfRule>
  </conditionalFormatting>
  <conditionalFormatting sqref="N9:N21">
    <cfRule type="cellIs" dxfId="663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6AF5-89A8-4F75-8B33-BAAB68D1FCBD}">
  <dimension ref="A1:J950"/>
  <sheetViews>
    <sheetView zoomScale="85" zoomScaleNormal="117" workbookViewId="0">
      <selection sqref="A1:J1"/>
    </sheetView>
  </sheetViews>
  <sheetFormatPr defaultRowHeight="12" x14ac:dyDescent="0.2"/>
  <cols>
    <col min="1" max="1" width="23.85546875" style="9" bestFit="1" customWidth="1"/>
    <col min="2" max="10" width="11.85546875" style="9" customWidth="1"/>
    <col min="11" max="16384" width="9.140625" style="9"/>
  </cols>
  <sheetData>
    <row r="1" spans="1:10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2">
      <c r="A2" s="41"/>
      <c r="B2" s="42"/>
      <c r="C2" s="42"/>
      <c r="D2" s="42"/>
      <c r="E2" s="42"/>
      <c r="F2" s="42"/>
      <c r="G2" s="42"/>
      <c r="H2" s="41"/>
      <c r="I2" s="41"/>
      <c r="J2" s="42" t="s">
        <v>32</v>
      </c>
    </row>
    <row r="3" spans="1:10" ht="12.75" x14ac:dyDescent="0.2">
      <c r="A3" s="27" t="s">
        <v>603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s="11" customFormat="1" ht="12.75" customHeight="1" x14ac:dyDescent="0.2">
      <c r="A4" s="123" t="s">
        <v>30</v>
      </c>
      <c r="B4" s="181" t="s">
        <v>236</v>
      </c>
      <c r="C4" s="181"/>
      <c r="D4" s="181"/>
      <c r="E4" s="181"/>
      <c r="F4" s="181"/>
      <c r="G4" s="181"/>
      <c r="H4" s="181"/>
      <c r="I4" s="181"/>
      <c r="J4" s="181"/>
    </row>
    <row r="5" spans="1:10" s="11" customFormat="1" ht="14.25" customHeight="1" x14ac:dyDescent="0.2">
      <c r="A5" s="123"/>
      <c r="B5" s="121" t="s">
        <v>252</v>
      </c>
      <c r="C5" s="121"/>
      <c r="D5" s="121"/>
      <c r="E5" s="121"/>
      <c r="F5" s="121"/>
      <c r="G5" s="121"/>
      <c r="H5" s="121"/>
      <c r="I5" s="121"/>
      <c r="J5" s="121"/>
    </row>
    <row r="6" spans="1:10" s="11" customFormat="1" ht="14.25" customHeight="1" x14ac:dyDescent="0.2">
      <c r="A6" s="123"/>
      <c r="B6" s="121" t="s">
        <v>47</v>
      </c>
      <c r="C6" s="121"/>
      <c r="D6" s="121"/>
      <c r="E6" s="121" t="s">
        <v>239</v>
      </c>
      <c r="F6" s="121"/>
      <c r="G6" s="121"/>
      <c r="H6" s="121" t="s">
        <v>240</v>
      </c>
      <c r="I6" s="121"/>
      <c r="J6" s="121"/>
    </row>
    <row r="7" spans="1:10" s="11" customFormat="1" ht="14.25" customHeight="1" x14ac:dyDescent="0.2">
      <c r="A7" s="123"/>
      <c r="B7" s="121" t="s">
        <v>241</v>
      </c>
      <c r="C7" s="121"/>
      <c r="D7" s="121"/>
      <c r="E7" s="121" t="s">
        <v>241</v>
      </c>
      <c r="F7" s="121"/>
      <c r="G7" s="121"/>
      <c r="H7" s="121" t="s">
        <v>241</v>
      </c>
      <c r="I7" s="121"/>
      <c r="J7" s="121"/>
    </row>
    <row r="8" spans="1:10" s="11" customFormat="1" ht="14.25" customHeight="1" x14ac:dyDescent="0.2">
      <c r="A8" s="123"/>
      <c r="B8" s="34" t="s">
        <v>47</v>
      </c>
      <c r="C8" s="34" t="s">
        <v>242</v>
      </c>
      <c r="D8" s="34" t="s">
        <v>243</v>
      </c>
      <c r="E8" s="34" t="s">
        <v>47</v>
      </c>
      <c r="F8" s="34" t="s">
        <v>242</v>
      </c>
      <c r="G8" s="34" t="s">
        <v>243</v>
      </c>
      <c r="H8" s="34" t="s">
        <v>47</v>
      </c>
      <c r="I8" s="34" t="s">
        <v>242</v>
      </c>
      <c r="J8" s="34" t="s">
        <v>243</v>
      </c>
    </row>
    <row r="9" spans="1:10" s="6" customFormat="1" ht="20.45" customHeight="1" x14ac:dyDescent="0.2">
      <c r="A9" s="69" t="s">
        <v>0</v>
      </c>
      <c r="B9" s="70">
        <v>18688.30630624295</v>
      </c>
      <c r="C9" s="70">
        <v>17087.800125002803</v>
      </c>
      <c r="D9" s="70">
        <v>1600.5061812400816</v>
      </c>
      <c r="E9" s="70">
        <v>6189.9942221641522</v>
      </c>
      <c r="F9" s="70">
        <v>5596.5644273757971</v>
      </c>
      <c r="G9" s="70">
        <v>593.42979478836003</v>
      </c>
      <c r="H9" s="70">
        <v>12498.312084078776</v>
      </c>
      <c r="I9" s="70">
        <v>11491.235697627028</v>
      </c>
      <c r="J9" s="70">
        <v>1007.0763864517193</v>
      </c>
    </row>
    <row r="10" spans="1:10" s="6" customFormat="1" ht="20.45" customHeight="1" x14ac:dyDescent="0.2">
      <c r="A10" s="29" t="s">
        <v>1</v>
      </c>
      <c r="B10" s="51">
        <v>513213.95284832182</v>
      </c>
      <c r="C10" s="51">
        <v>473351.34735668957</v>
      </c>
      <c r="D10" s="51">
        <v>39862.605491637747</v>
      </c>
      <c r="E10" s="51">
        <v>216364.59259319023</v>
      </c>
      <c r="F10" s="51">
        <v>207413.4660053236</v>
      </c>
      <c r="G10" s="51">
        <v>8951.1265878676113</v>
      </c>
      <c r="H10" s="51">
        <v>296849.3602551283</v>
      </c>
      <c r="I10" s="51">
        <v>265937.88135135267</v>
      </c>
      <c r="J10" s="51">
        <v>30911.478903770596</v>
      </c>
    </row>
    <row r="11" spans="1:10" customFormat="1" ht="20.45" customHeight="1" x14ac:dyDescent="0.2">
      <c r="A11" s="30" t="s">
        <v>2</v>
      </c>
      <c r="B11" s="53">
        <v>25068.824183821624</v>
      </c>
      <c r="C11" s="53">
        <v>23236.801016211513</v>
      </c>
      <c r="D11" s="53">
        <v>1832.0231676101751</v>
      </c>
      <c r="E11" s="53">
        <v>9799.4714395999817</v>
      </c>
      <c r="F11" s="53">
        <v>9335.9897367954563</v>
      </c>
      <c r="G11" s="53">
        <v>463.48170280456424</v>
      </c>
      <c r="H11" s="53">
        <v>15269.352744221656</v>
      </c>
      <c r="I11" s="53">
        <v>13900.811279416075</v>
      </c>
      <c r="J11" s="53">
        <v>1368.5414648056023</v>
      </c>
    </row>
    <row r="12" spans="1:10" customFormat="1" ht="20.45" customHeight="1" x14ac:dyDescent="0.2">
      <c r="A12" s="30" t="s">
        <v>3</v>
      </c>
      <c r="B12" s="53">
        <v>60928.262946128998</v>
      </c>
      <c r="C12" s="53">
        <v>56445.632520198582</v>
      </c>
      <c r="D12" s="53">
        <v>4482.6304259300578</v>
      </c>
      <c r="E12" s="53">
        <v>24983.5570397376</v>
      </c>
      <c r="F12" s="53">
        <v>24231.164838313907</v>
      </c>
      <c r="G12" s="53">
        <v>752.39220142364763</v>
      </c>
      <c r="H12" s="53">
        <v>35944.70590639102</v>
      </c>
      <c r="I12" s="53">
        <v>32214.467681885086</v>
      </c>
      <c r="J12" s="53">
        <v>3730.2382245063454</v>
      </c>
    </row>
    <row r="13" spans="1:10" customFormat="1" ht="20.45" customHeight="1" x14ac:dyDescent="0.2">
      <c r="A13" s="30" t="s">
        <v>4</v>
      </c>
      <c r="B13" s="53">
        <v>174861.96787977353</v>
      </c>
      <c r="C13" s="53">
        <v>162301.39537000449</v>
      </c>
      <c r="D13" s="53">
        <v>12560.57250976557</v>
      </c>
      <c r="E13" s="53">
        <v>75282.863170504745</v>
      </c>
      <c r="F13" s="53">
        <v>72456.301034807781</v>
      </c>
      <c r="G13" s="53">
        <v>2826.5621356964052</v>
      </c>
      <c r="H13" s="53">
        <v>99579.104709267573</v>
      </c>
      <c r="I13" s="53">
        <v>89845.094335199043</v>
      </c>
      <c r="J13" s="53">
        <v>9734.0103740693121</v>
      </c>
    </row>
    <row r="14" spans="1:10" customFormat="1" ht="20.45" customHeight="1" x14ac:dyDescent="0.2">
      <c r="A14" s="30" t="s">
        <v>5</v>
      </c>
      <c r="B14" s="53">
        <v>146265.52641475134</v>
      </c>
      <c r="C14" s="53">
        <v>135163.375937342</v>
      </c>
      <c r="D14" s="53">
        <v>11102.150477409445</v>
      </c>
      <c r="E14" s="53">
        <v>61754.151694059008</v>
      </c>
      <c r="F14" s="53">
        <v>59012.463104485156</v>
      </c>
      <c r="G14" s="53">
        <v>2741.6885895729074</v>
      </c>
      <c r="H14" s="53">
        <v>84511.37472069246</v>
      </c>
      <c r="I14" s="53">
        <v>76150.91283285644</v>
      </c>
      <c r="J14" s="53">
        <v>8360.4618878364709</v>
      </c>
    </row>
    <row r="15" spans="1:10" customFormat="1" ht="20.45" customHeight="1" x14ac:dyDescent="0.2">
      <c r="A15" s="30" t="s">
        <v>6</v>
      </c>
      <c r="B15" s="53">
        <v>77236.362155556926</v>
      </c>
      <c r="C15" s="53">
        <v>70937.777455926072</v>
      </c>
      <c r="D15" s="53">
        <v>6298.5846996307209</v>
      </c>
      <c r="E15" s="53">
        <v>33029.93104743927</v>
      </c>
      <c r="F15" s="53">
        <v>31617.267702102701</v>
      </c>
      <c r="G15" s="53">
        <v>1412.6633453369152</v>
      </c>
      <c r="H15" s="53">
        <v>44206.431108117322</v>
      </c>
      <c r="I15" s="53">
        <v>39320.509753823259</v>
      </c>
      <c r="J15" s="53">
        <v>4885.9213542938269</v>
      </c>
    </row>
    <row r="16" spans="1:10" customFormat="1" ht="20.45" customHeight="1" x14ac:dyDescent="0.2">
      <c r="A16" s="30" t="s">
        <v>7</v>
      </c>
      <c r="B16" s="53">
        <v>18030.919697046342</v>
      </c>
      <c r="C16" s="53">
        <v>15942.144107580196</v>
      </c>
      <c r="D16" s="53">
        <v>2088.775589466095</v>
      </c>
      <c r="E16" s="53">
        <v>7402.3166850805246</v>
      </c>
      <c r="F16" s="53">
        <v>6880.8622444867906</v>
      </c>
      <c r="G16" s="53">
        <v>521.45444059372119</v>
      </c>
      <c r="H16" s="53">
        <v>10628.603011965723</v>
      </c>
      <c r="I16" s="53">
        <v>9061.2818630934416</v>
      </c>
      <c r="J16" s="53">
        <v>1567.3211488723764</v>
      </c>
    </row>
    <row r="17" spans="1:10" customFormat="1" ht="20.45" customHeight="1" x14ac:dyDescent="0.2">
      <c r="A17" s="30" t="s">
        <v>8</v>
      </c>
      <c r="B17" s="53">
        <v>6434.4871444702103</v>
      </c>
      <c r="C17" s="53">
        <v>5937.6376647949164</v>
      </c>
      <c r="D17" s="53">
        <v>496.84947967529354</v>
      </c>
      <c r="E17" s="53">
        <v>2538.3847670555106</v>
      </c>
      <c r="F17" s="53">
        <v>2430.9857821464529</v>
      </c>
      <c r="G17" s="53">
        <v>107.39898490905767</v>
      </c>
      <c r="H17" s="53">
        <v>3896.1023774147084</v>
      </c>
      <c r="I17" s="53">
        <v>3506.6518826484721</v>
      </c>
      <c r="J17" s="53">
        <v>389.45049476623569</v>
      </c>
    </row>
    <row r="18" spans="1:10" customFormat="1" ht="20.45" customHeight="1" x14ac:dyDescent="0.2">
      <c r="A18" s="30" t="s">
        <v>9</v>
      </c>
      <c r="B18" s="53">
        <v>2013.5463409423808</v>
      </c>
      <c r="C18" s="53">
        <v>1568.509185791017</v>
      </c>
      <c r="D18" s="53">
        <v>445.03715515136719</v>
      </c>
      <c r="E18" s="53">
        <v>764.27781820297264</v>
      </c>
      <c r="F18" s="53">
        <v>711.40495634078889</v>
      </c>
      <c r="G18" s="53">
        <v>52.872861862182631</v>
      </c>
      <c r="H18" s="53">
        <v>1249.2685227394104</v>
      </c>
      <c r="I18" s="53">
        <v>857.10422945022594</v>
      </c>
      <c r="J18" s="53">
        <v>392.16429328918406</v>
      </c>
    </row>
    <row r="19" spans="1:10" customFormat="1" ht="20.45" customHeight="1" x14ac:dyDescent="0.2">
      <c r="A19" s="30" t="s">
        <v>10</v>
      </c>
      <c r="B19" s="53">
        <v>2079.258480787274</v>
      </c>
      <c r="C19" s="53">
        <v>1586.4989564418781</v>
      </c>
      <c r="D19" s="53">
        <v>492.75952434539772</v>
      </c>
      <c r="E19" s="53">
        <v>728.31716179847672</v>
      </c>
      <c r="F19" s="53">
        <v>666.62642502784797</v>
      </c>
      <c r="G19" s="53">
        <v>61.690736770629826</v>
      </c>
      <c r="H19" s="53">
        <v>1350.9413189887987</v>
      </c>
      <c r="I19" s="53">
        <v>919.87253141403278</v>
      </c>
      <c r="J19" s="53">
        <v>431.06878757476773</v>
      </c>
    </row>
    <row r="20" spans="1:10" customFormat="1" ht="20.45" customHeight="1" x14ac:dyDescent="0.2">
      <c r="A20" s="30" t="s">
        <v>11</v>
      </c>
      <c r="B20" s="53">
        <v>294.79760503768904</v>
      </c>
      <c r="C20" s="53">
        <v>231.57514238357535</v>
      </c>
      <c r="D20" s="53">
        <v>63.222462654113741</v>
      </c>
      <c r="E20" s="53">
        <v>81.321769714355469</v>
      </c>
      <c r="F20" s="53">
        <v>70.400180816650376</v>
      </c>
      <c r="G20" s="53">
        <v>10.92158889770508</v>
      </c>
      <c r="H20" s="53">
        <v>213.47583532333371</v>
      </c>
      <c r="I20" s="53">
        <v>161.17496156692511</v>
      </c>
      <c r="J20" s="53">
        <v>52.300873756408706</v>
      </c>
    </row>
    <row r="21" spans="1:10" s="6" customFormat="1" ht="20.45" customHeight="1" x14ac:dyDescent="0.2">
      <c r="A21" s="31" t="s">
        <v>12</v>
      </c>
      <c r="B21" s="25">
        <f>B9+B10</f>
        <v>531902.25915456482</v>
      </c>
      <c r="C21" s="25">
        <f t="shared" ref="C21:J21" si="0">C9+C10</f>
        <v>490439.14748169237</v>
      </c>
      <c r="D21" s="25">
        <f t="shared" si="0"/>
        <v>41463.111672877829</v>
      </c>
      <c r="E21" s="25">
        <f t="shared" si="0"/>
        <v>222554.58681535439</v>
      </c>
      <c r="F21" s="25">
        <f t="shared" si="0"/>
        <v>213010.03043269939</v>
      </c>
      <c r="G21" s="25">
        <f t="shared" si="0"/>
        <v>9544.5563826559719</v>
      </c>
      <c r="H21" s="25">
        <f t="shared" si="0"/>
        <v>309347.67233920709</v>
      </c>
      <c r="I21" s="25">
        <f t="shared" si="0"/>
        <v>277429.11704897968</v>
      </c>
      <c r="J21" s="25">
        <f t="shared" si="0"/>
        <v>31918.555290222313</v>
      </c>
    </row>
    <row r="22" spans="1:10" customFormat="1" ht="12.75" x14ac:dyDescent="0.2"/>
    <row r="23" spans="1:10" customFormat="1" ht="12.75" x14ac:dyDescent="0.2"/>
    <row r="24" spans="1:10" customFormat="1" ht="12.75" x14ac:dyDescent="0.2"/>
    <row r="25" spans="1:10" customFormat="1" ht="12.75" x14ac:dyDescent="0.2"/>
    <row r="26" spans="1:10" customFormat="1" ht="12.75" x14ac:dyDescent="0.2"/>
    <row r="27" spans="1:10" customFormat="1" ht="12.75" x14ac:dyDescent="0.2"/>
    <row r="28" spans="1:10" customFormat="1" ht="12.75" x14ac:dyDescent="0.2"/>
    <row r="29" spans="1:10" customFormat="1" ht="12.75" x14ac:dyDescent="0.2"/>
    <row r="30" spans="1:10" customFormat="1" ht="12.75" x14ac:dyDescent="0.2"/>
    <row r="31" spans="1:10" customFormat="1" ht="12.75" x14ac:dyDescent="0.2"/>
    <row r="32" spans="1:10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</sheetData>
  <mergeCells count="10">
    <mergeCell ref="B7:D7"/>
    <mergeCell ref="E7:G7"/>
    <mergeCell ref="H7:J7"/>
    <mergeCell ref="A1:J1"/>
    <mergeCell ref="A4:A8"/>
    <mergeCell ref="B4:J4"/>
    <mergeCell ref="B5:J5"/>
    <mergeCell ref="B6:D6"/>
    <mergeCell ref="E6:G6"/>
    <mergeCell ref="H6:J6"/>
  </mergeCells>
  <conditionalFormatting sqref="B9:B21">
    <cfRule type="cellIs" dxfId="662" priority="9" stopIfTrue="1" operator="equal">
      <formula>0</formula>
    </cfRule>
  </conditionalFormatting>
  <conditionalFormatting sqref="C9:C21">
    <cfRule type="cellIs" dxfId="661" priority="8" stopIfTrue="1" operator="equal">
      <formula>0</formula>
    </cfRule>
  </conditionalFormatting>
  <conditionalFormatting sqref="D9:D21">
    <cfRule type="cellIs" dxfId="660" priority="7" stopIfTrue="1" operator="equal">
      <formula>0</formula>
    </cfRule>
  </conditionalFormatting>
  <conditionalFormatting sqref="E9:E21">
    <cfRule type="cellIs" dxfId="659" priority="6" stopIfTrue="1" operator="equal">
      <formula>0</formula>
    </cfRule>
  </conditionalFormatting>
  <conditionalFormatting sqref="F9:F21">
    <cfRule type="cellIs" dxfId="658" priority="5" stopIfTrue="1" operator="equal">
      <formula>0</formula>
    </cfRule>
  </conditionalFormatting>
  <conditionalFormatting sqref="G9:G21">
    <cfRule type="cellIs" dxfId="657" priority="4" stopIfTrue="1" operator="equal">
      <formula>0</formula>
    </cfRule>
  </conditionalFormatting>
  <conditionalFormatting sqref="H9:H21">
    <cfRule type="cellIs" dxfId="656" priority="3" stopIfTrue="1" operator="equal">
      <formula>0</formula>
    </cfRule>
  </conditionalFormatting>
  <conditionalFormatting sqref="I9:I21">
    <cfRule type="cellIs" dxfId="655" priority="2" stopIfTrue="1" operator="equal">
      <formula>0</formula>
    </cfRule>
  </conditionalFormatting>
  <conditionalFormatting sqref="J9:J21">
    <cfRule type="cellIs" dxfId="65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64A3-D1C7-4F23-B386-F18797444A34}">
  <dimension ref="A1:P951"/>
  <sheetViews>
    <sheetView zoomScale="88" zoomScaleNormal="122" workbookViewId="0">
      <selection sqref="A1:P1"/>
    </sheetView>
  </sheetViews>
  <sheetFormatPr defaultRowHeight="12" x14ac:dyDescent="0.2"/>
  <cols>
    <col min="1" max="1" width="23.85546875" style="9" bestFit="1" customWidth="1"/>
    <col min="2" max="4" width="10.85546875" style="9" customWidth="1"/>
    <col min="5" max="5" width="8.85546875" style="9" customWidth="1"/>
    <col min="6" max="7" width="10.85546875" style="9" customWidth="1"/>
    <col min="8" max="8" width="9" style="9" customWidth="1"/>
    <col min="9" max="9" width="10.85546875" style="9" customWidth="1"/>
    <col min="10" max="10" width="9.42578125" style="9" customWidth="1"/>
    <col min="11" max="11" width="9.140625" style="9" customWidth="1"/>
    <col min="12" max="12" width="9.5703125" style="9" customWidth="1"/>
    <col min="13" max="13" width="10.85546875" style="9" customWidth="1"/>
    <col min="14" max="15" width="9" style="9" customWidth="1"/>
    <col min="16" max="16" width="10.140625" style="9" customWidth="1"/>
    <col min="17" max="16384" width="9.140625" style="9"/>
  </cols>
  <sheetData>
    <row r="1" spans="1:16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1"/>
      <c r="L2" s="41"/>
      <c r="M2" s="42"/>
      <c r="N2" s="41"/>
      <c r="O2" s="41"/>
      <c r="P2" s="42" t="s">
        <v>32</v>
      </c>
    </row>
    <row r="3" spans="1:16" ht="12.75" x14ac:dyDescent="0.2">
      <c r="A3" s="27" t="s">
        <v>604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</row>
    <row r="4" spans="1:16" s="11" customFormat="1" ht="12.75" customHeight="1" x14ac:dyDescent="0.2">
      <c r="A4" s="123" t="s">
        <v>30</v>
      </c>
      <c r="B4" s="181" t="s">
        <v>236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 s="11" customFormat="1" ht="14.25" customHeight="1" x14ac:dyDescent="0.2">
      <c r="A5" s="123"/>
      <c r="B5" s="121" t="s">
        <v>250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</row>
    <row r="6" spans="1:16" s="11" customFormat="1" ht="14.25" customHeight="1" x14ac:dyDescent="0.2">
      <c r="A6" s="123"/>
      <c r="B6" s="121" t="s">
        <v>47</v>
      </c>
      <c r="C6" s="121"/>
      <c r="D6" s="121"/>
      <c r="E6" s="184" t="s">
        <v>239</v>
      </c>
      <c r="F6" s="185"/>
      <c r="G6" s="185"/>
      <c r="H6" s="185"/>
      <c r="I6" s="185"/>
      <c r="J6" s="186"/>
      <c r="K6" s="121" t="s">
        <v>240</v>
      </c>
      <c r="L6" s="121"/>
      <c r="M6" s="121"/>
      <c r="N6" s="121"/>
      <c r="O6" s="121"/>
      <c r="P6" s="121"/>
    </row>
    <row r="7" spans="1:16" s="11" customFormat="1" ht="14.25" customHeight="1" x14ac:dyDescent="0.2">
      <c r="A7" s="123"/>
      <c r="B7" s="170" t="s">
        <v>241</v>
      </c>
      <c r="C7" s="182"/>
      <c r="D7" s="171"/>
      <c r="E7" s="170" t="s">
        <v>434</v>
      </c>
      <c r="F7" s="182"/>
      <c r="G7" s="171"/>
      <c r="H7" s="170" t="s">
        <v>435</v>
      </c>
      <c r="I7" s="182"/>
      <c r="J7" s="171"/>
      <c r="K7" s="152" t="s">
        <v>531</v>
      </c>
      <c r="L7" s="174"/>
      <c r="M7" s="153"/>
      <c r="N7" s="152" t="s">
        <v>533</v>
      </c>
      <c r="O7" s="174"/>
      <c r="P7" s="153"/>
    </row>
    <row r="8" spans="1:16" s="11" customFormat="1" ht="14.25" customHeight="1" x14ac:dyDescent="0.2">
      <c r="A8" s="123"/>
      <c r="B8" s="172"/>
      <c r="C8" s="183"/>
      <c r="D8" s="173"/>
      <c r="E8" s="121" t="s">
        <v>241</v>
      </c>
      <c r="F8" s="121"/>
      <c r="G8" s="121"/>
      <c r="H8" s="121" t="s">
        <v>241</v>
      </c>
      <c r="I8" s="121"/>
      <c r="J8" s="121"/>
      <c r="K8" s="121" t="s">
        <v>241</v>
      </c>
      <c r="L8" s="121"/>
      <c r="M8" s="121"/>
      <c r="N8" s="121" t="s">
        <v>241</v>
      </c>
      <c r="O8" s="121"/>
      <c r="P8" s="121"/>
    </row>
    <row r="9" spans="1:16" s="11" customFormat="1" ht="14.25" customHeight="1" x14ac:dyDescent="0.2">
      <c r="A9" s="123"/>
      <c r="B9" s="33" t="s">
        <v>47</v>
      </c>
      <c r="C9" s="33" t="s">
        <v>242</v>
      </c>
      <c r="D9" s="33" t="s">
        <v>243</v>
      </c>
      <c r="E9" s="33" t="s">
        <v>47</v>
      </c>
      <c r="F9" s="33" t="s">
        <v>242</v>
      </c>
      <c r="G9" s="33" t="s">
        <v>243</v>
      </c>
      <c r="H9" s="33" t="s">
        <v>47</v>
      </c>
      <c r="I9" s="33" t="s">
        <v>242</v>
      </c>
      <c r="J9" s="33" t="s">
        <v>243</v>
      </c>
      <c r="K9" s="33" t="s">
        <v>47</v>
      </c>
      <c r="L9" s="33" t="s">
        <v>242</v>
      </c>
      <c r="M9" s="33" t="s">
        <v>243</v>
      </c>
      <c r="N9" s="34" t="s">
        <v>47</v>
      </c>
      <c r="O9" s="34" t="s">
        <v>242</v>
      </c>
      <c r="P9" s="34" t="s">
        <v>243</v>
      </c>
    </row>
    <row r="10" spans="1:16" s="6" customFormat="1" ht="20.45" customHeight="1" x14ac:dyDescent="0.2">
      <c r="A10" s="69" t="s">
        <v>0</v>
      </c>
      <c r="B10" s="49">
        <v>57388.199970126479</v>
      </c>
      <c r="C10" s="49">
        <v>49849.005839705569</v>
      </c>
      <c r="D10" s="49">
        <v>7539.1941304206739</v>
      </c>
      <c r="E10" s="49">
        <v>1607.2162673473358</v>
      </c>
      <c r="F10" s="49">
        <v>1523.2899715900442</v>
      </c>
      <c r="G10" s="49">
        <v>83.926295757293914</v>
      </c>
      <c r="H10" s="49">
        <v>6177.1247708797409</v>
      </c>
      <c r="I10" s="49">
        <v>5833.7011430263601</v>
      </c>
      <c r="J10" s="49">
        <v>343.42362785339384</v>
      </c>
      <c r="K10" s="49">
        <v>30713.477146506382</v>
      </c>
      <c r="L10" s="49">
        <v>25402.370124220808</v>
      </c>
      <c r="M10" s="49">
        <v>5311.1070222854669</v>
      </c>
      <c r="N10" s="49">
        <v>18890.38178539279</v>
      </c>
      <c r="O10" s="49">
        <v>17089.64460086824</v>
      </c>
      <c r="P10" s="49">
        <v>1800.7371845245375</v>
      </c>
    </row>
    <row r="11" spans="1:16" s="6" customFormat="1" ht="20.45" customHeight="1" x14ac:dyDescent="0.2">
      <c r="A11" s="29" t="s">
        <v>1</v>
      </c>
      <c r="B11" s="51">
        <v>3170443.0746186879</v>
      </c>
      <c r="C11" s="51">
        <v>2993300.8672693656</v>
      </c>
      <c r="D11" s="51">
        <v>177142.20734929937</v>
      </c>
      <c r="E11" s="51">
        <v>97475.913829328289</v>
      </c>
      <c r="F11" s="51">
        <v>94173.164883613586</v>
      </c>
      <c r="G11" s="51">
        <v>3302.7489457130628</v>
      </c>
      <c r="H11" s="51">
        <v>1628649.9065314361</v>
      </c>
      <c r="I11" s="51">
        <v>1619010.2731681748</v>
      </c>
      <c r="J11" s="51">
        <v>9639.6333632469741</v>
      </c>
      <c r="K11" s="51">
        <v>814498.54234409204</v>
      </c>
      <c r="L11" s="51">
        <v>694472.38992046472</v>
      </c>
      <c r="M11" s="51">
        <v>120026.15242362059</v>
      </c>
      <c r="N11" s="51">
        <v>629818.71191382967</v>
      </c>
      <c r="O11" s="51">
        <v>585645.03929710248</v>
      </c>
      <c r="P11" s="51">
        <v>44173.672616719603</v>
      </c>
    </row>
    <row r="12" spans="1:16" customFormat="1" ht="20.45" customHeight="1" x14ac:dyDescent="0.2">
      <c r="A12" s="30" t="s">
        <v>2</v>
      </c>
      <c r="B12" s="53">
        <v>138545.24037623423</v>
      </c>
      <c r="C12" s="53">
        <v>130230.54266428952</v>
      </c>
      <c r="D12" s="53">
        <v>8314.6977119445564</v>
      </c>
      <c r="E12" s="53">
        <v>4338.6878023147447</v>
      </c>
      <c r="F12" s="53">
        <v>4072.2373161315777</v>
      </c>
      <c r="G12" s="53">
        <v>266.45048618316605</v>
      </c>
      <c r="H12" s="53">
        <v>54294.35993242266</v>
      </c>
      <c r="I12" s="53">
        <v>54055.981366634544</v>
      </c>
      <c r="J12" s="53">
        <v>238.37856578826961</v>
      </c>
      <c r="K12" s="53">
        <v>47634.894402384503</v>
      </c>
      <c r="L12" s="53">
        <v>41541.09545123564</v>
      </c>
      <c r="M12" s="53">
        <v>6093.7989511489968</v>
      </c>
      <c r="N12" s="53">
        <v>32277.298239111973</v>
      </c>
      <c r="O12" s="53">
        <v>30561.22853028775</v>
      </c>
      <c r="P12" s="53">
        <v>1716.0697088241552</v>
      </c>
    </row>
    <row r="13" spans="1:16" customFormat="1" ht="20.45" customHeight="1" x14ac:dyDescent="0.2">
      <c r="A13" s="30" t="s">
        <v>3</v>
      </c>
      <c r="B13" s="53">
        <v>400481.94238972699</v>
      </c>
      <c r="C13" s="53">
        <v>383698.74734520994</v>
      </c>
      <c r="D13" s="53">
        <v>16783.195044517641</v>
      </c>
      <c r="E13" s="53">
        <v>13281.419564962427</v>
      </c>
      <c r="F13" s="53">
        <v>13017.411706686096</v>
      </c>
      <c r="G13" s="53">
        <v>264.00785827636781</v>
      </c>
      <c r="H13" s="53">
        <v>198015.86042440071</v>
      </c>
      <c r="I13" s="53">
        <v>197204.70027387145</v>
      </c>
      <c r="J13" s="53">
        <v>811.16015052795296</v>
      </c>
      <c r="K13" s="53">
        <v>102544.38093316561</v>
      </c>
      <c r="L13" s="53">
        <v>90966.529389023111</v>
      </c>
      <c r="M13" s="53">
        <v>11577.851544141666</v>
      </c>
      <c r="N13" s="53">
        <v>86640.281467199951</v>
      </c>
      <c r="O13" s="53">
        <v>82510.105975627695</v>
      </c>
      <c r="P13" s="53">
        <v>4130.1754915713354</v>
      </c>
    </row>
    <row r="14" spans="1:16" customFormat="1" ht="20.45" customHeight="1" x14ac:dyDescent="0.2">
      <c r="A14" s="30" t="s">
        <v>4</v>
      </c>
      <c r="B14" s="53">
        <v>1142123.741690994</v>
      </c>
      <c r="C14" s="53">
        <v>1090156.6623030917</v>
      </c>
      <c r="D14" s="53">
        <v>51967.079387903519</v>
      </c>
      <c r="E14" s="53">
        <v>36686.135965585301</v>
      </c>
      <c r="F14" s="53">
        <v>35816.396147489482</v>
      </c>
      <c r="G14" s="53">
        <v>869.73981809616464</v>
      </c>
      <c r="H14" s="53">
        <v>610100.2726343869</v>
      </c>
      <c r="I14" s="53">
        <v>606999.85610807675</v>
      </c>
      <c r="J14" s="53">
        <v>3100.4165263176033</v>
      </c>
      <c r="K14" s="53">
        <v>272936.42471480335</v>
      </c>
      <c r="L14" s="53">
        <v>237791.24682092763</v>
      </c>
      <c r="M14" s="53">
        <v>35145.177893877146</v>
      </c>
      <c r="N14" s="53">
        <v>222400.90837621831</v>
      </c>
      <c r="O14" s="53">
        <v>209549.16322660598</v>
      </c>
      <c r="P14" s="53">
        <v>12851.745149612507</v>
      </c>
    </row>
    <row r="15" spans="1:16" customFormat="1" ht="20.45" customHeight="1" x14ac:dyDescent="0.2">
      <c r="A15" s="30" t="s">
        <v>5</v>
      </c>
      <c r="B15" s="53">
        <v>894290.61556589603</v>
      </c>
      <c r="C15" s="53">
        <v>845826.54631793895</v>
      </c>
      <c r="D15" s="53">
        <v>48464.069247961335</v>
      </c>
      <c r="E15" s="53">
        <v>25554.705467104883</v>
      </c>
      <c r="F15" s="53">
        <v>24579.184308409611</v>
      </c>
      <c r="G15" s="53">
        <v>975.5211586952172</v>
      </c>
      <c r="H15" s="53">
        <v>478708.04066014208</v>
      </c>
      <c r="I15" s="53">
        <v>475713.88147187099</v>
      </c>
      <c r="J15" s="53">
        <v>2994.159188270577</v>
      </c>
      <c r="K15" s="53">
        <v>216997.38948976737</v>
      </c>
      <c r="L15" s="53">
        <v>184431.84967625196</v>
      </c>
      <c r="M15" s="53">
        <v>32565.539813518262</v>
      </c>
      <c r="N15" s="53">
        <v>173030.47994887753</v>
      </c>
      <c r="O15" s="53">
        <v>161101.63086140342</v>
      </c>
      <c r="P15" s="53">
        <v>11928.849087476836</v>
      </c>
    </row>
    <row r="16" spans="1:16" customFormat="1" ht="20.45" customHeight="1" x14ac:dyDescent="0.2">
      <c r="A16" s="30" t="s">
        <v>6</v>
      </c>
      <c r="B16" s="53">
        <v>450186.97152412112</v>
      </c>
      <c r="C16" s="53">
        <v>418317.9289988302</v>
      </c>
      <c r="D16" s="53">
        <v>31869.042525291276</v>
      </c>
      <c r="E16" s="53">
        <v>12709.300037026487</v>
      </c>
      <c r="F16" s="53">
        <v>12389.137892842316</v>
      </c>
      <c r="G16" s="53">
        <v>320.16214418411067</v>
      </c>
      <c r="H16" s="53">
        <v>229243.04105651393</v>
      </c>
      <c r="I16" s="53">
        <v>227431.169840694</v>
      </c>
      <c r="J16" s="53">
        <v>1811.871215820315</v>
      </c>
      <c r="K16" s="53">
        <v>123575.25456142442</v>
      </c>
      <c r="L16" s="53">
        <v>101881.45301365883</v>
      </c>
      <c r="M16" s="53">
        <v>21693.801547765659</v>
      </c>
      <c r="N16" s="53">
        <v>84659.375869155163</v>
      </c>
      <c r="O16" s="53">
        <v>76616.168251634124</v>
      </c>
      <c r="P16" s="53">
        <v>8043.2076175213633</v>
      </c>
    </row>
    <row r="17" spans="1:16" customFormat="1" ht="20.45" customHeight="1" x14ac:dyDescent="0.2">
      <c r="A17" s="30" t="s">
        <v>7</v>
      </c>
      <c r="B17" s="53">
        <v>94400.580303787923</v>
      </c>
      <c r="C17" s="53">
        <v>84468.362774968467</v>
      </c>
      <c r="D17" s="53">
        <v>9932.2175288200451</v>
      </c>
      <c r="E17" s="53">
        <v>3173.9474730491679</v>
      </c>
      <c r="F17" s="53">
        <v>2781.1910386085415</v>
      </c>
      <c r="G17" s="53">
        <v>392.75643444061262</v>
      </c>
      <c r="H17" s="53">
        <v>41815.537458896833</v>
      </c>
      <c r="I17" s="53">
        <v>41481.641396045568</v>
      </c>
      <c r="J17" s="53">
        <v>333.89606285095147</v>
      </c>
      <c r="K17" s="53">
        <v>30342.464507818095</v>
      </c>
      <c r="L17" s="53">
        <v>23853.856755495064</v>
      </c>
      <c r="M17" s="53">
        <v>6488.6077523231525</v>
      </c>
      <c r="N17" s="53">
        <v>19068.63086402409</v>
      </c>
      <c r="O17" s="53">
        <v>16351.673584818864</v>
      </c>
      <c r="P17" s="53">
        <v>2716.9572792053273</v>
      </c>
    </row>
    <row r="18" spans="1:16" customFormat="1" ht="20.45" customHeight="1" x14ac:dyDescent="0.2">
      <c r="A18" s="30" t="s">
        <v>8</v>
      </c>
      <c r="B18" s="53">
        <v>29299.375723957997</v>
      </c>
      <c r="C18" s="53">
        <v>26174.813574910168</v>
      </c>
      <c r="D18" s="53">
        <v>3124.5621490478525</v>
      </c>
      <c r="E18" s="53">
        <v>1178.3505759239188</v>
      </c>
      <c r="F18" s="53">
        <v>1073.2558550834638</v>
      </c>
      <c r="G18" s="53">
        <v>105.0947208404541</v>
      </c>
      <c r="H18" s="53">
        <v>11271.686852216706</v>
      </c>
      <c r="I18" s="53">
        <v>11098.978142499933</v>
      </c>
      <c r="J18" s="53">
        <v>172.70870971679736</v>
      </c>
      <c r="K18" s="53">
        <v>10557.556060910218</v>
      </c>
      <c r="L18" s="53">
        <v>8621.868054986011</v>
      </c>
      <c r="M18" s="53">
        <v>1935.6880059242201</v>
      </c>
      <c r="N18" s="53">
        <v>6291.7822349071585</v>
      </c>
      <c r="O18" s="53">
        <v>5380.7115223407645</v>
      </c>
      <c r="P18" s="53">
        <v>911.07071256637528</v>
      </c>
    </row>
    <row r="19" spans="1:16" customFormat="1" ht="20.45" customHeight="1" x14ac:dyDescent="0.2">
      <c r="A19" s="30" t="s">
        <v>9</v>
      </c>
      <c r="B19" s="53">
        <v>11701.148145794868</v>
      </c>
      <c r="C19" s="53">
        <v>7819.1896826028787</v>
      </c>
      <c r="D19" s="53">
        <v>3881.9584631919906</v>
      </c>
      <c r="E19" s="53">
        <v>261.40286016464211</v>
      </c>
      <c r="F19" s="53">
        <v>195.49379301071198</v>
      </c>
      <c r="G19" s="53">
        <v>65.909067153930778</v>
      </c>
      <c r="H19" s="53">
        <v>2802.9420464038826</v>
      </c>
      <c r="I19" s="53">
        <v>2738.0154602527614</v>
      </c>
      <c r="J19" s="53">
        <v>64.926586151123004</v>
      </c>
      <c r="K19" s="53">
        <v>5539.7788329124378</v>
      </c>
      <c r="L19" s="53">
        <v>2837.1129937171954</v>
      </c>
      <c r="M19" s="53">
        <v>2702.6658391952515</v>
      </c>
      <c r="N19" s="53">
        <v>3097.0244063138962</v>
      </c>
      <c r="O19" s="53">
        <v>2048.5674356222125</v>
      </c>
      <c r="P19" s="53">
        <v>1048.4569706916818</v>
      </c>
    </row>
    <row r="20" spans="1:16" customFormat="1" ht="20.45" customHeight="1" x14ac:dyDescent="0.2">
      <c r="A20" s="30" t="s">
        <v>10</v>
      </c>
      <c r="B20" s="53">
        <v>8074.6900330781891</v>
      </c>
      <c r="C20" s="53">
        <v>5911.5929762125079</v>
      </c>
      <c r="D20" s="53">
        <v>2163.0970568656935</v>
      </c>
      <c r="E20" s="53">
        <v>291.96408319473289</v>
      </c>
      <c r="F20" s="53">
        <v>248.85682535171534</v>
      </c>
      <c r="G20" s="53">
        <v>43.107257843017621</v>
      </c>
      <c r="H20" s="53">
        <v>2291.9192054271707</v>
      </c>
      <c r="I20" s="53">
        <v>2179.8028476238251</v>
      </c>
      <c r="J20" s="53">
        <v>112.11635780334466</v>
      </c>
      <c r="K20" s="53">
        <v>3539.2738380432102</v>
      </c>
      <c r="L20" s="53">
        <v>2223.3811793327304</v>
      </c>
      <c r="M20" s="53">
        <v>1315.8926587104795</v>
      </c>
      <c r="N20" s="53">
        <v>1951.5329064130774</v>
      </c>
      <c r="O20" s="53">
        <v>1259.5521239042296</v>
      </c>
      <c r="P20" s="53">
        <v>691.98078250885078</v>
      </c>
    </row>
    <row r="21" spans="1:16" customFormat="1" ht="20.45" customHeight="1" x14ac:dyDescent="0.2">
      <c r="A21" s="30" t="s">
        <v>11</v>
      </c>
      <c r="B21" s="53">
        <v>1338.7688651084902</v>
      </c>
      <c r="C21" s="53">
        <v>696.48063135147117</v>
      </c>
      <c r="D21" s="53">
        <v>642.28823375701916</v>
      </c>
      <c r="E21" s="53">
        <v>0</v>
      </c>
      <c r="F21" s="53">
        <v>0</v>
      </c>
      <c r="G21" s="53">
        <v>0</v>
      </c>
      <c r="H21" s="53">
        <v>106.2462606430054</v>
      </c>
      <c r="I21" s="53">
        <v>106.2462606430054</v>
      </c>
      <c r="J21" s="53">
        <v>0</v>
      </c>
      <c r="K21" s="53">
        <v>831.12500286102306</v>
      </c>
      <c r="L21" s="53">
        <v>323.9965858459471</v>
      </c>
      <c r="M21" s="53">
        <v>507.12841701507568</v>
      </c>
      <c r="N21" s="53">
        <v>401.39760160446167</v>
      </c>
      <c r="O21" s="53">
        <v>266.23778486251831</v>
      </c>
      <c r="P21" s="53">
        <v>135.1598167419433</v>
      </c>
    </row>
    <row r="22" spans="1:16" s="6" customFormat="1" ht="20.45" customHeight="1" x14ac:dyDescent="0.2">
      <c r="A22" s="31" t="s">
        <v>12</v>
      </c>
      <c r="B22" s="25">
        <f>B10+B11</f>
        <v>3227831.2745888145</v>
      </c>
      <c r="C22" s="25">
        <f t="shared" ref="C22:P22" si="0">C10+C11</f>
        <v>3043149.873109071</v>
      </c>
      <c r="D22" s="25">
        <f t="shared" si="0"/>
        <v>184681.40147972005</v>
      </c>
      <c r="E22" s="25">
        <f t="shared" si="0"/>
        <v>99083.130096675624</v>
      </c>
      <c r="F22" s="25">
        <f t="shared" si="0"/>
        <v>95696.454855203629</v>
      </c>
      <c r="G22" s="25">
        <f t="shared" si="0"/>
        <v>3386.6752414703565</v>
      </c>
      <c r="H22" s="25">
        <f t="shared" si="0"/>
        <v>1634827.0313023159</v>
      </c>
      <c r="I22" s="25">
        <f t="shared" si="0"/>
        <v>1624843.9743112011</v>
      </c>
      <c r="J22" s="25">
        <f t="shared" si="0"/>
        <v>9983.0569911003677</v>
      </c>
      <c r="K22" s="25">
        <f t="shared" si="0"/>
        <v>845212.01949059847</v>
      </c>
      <c r="L22" s="25">
        <f t="shared" si="0"/>
        <v>719874.76004468556</v>
      </c>
      <c r="M22" s="25">
        <f t="shared" si="0"/>
        <v>125337.25944590605</v>
      </c>
      <c r="N22" s="25">
        <f t="shared" si="0"/>
        <v>648709.09369922243</v>
      </c>
      <c r="O22" s="25">
        <f t="shared" si="0"/>
        <v>602734.68389797071</v>
      </c>
      <c r="P22" s="25">
        <f t="shared" si="0"/>
        <v>45974.409801244139</v>
      </c>
    </row>
    <row r="23" spans="1:16" customFormat="1" ht="12.75" x14ac:dyDescent="0.2"/>
    <row r="24" spans="1:16" customFormat="1" ht="12.75" x14ac:dyDescent="0.2"/>
    <row r="25" spans="1:16" customFormat="1" ht="12.75" x14ac:dyDescent="0.2"/>
    <row r="26" spans="1:16" customFormat="1" ht="12.75" x14ac:dyDescent="0.2"/>
    <row r="27" spans="1:16" customFormat="1" ht="12.75" x14ac:dyDescent="0.2">
      <c r="B27" s="60"/>
    </row>
    <row r="28" spans="1:16" customFormat="1" ht="12.75" x14ac:dyDescent="0.2"/>
    <row r="29" spans="1:16" customFormat="1" ht="12.75" x14ac:dyDescent="0.2"/>
    <row r="30" spans="1:16" customFormat="1" ht="12.75" x14ac:dyDescent="0.2"/>
    <row r="31" spans="1:16" customFormat="1" ht="12.75" x14ac:dyDescent="0.2"/>
    <row r="32" spans="1:16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  <row r="951" customFormat="1" ht="12.75" x14ac:dyDescent="0.2"/>
  </sheetData>
  <mergeCells count="16">
    <mergeCell ref="B4:P4"/>
    <mergeCell ref="E7:G7"/>
    <mergeCell ref="H7:J7"/>
    <mergeCell ref="E6:J6"/>
    <mergeCell ref="E8:G8"/>
    <mergeCell ref="H8:J8"/>
    <mergeCell ref="A1:P1"/>
    <mergeCell ref="K8:M8"/>
    <mergeCell ref="K7:M7"/>
    <mergeCell ref="B7:D8"/>
    <mergeCell ref="A4:A9"/>
    <mergeCell ref="B6:D6"/>
    <mergeCell ref="K6:P6"/>
    <mergeCell ref="N7:P7"/>
    <mergeCell ref="N8:P8"/>
    <mergeCell ref="B5:P5"/>
  </mergeCells>
  <conditionalFormatting sqref="B10:B22">
    <cfRule type="cellIs" dxfId="653" priority="15" stopIfTrue="1" operator="equal">
      <formula>0</formula>
    </cfRule>
  </conditionalFormatting>
  <conditionalFormatting sqref="C10:C22">
    <cfRule type="cellIs" dxfId="652" priority="14" stopIfTrue="1" operator="equal">
      <formula>0</formula>
    </cfRule>
  </conditionalFormatting>
  <conditionalFormatting sqref="D10:D22">
    <cfRule type="cellIs" dxfId="651" priority="13" stopIfTrue="1" operator="equal">
      <formula>0</formula>
    </cfRule>
  </conditionalFormatting>
  <conditionalFormatting sqref="E10:E22">
    <cfRule type="cellIs" dxfId="650" priority="12" stopIfTrue="1" operator="equal">
      <formula>0</formula>
    </cfRule>
  </conditionalFormatting>
  <conditionalFormatting sqref="F10:F22">
    <cfRule type="cellIs" dxfId="649" priority="11" stopIfTrue="1" operator="equal">
      <formula>0</formula>
    </cfRule>
  </conditionalFormatting>
  <conditionalFormatting sqref="G10:G22">
    <cfRule type="cellIs" dxfId="648" priority="10" stopIfTrue="1" operator="equal">
      <formula>0</formula>
    </cfRule>
  </conditionalFormatting>
  <conditionalFormatting sqref="H10:H22">
    <cfRule type="cellIs" dxfId="647" priority="9" stopIfTrue="1" operator="equal">
      <formula>0</formula>
    </cfRule>
  </conditionalFormatting>
  <conditionalFormatting sqref="I10:I22">
    <cfRule type="cellIs" dxfId="646" priority="8" stopIfTrue="1" operator="equal">
      <formula>0</formula>
    </cfRule>
  </conditionalFormatting>
  <conditionalFormatting sqref="J10:J22">
    <cfRule type="cellIs" dxfId="645" priority="7" stopIfTrue="1" operator="equal">
      <formula>0</formula>
    </cfRule>
  </conditionalFormatting>
  <conditionalFormatting sqref="K10:K22">
    <cfRule type="cellIs" dxfId="644" priority="6" stopIfTrue="1" operator="equal">
      <formula>0</formula>
    </cfRule>
  </conditionalFormatting>
  <conditionalFormatting sqref="L10:L22">
    <cfRule type="cellIs" dxfId="643" priority="5" stopIfTrue="1" operator="equal">
      <formula>0</formula>
    </cfRule>
  </conditionalFormatting>
  <conditionalFormatting sqref="M10:M22">
    <cfRule type="cellIs" dxfId="642" priority="4" stopIfTrue="1" operator="equal">
      <formula>0</formula>
    </cfRule>
  </conditionalFormatting>
  <conditionalFormatting sqref="N10:N22">
    <cfRule type="cellIs" dxfId="641" priority="3" stopIfTrue="1" operator="equal">
      <formula>0</formula>
    </cfRule>
  </conditionalFormatting>
  <conditionalFormatting sqref="O10:O22">
    <cfRule type="cellIs" dxfId="640" priority="2" stopIfTrue="1" operator="equal">
      <formula>0</formula>
    </cfRule>
  </conditionalFormatting>
  <conditionalFormatting sqref="P10:P22">
    <cfRule type="cellIs" dxfId="63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5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3810-70D3-4DDB-A143-F9DDC5FD9E8C}">
  <sheetPr codeName="Sheet49"/>
  <dimension ref="A1:O21"/>
  <sheetViews>
    <sheetView zoomScale="94" zoomScaleNormal="75" workbookViewId="0">
      <pane xSplit="1" ySplit="8" topLeftCell="B10" activePane="bottomRight" state="frozen"/>
      <selection activeCell="C19" sqref="C19"/>
      <selection pane="topRight" activeCell="C19" sqref="C19"/>
      <selection pane="bottomLeft" activeCell="C19" sqref="C19"/>
      <selection pane="bottomRight" sqref="A1:O1"/>
    </sheetView>
  </sheetViews>
  <sheetFormatPr defaultRowHeight="12" x14ac:dyDescent="0.2"/>
  <cols>
    <col min="1" max="1" width="23.85546875" style="13" bestFit="1" customWidth="1"/>
    <col min="2" max="2" width="9.85546875" style="13" customWidth="1"/>
    <col min="3" max="3" width="11.85546875" style="13" customWidth="1"/>
    <col min="4" max="4" width="9.140625" style="13" customWidth="1"/>
    <col min="5" max="5" width="9" style="13" customWidth="1"/>
    <col min="6" max="6" width="9.140625" style="13" customWidth="1"/>
    <col min="7" max="7" width="9.42578125" style="13" customWidth="1"/>
    <col min="8" max="9" width="9.140625" style="13" customWidth="1"/>
    <col min="10" max="10" width="8.140625" style="13" customWidth="1"/>
    <col min="11" max="11" width="8.85546875" style="13" customWidth="1"/>
    <col min="12" max="12" width="9.42578125" style="13" customWidth="1"/>
    <col min="13" max="13" width="9.140625" style="13" customWidth="1"/>
    <col min="14" max="14" width="10.140625" style="13" customWidth="1"/>
    <col min="15" max="15" width="10.85546875" style="13" customWidth="1"/>
    <col min="16" max="16384" width="9.140625" style="13"/>
  </cols>
  <sheetData>
    <row r="1" spans="1:15" ht="12.75" x14ac:dyDescent="0.2">
      <c r="A1" s="188" t="s">
        <v>34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ht="12.75" x14ac:dyDescent="0.2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42" t="s">
        <v>32</v>
      </c>
    </row>
    <row r="3" spans="1:15" ht="17.25" customHeight="1" x14ac:dyDescent="0.2">
      <c r="A3" s="86" t="s">
        <v>283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s="15" customFormat="1" ht="15" customHeight="1" x14ac:dyDescent="0.2">
      <c r="A4" s="190" t="s">
        <v>30</v>
      </c>
      <c r="B4" s="189" t="s">
        <v>251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</row>
    <row r="5" spans="1:15" s="15" customFormat="1" ht="15.75" customHeight="1" x14ac:dyDescent="0.2">
      <c r="A5" s="190"/>
      <c r="B5" s="187" t="s">
        <v>237</v>
      </c>
      <c r="C5" s="187"/>
      <c r="D5" s="187"/>
      <c r="E5" s="187"/>
      <c r="F5" s="187" t="s">
        <v>238</v>
      </c>
      <c r="G5" s="187"/>
      <c r="H5" s="187"/>
      <c r="I5" s="187" t="s">
        <v>253</v>
      </c>
      <c r="J5" s="187"/>
      <c r="K5" s="187"/>
      <c r="L5" s="187" t="s">
        <v>250</v>
      </c>
      <c r="M5" s="187"/>
      <c r="N5" s="187"/>
      <c r="O5" s="187"/>
    </row>
    <row r="6" spans="1:15" s="15" customFormat="1" ht="15.75" customHeight="1" x14ac:dyDescent="0.2">
      <c r="A6" s="190"/>
      <c r="B6" s="187" t="s">
        <v>41</v>
      </c>
      <c r="C6" s="187" t="s">
        <v>244</v>
      </c>
      <c r="D6" s="187"/>
      <c r="E6" s="187"/>
      <c r="F6" s="187" t="s">
        <v>244</v>
      </c>
      <c r="G6" s="187"/>
      <c r="H6" s="187"/>
      <c r="I6" s="187" t="s">
        <v>244</v>
      </c>
      <c r="J6" s="187"/>
      <c r="K6" s="187"/>
      <c r="L6" s="187" t="s">
        <v>244</v>
      </c>
      <c r="M6" s="187"/>
      <c r="N6" s="187"/>
      <c r="O6" s="187"/>
    </row>
    <row r="7" spans="1:15" s="15" customFormat="1" ht="15" customHeight="1" x14ac:dyDescent="0.2">
      <c r="A7" s="190"/>
      <c r="B7" s="187"/>
      <c r="C7" s="187" t="s">
        <v>47</v>
      </c>
      <c r="D7" s="187" t="s">
        <v>239</v>
      </c>
      <c r="E7" s="187" t="s">
        <v>240</v>
      </c>
      <c r="F7" s="187" t="s">
        <v>47</v>
      </c>
      <c r="G7" s="187" t="s">
        <v>239</v>
      </c>
      <c r="H7" s="187" t="s">
        <v>240</v>
      </c>
      <c r="I7" s="187" t="s">
        <v>47</v>
      </c>
      <c r="J7" s="187" t="s">
        <v>239</v>
      </c>
      <c r="K7" s="187" t="s">
        <v>240</v>
      </c>
      <c r="L7" s="187" t="s">
        <v>47</v>
      </c>
      <c r="M7" s="187" t="s">
        <v>239</v>
      </c>
      <c r="N7" s="187" t="s">
        <v>240</v>
      </c>
      <c r="O7" s="187"/>
    </row>
    <row r="8" spans="1:15" s="15" customFormat="1" ht="19.7" customHeight="1" x14ac:dyDescent="0.2">
      <c r="A8" s="190"/>
      <c r="B8" s="187"/>
      <c r="C8" s="187"/>
      <c r="D8" s="187" t="s">
        <v>239</v>
      </c>
      <c r="E8" s="187"/>
      <c r="F8" s="187"/>
      <c r="G8" s="187"/>
      <c r="H8" s="187"/>
      <c r="I8" s="187"/>
      <c r="J8" s="187"/>
      <c r="K8" s="187"/>
      <c r="L8" s="187"/>
      <c r="M8" s="187"/>
      <c r="N8" s="88" t="s">
        <v>531</v>
      </c>
      <c r="O8" s="88" t="s">
        <v>533</v>
      </c>
    </row>
    <row r="9" spans="1:15" s="14" customFormat="1" ht="24" customHeight="1" x14ac:dyDescent="0.2">
      <c r="A9" s="69" t="s">
        <v>0</v>
      </c>
      <c r="B9" s="49">
        <v>185.84007799625397</v>
      </c>
      <c r="C9" s="49">
        <v>912.71866750717152</v>
      </c>
      <c r="D9" s="49">
        <v>388.18917894363415</v>
      </c>
      <c r="E9" s="49">
        <v>524.52948856353635</v>
      </c>
      <c r="F9" s="49">
        <v>380.1894516944854</v>
      </c>
      <c r="G9" s="49">
        <v>315.60257530212402</v>
      </c>
      <c r="H9" s="49">
        <v>64.586876392364502</v>
      </c>
      <c r="I9" s="49">
        <v>53.703181743621883</v>
      </c>
      <c r="J9" s="49">
        <v>23.285079479217529</v>
      </c>
      <c r="K9" s="49">
        <v>30.418102264404297</v>
      </c>
      <c r="L9" s="49">
        <v>478.82603406906338</v>
      </c>
      <c r="M9" s="49">
        <v>49.301524162292473</v>
      </c>
      <c r="N9" s="49">
        <v>354.37485718727112</v>
      </c>
      <c r="O9" s="49">
        <v>75.149652719497681</v>
      </c>
    </row>
    <row r="10" spans="1:15" s="14" customFormat="1" ht="20.45" customHeight="1" x14ac:dyDescent="0.2">
      <c r="A10" s="29" t="s">
        <v>1</v>
      </c>
      <c r="B10" s="51">
        <v>9713.3619076013565</v>
      </c>
      <c r="C10" s="51">
        <v>52282.280938625394</v>
      </c>
      <c r="D10" s="51">
        <v>23098.958982348606</v>
      </c>
      <c r="E10" s="51">
        <v>29183.321956276872</v>
      </c>
      <c r="F10" s="51">
        <v>10733.219662904812</v>
      </c>
      <c r="G10" s="51">
        <v>7161.995421528818</v>
      </c>
      <c r="H10" s="51">
        <v>3571.2242413759232</v>
      </c>
      <c r="I10" s="51">
        <v>6834.4984992742166</v>
      </c>
      <c r="J10" s="51">
        <v>3405.5421710014357</v>
      </c>
      <c r="K10" s="51">
        <v>3428.9563282728191</v>
      </c>
      <c r="L10" s="51">
        <v>34714.562776446415</v>
      </c>
      <c r="M10" s="51">
        <v>12531.421389818192</v>
      </c>
      <c r="N10" s="51">
        <v>12130.530396461494</v>
      </c>
      <c r="O10" s="51">
        <v>10052.610990166673</v>
      </c>
    </row>
    <row r="11" spans="1:15" ht="20.45" customHeight="1" x14ac:dyDescent="0.2">
      <c r="A11" s="30" t="s">
        <v>2</v>
      </c>
      <c r="B11" s="53">
        <v>1048.0689332485199</v>
      </c>
      <c r="C11" s="53">
        <v>5929.5818591117841</v>
      </c>
      <c r="D11" s="53">
        <v>2406.4918253421788</v>
      </c>
      <c r="E11" s="53">
        <v>3523.0900337695984</v>
      </c>
      <c r="F11" s="53">
        <v>916.35758304595834</v>
      </c>
      <c r="G11" s="53">
        <v>575.71448290348042</v>
      </c>
      <c r="H11" s="53">
        <v>340.64310014247889</v>
      </c>
      <c r="I11" s="53">
        <v>584.46168398857117</v>
      </c>
      <c r="J11" s="53">
        <v>235.35771965980533</v>
      </c>
      <c r="K11" s="53">
        <v>349.10396432876587</v>
      </c>
      <c r="L11" s="53">
        <v>4428.7625920772398</v>
      </c>
      <c r="M11" s="53">
        <v>1595.4196227788927</v>
      </c>
      <c r="N11" s="53">
        <v>1462.4928427934649</v>
      </c>
      <c r="O11" s="53">
        <v>1370.8501265048985</v>
      </c>
    </row>
    <row r="12" spans="1:15" ht="20.45" customHeight="1" x14ac:dyDescent="0.2">
      <c r="A12" s="30" t="s">
        <v>3</v>
      </c>
      <c r="B12" s="53">
        <v>1778.2593103647232</v>
      </c>
      <c r="C12" s="53">
        <v>7488.6465972662054</v>
      </c>
      <c r="D12" s="53">
        <v>3163.6079699993029</v>
      </c>
      <c r="E12" s="53">
        <v>4325.0386272669048</v>
      </c>
      <c r="F12" s="53">
        <v>1209.2510303258944</v>
      </c>
      <c r="G12" s="53">
        <v>866.00449812412262</v>
      </c>
      <c r="H12" s="53">
        <v>343.24653220176697</v>
      </c>
      <c r="I12" s="53">
        <v>1155.4337029457179</v>
      </c>
      <c r="J12" s="53">
        <v>558.26384079456341</v>
      </c>
      <c r="K12" s="53">
        <v>597.16986215114605</v>
      </c>
      <c r="L12" s="53">
        <v>5123.9618639946311</v>
      </c>
      <c r="M12" s="53">
        <v>1739.3396310806268</v>
      </c>
      <c r="N12" s="53">
        <v>1643.3228963613524</v>
      </c>
      <c r="O12" s="53">
        <v>1741.2993365526199</v>
      </c>
    </row>
    <row r="13" spans="1:15" ht="20.45" customHeight="1" x14ac:dyDescent="0.2">
      <c r="A13" s="30" t="s">
        <v>4</v>
      </c>
      <c r="B13" s="53">
        <v>2984.9923186302185</v>
      </c>
      <c r="C13" s="53">
        <v>13900.674387454979</v>
      </c>
      <c r="D13" s="53">
        <v>6153.6670639514577</v>
      </c>
      <c r="E13" s="53">
        <v>7747.0073235035179</v>
      </c>
      <c r="F13" s="53">
        <v>2803.6018636226518</v>
      </c>
      <c r="G13" s="53">
        <v>1883.9783774614334</v>
      </c>
      <c r="H13" s="53">
        <v>919.62348616123188</v>
      </c>
      <c r="I13" s="53">
        <v>1924.854533553106</v>
      </c>
      <c r="J13" s="53">
        <v>1030.4724898338318</v>
      </c>
      <c r="K13" s="53">
        <v>894.38204371929157</v>
      </c>
      <c r="L13" s="53">
        <v>9172.2179902791086</v>
      </c>
      <c r="M13" s="53">
        <v>3239.216196656228</v>
      </c>
      <c r="N13" s="53">
        <v>3237.6223220825195</v>
      </c>
      <c r="O13" s="53">
        <v>2695.3794715404506</v>
      </c>
    </row>
    <row r="14" spans="1:15" ht="20.45" customHeight="1" x14ac:dyDescent="0.2">
      <c r="A14" s="30" t="s">
        <v>5</v>
      </c>
      <c r="B14" s="53">
        <v>2324.6164819002151</v>
      </c>
      <c r="C14" s="53">
        <v>11631.368061304096</v>
      </c>
      <c r="D14" s="53">
        <v>4877.6410723924555</v>
      </c>
      <c r="E14" s="53">
        <v>6753.7269889116105</v>
      </c>
      <c r="F14" s="53">
        <v>2647.3167777061426</v>
      </c>
      <c r="G14" s="53">
        <v>1901.047224521637</v>
      </c>
      <c r="H14" s="53">
        <v>746.26955318450916</v>
      </c>
      <c r="I14" s="53">
        <v>1440.7242536544775</v>
      </c>
      <c r="J14" s="53">
        <v>703.42972862720478</v>
      </c>
      <c r="K14" s="53">
        <v>737.29452502727474</v>
      </c>
      <c r="L14" s="53">
        <v>7543.3270299434171</v>
      </c>
      <c r="M14" s="53">
        <v>2273.1641192436209</v>
      </c>
      <c r="N14" s="53">
        <v>3020.9106698036194</v>
      </c>
      <c r="O14" s="53">
        <v>2249.2522408962241</v>
      </c>
    </row>
    <row r="15" spans="1:15" ht="20.45" customHeight="1" x14ac:dyDescent="0.2">
      <c r="A15" s="30" t="s">
        <v>6</v>
      </c>
      <c r="B15" s="53">
        <v>1345.1479705572128</v>
      </c>
      <c r="C15" s="53">
        <v>11152.698874115944</v>
      </c>
      <c r="D15" s="53">
        <v>5476.0311009883781</v>
      </c>
      <c r="E15" s="53">
        <v>5676.6677731275477</v>
      </c>
      <c r="F15" s="53">
        <v>2714.5857089758083</v>
      </c>
      <c r="G15" s="53">
        <v>1630.2473380565641</v>
      </c>
      <c r="H15" s="53">
        <v>1084.3383709192276</v>
      </c>
      <c r="I15" s="53">
        <v>1273.2563405036917</v>
      </c>
      <c r="J15" s="53">
        <v>719.20283961296082</v>
      </c>
      <c r="K15" s="53">
        <v>554.05350089073181</v>
      </c>
      <c r="L15" s="53">
        <v>7164.856824636483</v>
      </c>
      <c r="M15" s="53">
        <v>3126.5809233188625</v>
      </c>
      <c r="N15" s="53">
        <v>2382.9515237808232</v>
      </c>
      <c r="O15" s="53">
        <v>1655.3243775367741</v>
      </c>
    </row>
    <row r="16" spans="1:15" ht="20.45" customHeight="1" x14ac:dyDescent="0.2">
      <c r="A16" s="30" t="s">
        <v>7</v>
      </c>
      <c r="B16" s="53">
        <v>115.94937515258789</v>
      </c>
      <c r="C16" s="53">
        <v>1556.5919013023379</v>
      </c>
      <c r="D16" s="53">
        <v>729.58879017829634</v>
      </c>
      <c r="E16" s="53">
        <v>827.00311112403836</v>
      </c>
      <c r="F16" s="53">
        <v>280.2932929992669</v>
      </c>
      <c r="G16" s="53">
        <v>175.34346270561221</v>
      </c>
      <c r="H16" s="53">
        <v>104.9498302936554</v>
      </c>
      <c r="I16" s="53">
        <v>237.68116068839979</v>
      </c>
      <c r="J16" s="53">
        <v>94.579978227615356</v>
      </c>
      <c r="K16" s="53">
        <v>143.10118246078491</v>
      </c>
      <c r="L16" s="53">
        <v>1038.6174476146725</v>
      </c>
      <c r="M16" s="53">
        <v>459.66534924507135</v>
      </c>
      <c r="N16" s="53">
        <v>310.92641258239746</v>
      </c>
      <c r="O16" s="53">
        <v>268.02568578720087</v>
      </c>
    </row>
    <row r="17" spans="1:15" ht="20.45" customHeight="1" x14ac:dyDescent="0.2">
      <c r="A17" s="30" t="s">
        <v>8</v>
      </c>
      <c r="B17" s="53">
        <v>79.14276909828186</v>
      </c>
      <c r="C17" s="53">
        <v>451.99434113502497</v>
      </c>
      <c r="D17" s="53">
        <v>160.72719955444322</v>
      </c>
      <c r="E17" s="53">
        <v>291.26714158058206</v>
      </c>
      <c r="F17" s="53">
        <v>139.12790703773487</v>
      </c>
      <c r="G17" s="53">
        <v>106.97453856468199</v>
      </c>
      <c r="H17" s="53">
        <v>32.153368473052979</v>
      </c>
      <c r="I17" s="53">
        <v>169.29152107238744</v>
      </c>
      <c r="J17" s="53">
        <v>22.631172657012939</v>
      </c>
      <c r="K17" s="53">
        <v>146.66034841537476</v>
      </c>
      <c r="L17" s="53">
        <v>143.57491302490249</v>
      </c>
      <c r="M17" s="53">
        <v>31.121488332748417</v>
      </c>
      <c r="N17" s="53">
        <v>68.326995849609375</v>
      </c>
      <c r="O17" s="53">
        <v>44.126428842544556</v>
      </c>
    </row>
    <row r="18" spans="1:15" ht="20.45" customHeight="1" x14ac:dyDescent="0.2">
      <c r="A18" s="30" t="s">
        <v>9</v>
      </c>
      <c r="B18" s="53">
        <v>13.599123954772949</v>
      </c>
      <c r="C18" s="53">
        <v>40.809547424316406</v>
      </c>
      <c r="D18" s="53">
        <v>40.809547424316413</v>
      </c>
      <c r="E18" s="53">
        <v>0</v>
      </c>
      <c r="F18" s="53">
        <v>22.685499191284205</v>
      </c>
      <c r="G18" s="53">
        <v>22.68549919128418</v>
      </c>
      <c r="H18" s="53"/>
      <c r="I18" s="53">
        <v>0</v>
      </c>
      <c r="J18" s="53"/>
      <c r="K18" s="53"/>
      <c r="L18" s="53">
        <v>18.12404823303223</v>
      </c>
      <c r="M18" s="53">
        <v>18.124048233032227</v>
      </c>
      <c r="N18" s="53"/>
      <c r="O18" s="53"/>
    </row>
    <row r="19" spans="1:15" ht="20.45" customHeight="1" x14ac:dyDescent="0.2">
      <c r="A19" s="30" t="s">
        <v>10</v>
      </c>
      <c r="B19" s="53">
        <v>23.585624694824219</v>
      </c>
      <c r="C19" s="53">
        <v>129.91536951065063</v>
      </c>
      <c r="D19" s="53">
        <v>90.39441251754765</v>
      </c>
      <c r="E19" s="53">
        <v>39.52095699310302</v>
      </c>
      <c r="F19" s="53">
        <v>0</v>
      </c>
      <c r="G19" s="53"/>
      <c r="H19" s="53"/>
      <c r="I19" s="53">
        <v>48.79530286788939</v>
      </c>
      <c r="J19" s="53">
        <v>41.604401588439941</v>
      </c>
      <c r="K19" s="53">
        <v>7.1909012794494629</v>
      </c>
      <c r="L19" s="53">
        <v>81.120066642761131</v>
      </c>
      <c r="M19" s="53">
        <v>48.790010929107659</v>
      </c>
      <c r="N19" s="53">
        <v>3.9767332077026367</v>
      </c>
      <c r="O19" s="53">
        <v>28.353322505950928</v>
      </c>
    </row>
    <row r="20" spans="1:15" ht="20.45" customHeight="1" x14ac:dyDescent="0.2">
      <c r="A20" s="30" t="s">
        <v>11</v>
      </c>
      <c r="B20" s="53">
        <v>0</v>
      </c>
      <c r="C20" s="53"/>
      <c r="D20" s="53">
        <v>0</v>
      </c>
      <c r="E20" s="53">
        <v>0</v>
      </c>
      <c r="F20" s="53">
        <v>0</v>
      </c>
      <c r="G20" s="53"/>
      <c r="H20" s="53"/>
      <c r="I20" s="53">
        <v>0</v>
      </c>
      <c r="J20" s="53"/>
      <c r="K20" s="53"/>
      <c r="L20" s="53">
        <v>0</v>
      </c>
      <c r="M20" s="53"/>
      <c r="N20" s="53"/>
      <c r="O20" s="53"/>
    </row>
    <row r="21" spans="1:15" s="14" customFormat="1" ht="20.45" customHeight="1" x14ac:dyDescent="0.2">
      <c r="A21" s="31" t="s">
        <v>12</v>
      </c>
      <c r="B21" s="25">
        <f>B9+B10</f>
        <v>9899.2019855976105</v>
      </c>
      <c r="C21" s="25">
        <f t="shared" ref="C21:O21" si="0">C9+C10</f>
        <v>53194.999606132566</v>
      </c>
      <c r="D21" s="25">
        <f t="shared" si="0"/>
        <v>23487.14816129224</v>
      </c>
      <c r="E21" s="25">
        <f t="shared" si="0"/>
        <v>29707.851444840409</v>
      </c>
      <c r="F21" s="25">
        <f t="shared" si="0"/>
        <v>11113.409114599297</v>
      </c>
      <c r="G21" s="25">
        <f t="shared" si="0"/>
        <v>7477.5979968309421</v>
      </c>
      <c r="H21" s="25">
        <f t="shared" si="0"/>
        <v>3635.8111177682877</v>
      </c>
      <c r="I21" s="25">
        <f t="shared" si="0"/>
        <v>6888.2016810178384</v>
      </c>
      <c r="J21" s="25">
        <f t="shared" si="0"/>
        <v>3428.8272504806532</v>
      </c>
      <c r="K21" s="25">
        <f t="shared" si="0"/>
        <v>3459.3744305372234</v>
      </c>
      <c r="L21" s="25">
        <f t="shared" si="0"/>
        <v>35193.388810515477</v>
      </c>
      <c r="M21" s="25">
        <f t="shared" si="0"/>
        <v>12580.722913980484</v>
      </c>
      <c r="N21" s="25">
        <f t="shared" si="0"/>
        <v>12484.905253648765</v>
      </c>
      <c r="O21" s="25">
        <f t="shared" si="0"/>
        <v>10127.760642886171</v>
      </c>
    </row>
  </sheetData>
  <mergeCells count="24">
    <mergeCell ref="L6:O6"/>
    <mergeCell ref="L7:L8"/>
    <mergeCell ref="M7:M8"/>
    <mergeCell ref="E7:E8"/>
    <mergeCell ref="F6:H6"/>
    <mergeCell ref="F7:F8"/>
    <mergeCell ref="G7:G8"/>
    <mergeCell ref="H7:H8"/>
    <mergeCell ref="L5:O5"/>
    <mergeCell ref="B5:E5"/>
    <mergeCell ref="B6:B8"/>
    <mergeCell ref="C6:E6"/>
    <mergeCell ref="C7:C8"/>
    <mergeCell ref="A1:O1"/>
    <mergeCell ref="N7:O7"/>
    <mergeCell ref="B4:O4"/>
    <mergeCell ref="A4:A8"/>
    <mergeCell ref="D7:D8"/>
    <mergeCell ref="F5:H5"/>
    <mergeCell ref="I5:K5"/>
    <mergeCell ref="I6:K6"/>
    <mergeCell ref="I7:I8"/>
    <mergeCell ref="J7:J8"/>
    <mergeCell ref="K7:K8"/>
  </mergeCells>
  <conditionalFormatting sqref="B10:O21">
    <cfRule type="cellIs" dxfId="638" priority="3" stopIfTrue="1" operator="equal">
      <formula>0</formula>
    </cfRule>
  </conditionalFormatting>
  <conditionalFormatting sqref="B9:O9">
    <cfRule type="cellIs" dxfId="63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firstPageNumber="4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4FB0-A41B-4C5F-8617-0493C93803B3}">
  <dimension ref="A1:N950"/>
  <sheetViews>
    <sheetView zoomScale="87" zoomScaleNormal="112" workbookViewId="0">
      <selection sqref="A1:N1"/>
    </sheetView>
  </sheetViews>
  <sheetFormatPr defaultRowHeight="12" x14ac:dyDescent="0.2"/>
  <cols>
    <col min="1" max="1" width="23.85546875" style="9" bestFit="1" customWidth="1"/>
    <col min="2" max="2" width="10.42578125" style="9" customWidth="1"/>
    <col min="3" max="4" width="10.5703125" style="9" customWidth="1"/>
    <col min="5" max="14" width="9.5703125" style="9" customWidth="1"/>
    <col min="15" max="16384" width="9.140625" style="9"/>
  </cols>
  <sheetData>
    <row r="1" spans="1:14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1"/>
      <c r="M2" s="41"/>
      <c r="N2" s="42" t="s">
        <v>32</v>
      </c>
    </row>
    <row r="3" spans="1:14" ht="12.75" x14ac:dyDescent="0.2">
      <c r="A3" s="27" t="s">
        <v>687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4" s="11" customFormat="1" ht="12.75" customHeight="1" x14ac:dyDescent="0.2">
      <c r="A4" s="123" t="s">
        <v>30</v>
      </c>
      <c r="B4" s="181" t="s">
        <v>247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</row>
    <row r="5" spans="1:14" s="11" customFormat="1" ht="14.25" customHeight="1" x14ac:dyDescent="0.2">
      <c r="A5" s="123"/>
      <c r="B5" s="121" t="s">
        <v>237</v>
      </c>
      <c r="C5" s="121"/>
      <c r="D5" s="121"/>
      <c r="E5" s="121"/>
      <c r="F5" s="121" t="s">
        <v>238</v>
      </c>
      <c r="G5" s="121"/>
      <c r="H5" s="121"/>
      <c r="I5" s="121"/>
      <c r="J5" s="121"/>
      <c r="K5" s="121"/>
      <c r="L5" s="121"/>
      <c r="M5" s="121"/>
      <c r="N5" s="121"/>
    </row>
    <row r="6" spans="1:14" s="11" customFormat="1" ht="14.25" customHeight="1" x14ac:dyDescent="0.2">
      <c r="A6" s="123"/>
      <c r="B6" s="121"/>
      <c r="C6" s="121"/>
      <c r="D6" s="121"/>
      <c r="E6" s="121"/>
      <c r="F6" s="121" t="s">
        <v>47</v>
      </c>
      <c r="G6" s="121"/>
      <c r="H6" s="121"/>
      <c r="I6" s="121" t="s">
        <v>239</v>
      </c>
      <c r="J6" s="121"/>
      <c r="K6" s="121"/>
      <c r="L6" s="121" t="s">
        <v>240</v>
      </c>
      <c r="M6" s="121"/>
      <c r="N6" s="121"/>
    </row>
    <row r="7" spans="1:14" s="11" customFormat="1" ht="14.25" customHeight="1" x14ac:dyDescent="0.2">
      <c r="A7" s="123"/>
      <c r="B7" s="121" t="s">
        <v>41</v>
      </c>
      <c r="C7" s="121" t="s">
        <v>241</v>
      </c>
      <c r="D7" s="121"/>
      <c r="E7" s="121"/>
      <c r="F7" s="121" t="s">
        <v>241</v>
      </c>
      <c r="G7" s="121"/>
      <c r="H7" s="121"/>
      <c r="I7" s="121" t="s">
        <v>241</v>
      </c>
      <c r="J7" s="121"/>
      <c r="K7" s="121"/>
      <c r="L7" s="121" t="s">
        <v>241</v>
      </c>
      <c r="M7" s="121"/>
      <c r="N7" s="121"/>
    </row>
    <row r="8" spans="1:14" s="11" customFormat="1" ht="14.25" customHeight="1" x14ac:dyDescent="0.2">
      <c r="A8" s="123"/>
      <c r="B8" s="121"/>
      <c r="C8" s="34" t="s">
        <v>47</v>
      </c>
      <c r="D8" s="34" t="s">
        <v>242</v>
      </c>
      <c r="E8" s="34" t="s">
        <v>243</v>
      </c>
      <c r="F8" s="34" t="s">
        <v>47</v>
      </c>
      <c r="G8" s="34" t="s">
        <v>242</v>
      </c>
      <c r="H8" s="34" t="s">
        <v>243</v>
      </c>
      <c r="I8" s="34" t="s">
        <v>47</v>
      </c>
      <c r="J8" s="34" t="s">
        <v>242</v>
      </c>
      <c r="K8" s="34" t="s">
        <v>243</v>
      </c>
      <c r="L8" s="34" t="s">
        <v>47</v>
      </c>
      <c r="M8" s="34" t="s">
        <v>242</v>
      </c>
      <c r="N8" s="34" t="s">
        <v>243</v>
      </c>
    </row>
    <row r="9" spans="1:14" s="6" customFormat="1" ht="20.45" customHeight="1" x14ac:dyDescent="0.2">
      <c r="A9" s="69" t="s">
        <v>0</v>
      </c>
      <c r="B9" s="70">
        <v>30926.311697125435</v>
      </c>
      <c r="C9" s="70">
        <v>66900.212681651275</v>
      </c>
      <c r="D9" s="70">
        <v>62456.647910952437</v>
      </c>
      <c r="E9" s="70">
        <v>4443.5647706985492</v>
      </c>
      <c r="F9" s="70">
        <v>16227.842420816429</v>
      </c>
      <c r="G9" s="70">
        <v>15129.757468461985</v>
      </c>
      <c r="H9" s="70">
        <v>1098.0849523544268</v>
      </c>
      <c r="I9" s="70">
        <v>7336.1203777789779</v>
      </c>
      <c r="J9" s="70">
        <v>6845.3717253207942</v>
      </c>
      <c r="K9" s="70">
        <v>490.74865245819029</v>
      </c>
      <c r="L9" s="70">
        <v>8891.7220430373982</v>
      </c>
      <c r="M9" s="70">
        <v>8284.3857431411889</v>
      </c>
      <c r="N9" s="70">
        <v>607.33629989623944</v>
      </c>
    </row>
    <row r="10" spans="1:14" s="6" customFormat="1" ht="20.45" customHeight="1" x14ac:dyDescent="0.2">
      <c r="A10" s="29" t="s">
        <v>1</v>
      </c>
      <c r="B10" s="51">
        <v>1386101.8869786263</v>
      </c>
      <c r="C10" s="51">
        <v>2856231.9103081324</v>
      </c>
      <c r="D10" s="51">
        <v>2705611.246375565</v>
      </c>
      <c r="E10" s="51">
        <v>150620.66393256193</v>
      </c>
      <c r="F10" s="51">
        <v>714118.81696522317</v>
      </c>
      <c r="G10" s="51">
        <v>681510.18215095566</v>
      </c>
      <c r="H10" s="51">
        <v>32608.634814262616</v>
      </c>
      <c r="I10" s="51">
        <v>363039.82980370434</v>
      </c>
      <c r="J10" s="51">
        <v>345144.54005981307</v>
      </c>
      <c r="K10" s="51">
        <v>17895.289743900274</v>
      </c>
      <c r="L10" s="51">
        <v>351078.98716151877</v>
      </c>
      <c r="M10" s="51">
        <v>336365.64209115109</v>
      </c>
      <c r="N10" s="51">
        <v>14713.345070362397</v>
      </c>
    </row>
    <row r="11" spans="1:14" customFormat="1" ht="20.45" customHeight="1" x14ac:dyDescent="0.2">
      <c r="A11" s="30" t="s">
        <v>2</v>
      </c>
      <c r="B11" s="53">
        <v>57026.846022605896</v>
      </c>
      <c r="C11" s="53">
        <v>99603.055205822209</v>
      </c>
      <c r="D11" s="53">
        <v>94012.630771160169</v>
      </c>
      <c r="E11" s="53">
        <v>5590.4244346618671</v>
      </c>
      <c r="F11" s="53">
        <v>24392.494068384145</v>
      </c>
      <c r="G11" s="53">
        <v>23298.879462957477</v>
      </c>
      <c r="H11" s="53">
        <v>1093.6146054267876</v>
      </c>
      <c r="I11" s="53">
        <v>11798.244317054774</v>
      </c>
      <c r="J11" s="53">
        <v>11049.301110744549</v>
      </c>
      <c r="K11" s="53">
        <v>748.94320631027392</v>
      </c>
      <c r="L11" s="53">
        <v>12594.2497513294</v>
      </c>
      <c r="M11" s="53">
        <v>12249.578352212835</v>
      </c>
      <c r="N11" s="53">
        <v>344.67139911651628</v>
      </c>
    </row>
    <row r="12" spans="1:14" customFormat="1" ht="20.45" customHeight="1" x14ac:dyDescent="0.2">
      <c r="A12" s="30" t="s">
        <v>3</v>
      </c>
      <c r="B12" s="53">
        <v>169782.20691490173</v>
      </c>
      <c r="C12" s="53">
        <v>303469.95859766018</v>
      </c>
      <c r="D12" s="53">
        <v>289121.70883440995</v>
      </c>
      <c r="E12" s="53">
        <v>14348.249763250358</v>
      </c>
      <c r="F12" s="53">
        <v>75932.735902786502</v>
      </c>
      <c r="G12" s="53">
        <v>72874.587191581813</v>
      </c>
      <c r="H12" s="53">
        <v>3058.1487112045488</v>
      </c>
      <c r="I12" s="53">
        <v>38216.340803623374</v>
      </c>
      <c r="J12" s="53">
        <v>36429.463121891655</v>
      </c>
      <c r="K12" s="53">
        <v>1786.8776817321634</v>
      </c>
      <c r="L12" s="53">
        <v>37716.395099162764</v>
      </c>
      <c r="M12" s="53">
        <v>36445.124069690428</v>
      </c>
      <c r="N12" s="53">
        <v>1271.2710294723588</v>
      </c>
    </row>
    <row r="13" spans="1:14" customFormat="1" ht="20.45" customHeight="1" x14ac:dyDescent="0.2">
      <c r="A13" s="30" t="s">
        <v>4</v>
      </c>
      <c r="B13" s="53">
        <v>507334.76499688625</v>
      </c>
      <c r="C13" s="53">
        <v>971199.40141999209</v>
      </c>
      <c r="D13" s="53">
        <v>922458.05543219869</v>
      </c>
      <c r="E13" s="53">
        <v>48741.345987796791</v>
      </c>
      <c r="F13" s="53">
        <v>243256.10767805399</v>
      </c>
      <c r="G13" s="53">
        <v>232338.33495962984</v>
      </c>
      <c r="H13" s="53">
        <v>10917.772718429525</v>
      </c>
      <c r="I13" s="53">
        <v>122996.64509868569</v>
      </c>
      <c r="J13" s="53">
        <v>116767.00827503235</v>
      </c>
      <c r="K13" s="53">
        <v>6229.6368236541994</v>
      </c>
      <c r="L13" s="53">
        <v>120259.4625793703</v>
      </c>
      <c r="M13" s="53">
        <v>115571.32668459511</v>
      </c>
      <c r="N13" s="53">
        <v>4688.1358947753424</v>
      </c>
    </row>
    <row r="14" spans="1:14" customFormat="1" ht="20.45" customHeight="1" x14ac:dyDescent="0.2">
      <c r="A14" s="30" t="s">
        <v>5</v>
      </c>
      <c r="B14" s="53">
        <v>399490.64347529411</v>
      </c>
      <c r="C14" s="53">
        <v>854735.93812011741</v>
      </c>
      <c r="D14" s="53">
        <v>807318.08660579124</v>
      </c>
      <c r="E14" s="53">
        <v>47417.851514339411</v>
      </c>
      <c r="F14" s="53">
        <v>215939.95419001931</v>
      </c>
      <c r="G14" s="53">
        <v>205107.76241040177</v>
      </c>
      <c r="H14" s="53">
        <v>10832.191779613528</v>
      </c>
      <c r="I14" s="53">
        <v>111288.79583132341</v>
      </c>
      <c r="J14" s="53">
        <v>105475.80574143014</v>
      </c>
      <c r="K14" s="53">
        <v>5812.9900898933838</v>
      </c>
      <c r="L14" s="53">
        <v>104651.15835869264</v>
      </c>
      <c r="M14" s="53">
        <v>99631.956668972518</v>
      </c>
      <c r="N14" s="53">
        <v>5019.2016897201574</v>
      </c>
    </row>
    <row r="15" spans="1:14" customFormat="1" ht="20.45" customHeight="1" x14ac:dyDescent="0.2">
      <c r="A15" s="30" t="s">
        <v>6</v>
      </c>
      <c r="B15" s="53">
        <v>195639.8402184248</v>
      </c>
      <c r="C15" s="53">
        <v>464900.82170724688</v>
      </c>
      <c r="D15" s="53">
        <v>442503.10911893507</v>
      </c>
      <c r="E15" s="53">
        <v>22397.712588310256</v>
      </c>
      <c r="F15" s="53">
        <v>114242.65828120707</v>
      </c>
      <c r="G15" s="53">
        <v>110151.13550317343</v>
      </c>
      <c r="H15" s="53">
        <v>4091.5227780342052</v>
      </c>
      <c r="I15" s="53">
        <v>57961.268570661312</v>
      </c>
      <c r="J15" s="53">
        <v>55889.535849809618</v>
      </c>
      <c r="K15" s="53">
        <v>2071.7327208518877</v>
      </c>
      <c r="L15" s="53">
        <v>56281.38971054554</v>
      </c>
      <c r="M15" s="53">
        <v>54261.599653363359</v>
      </c>
      <c r="N15" s="53">
        <v>2019.7900571823218</v>
      </c>
    </row>
    <row r="16" spans="1:14" customFormat="1" ht="20.45" customHeight="1" x14ac:dyDescent="0.2">
      <c r="A16" s="30" t="s">
        <v>7</v>
      </c>
      <c r="B16" s="53">
        <v>37376.109910368919</v>
      </c>
      <c r="C16" s="53">
        <v>101390.97923529126</v>
      </c>
      <c r="D16" s="53">
        <v>94258.905661225348</v>
      </c>
      <c r="E16" s="53">
        <v>7132.0735740661603</v>
      </c>
      <c r="F16" s="53">
        <v>25878.013952493646</v>
      </c>
      <c r="G16" s="53">
        <v>24498.19892477999</v>
      </c>
      <c r="H16" s="53">
        <v>1379.8150277137713</v>
      </c>
      <c r="I16" s="53">
        <v>13615.461754798869</v>
      </c>
      <c r="J16" s="53">
        <v>13027.327810287448</v>
      </c>
      <c r="K16" s="53">
        <v>588.13394451141266</v>
      </c>
      <c r="L16" s="53">
        <v>12262.552197694766</v>
      </c>
      <c r="M16" s="53">
        <v>11470.871114492424</v>
      </c>
      <c r="N16" s="53">
        <v>791.68108320236286</v>
      </c>
    </row>
    <row r="17" spans="1:14" customFormat="1" ht="20.45" customHeight="1" x14ac:dyDescent="0.2">
      <c r="A17" s="30" t="s">
        <v>8</v>
      </c>
      <c r="B17" s="53">
        <v>12452.792670845985</v>
      </c>
      <c r="C17" s="53">
        <v>36011.203150987589</v>
      </c>
      <c r="D17" s="53">
        <v>33124.3982784748</v>
      </c>
      <c r="E17" s="53">
        <v>2886.8048725128183</v>
      </c>
      <c r="F17" s="53">
        <v>8955.3271707296335</v>
      </c>
      <c r="G17" s="53">
        <v>8276.3425201177488</v>
      </c>
      <c r="H17" s="53">
        <v>678.98465061187699</v>
      </c>
      <c r="I17" s="53">
        <v>4347.8914798498163</v>
      </c>
      <c r="J17" s="53">
        <v>3927.6296561956515</v>
      </c>
      <c r="K17" s="53">
        <v>420.26182365417498</v>
      </c>
      <c r="L17" s="53">
        <v>4607.43569087982</v>
      </c>
      <c r="M17" s="53">
        <v>4348.7128639221164</v>
      </c>
      <c r="N17" s="53">
        <v>258.72282695770264</v>
      </c>
    </row>
    <row r="18" spans="1:14" customFormat="1" ht="20.45" customHeight="1" x14ac:dyDescent="0.2">
      <c r="A18" s="30" t="s">
        <v>9</v>
      </c>
      <c r="B18" s="53">
        <v>3361.7443978786469</v>
      </c>
      <c r="C18" s="53">
        <v>10348.359105110167</v>
      </c>
      <c r="D18" s="53">
        <v>9548.7745170593316</v>
      </c>
      <c r="E18" s="53">
        <v>799.58458805084229</v>
      </c>
      <c r="F18" s="53">
        <v>2364.8309917449938</v>
      </c>
      <c r="G18" s="53">
        <v>2156.852144241333</v>
      </c>
      <c r="H18" s="53">
        <v>207.97884750366222</v>
      </c>
      <c r="I18" s="53">
        <v>1276.2264747619631</v>
      </c>
      <c r="J18" s="53">
        <v>1164.7060422897339</v>
      </c>
      <c r="K18" s="53">
        <v>111.52043247222898</v>
      </c>
      <c r="L18" s="53">
        <v>1088.6045169830329</v>
      </c>
      <c r="M18" s="53">
        <v>992.14610195160003</v>
      </c>
      <c r="N18" s="53">
        <v>96.458415031433248</v>
      </c>
    </row>
    <row r="19" spans="1:14" customFormat="1" ht="20.45" customHeight="1" x14ac:dyDescent="0.2">
      <c r="A19" s="30" t="s">
        <v>10</v>
      </c>
      <c r="B19" s="53">
        <v>3166.8293168544769</v>
      </c>
      <c r="C19" s="53">
        <v>12402.145461797716</v>
      </c>
      <c r="D19" s="53">
        <v>11618.756745100018</v>
      </c>
      <c r="E19" s="53">
        <v>783.38871669769298</v>
      </c>
      <c r="F19" s="53">
        <v>2565.6719584465018</v>
      </c>
      <c r="G19" s="53">
        <v>2415.3516240119934</v>
      </c>
      <c r="H19" s="53">
        <v>150.32033443450933</v>
      </c>
      <c r="I19" s="53">
        <v>1335.3576664924624</v>
      </c>
      <c r="J19" s="53">
        <v>1254.653809070586</v>
      </c>
      <c r="K19" s="53">
        <v>80.703857421874957</v>
      </c>
      <c r="L19" s="53">
        <v>1230.3142919540405</v>
      </c>
      <c r="M19" s="53">
        <v>1160.6978149414063</v>
      </c>
      <c r="N19" s="53">
        <v>69.616477012634306</v>
      </c>
    </row>
    <row r="20" spans="1:14" customFormat="1" ht="20.45" customHeight="1" x14ac:dyDescent="0.2">
      <c r="A20" s="30" t="s">
        <v>11</v>
      </c>
      <c r="B20" s="53">
        <v>470.10905456542969</v>
      </c>
      <c r="C20" s="53">
        <v>2170.0483040809636</v>
      </c>
      <c r="D20" s="53">
        <v>1646.8204112052913</v>
      </c>
      <c r="E20" s="53">
        <v>523.2278928756715</v>
      </c>
      <c r="F20" s="53">
        <v>591.02277135848999</v>
      </c>
      <c r="G20" s="53">
        <v>392.73741006851196</v>
      </c>
      <c r="H20" s="53">
        <v>198.28536128997797</v>
      </c>
      <c r="I20" s="53">
        <v>203.59780645370483</v>
      </c>
      <c r="J20" s="53">
        <v>159.10864305496213</v>
      </c>
      <c r="K20" s="53">
        <v>44.489163398742683</v>
      </c>
      <c r="L20" s="53">
        <v>387.42496490478527</v>
      </c>
      <c r="M20" s="53">
        <v>233.62876701354989</v>
      </c>
      <c r="N20" s="53">
        <v>153.79619789123535</v>
      </c>
    </row>
    <row r="21" spans="1:14" s="6" customFormat="1" ht="20.45" customHeight="1" x14ac:dyDescent="0.2">
      <c r="A21" s="31" t="s">
        <v>12</v>
      </c>
      <c r="B21" s="25">
        <f>SUM(B9+B10)</f>
        <v>1417028.1986757517</v>
      </c>
      <c r="C21" s="25">
        <f t="shared" ref="C21:N21" si="0">SUM(C9+C10)</f>
        <v>2923132.1229897835</v>
      </c>
      <c r="D21" s="25">
        <f t="shared" si="0"/>
        <v>2768067.8942865175</v>
      </c>
      <c r="E21" s="25">
        <f t="shared" si="0"/>
        <v>155064.22870326048</v>
      </c>
      <c r="F21" s="25">
        <f t="shared" si="0"/>
        <v>730346.6593860396</v>
      </c>
      <c r="G21" s="25">
        <f t="shared" si="0"/>
        <v>696639.93961941765</v>
      </c>
      <c r="H21" s="25">
        <f t="shared" si="0"/>
        <v>33706.71976661704</v>
      </c>
      <c r="I21" s="25">
        <f t="shared" si="0"/>
        <v>370375.95018148329</v>
      </c>
      <c r="J21" s="25">
        <f t="shared" si="0"/>
        <v>351989.91178513388</v>
      </c>
      <c r="K21" s="25">
        <f t="shared" si="0"/>
        <v>18386.038396358465</v>
      </c>
      <c r="L21" s="25">
        <f t="shared" si="0"/>
        <v>359970.70920455619</v>
      </c>
      <c r="M21" s="25">
        <f t="shared" si="0"/>
        <v>344650.02783429227</v>
      </c>
      <c r="N21" s="25">
        <f t="shared" si="0"/>
        <v>15320.681370258637</v>
      </c>
    </row>
    <row r="22" spans="1:14" customFormat="1" ht="12.75" x14ac:dyDescent="0.2"/>
    <row r="23" spans="1:14" customFormat="1" ht="12.75" x14ac:dyDescent="0.2"/>
    <row r="24" spans="1:14" customFormat="1" ht="12.75" x14ac:dyDescent="0.2"/>
    <row r="25" spans="1:14" customFormat="1" ht="12.75" x14ac:dyDescent="0.2"/>
    <row r="26" spans="1:14" customFormat="1" ht="12.75" x14ac:dyDescent="0.2"/>
    <row r="27" spans="1:14" customFormat="1" ht="12.75" x14ac:dyDescent="0.2"/>
    <row r="28" spans="1:14" customFormat="1" ht="12.75" x14ac:dyDescent="0.2"/>
    <row r="29" spans="1:14" customFormat="1" ht="12.75" x14ac:dyDescent="0.2"/>
    <row r="30" spans="1:14" customFormat="1" ht="12.75" x14ac:dyDescent="0.2"/>
    <row r="31" spans="1:14" customFormat="1" ht="12.75" x14ac:dyDescent="0.2"/>
    <row r="32" spans="1:14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</sheetData>
  <mergeCells count="13">
    <mergeCell ref="L6:N6"/>
    <mergeCell ref="B7:B8"/>
    <mergeCell ref="C7:E7"/>
    <mergeCell ref="F7:H7"/>
    <mergeCell ref="I7:K7"/>
    <mergeCell ref="L7:N7"/>
    <mergeCell ref="A1:N1"/>
    <mergeCell ref="A4:A8"/>
    <mergeCell ref="B4:N4"/>
    <mergeCell ref="B5:E6"/>
    <mergeCell ref="F5:N5"/>
    <mergeCell ref="F6:H6"/>
    <mergeCell ref="I6:K6"/>
  </mergeCells>
  <conditionalFormatting sqref="B9:B21">
    <cfRule type="cellIs" dxfId="636" priority="13" stopIfTrue="1" operator="equal">
      <formula>0</formula>
    </cfRule>
  </conditionalFormatting>
  <conditionalFormatting sqref="C9:C21">
    <cfRule type="cellIs" dxfId="635" priority="12" stopIfTrue="1" operator="equal">
      <formula>0</formula>
    </cfRule>
  </conditionalFormatting>
  <conditionalFormatting sqref="D9:D21">
    <cfRule type="cellIs" dxfId="634" priority="11" stopIfTrue="1" operator="equal">
      <formula>0</formula>
    </cfRule>
  </conditionalFormatting>
  <conditionalFormatting sqref="E9:E21">
    <cfRule type="cellIs" dxfId="633" priority="10" stopIfTrue="1" operator="equal">
      <formula>0</formula>
    </cfRule>
  </conditionalFormatting>
  <conditionalFormatting sqref="F9:F21">
    <cfRule type="cellIs" dxfId="632" priority="9" stopIfTrue="1" operator="equal">
      <formula>0</formula>
    </cfRule>
  </conditionalFormatting>
  <conditionalFormatting sqref="G9:G21">
    <cfRule type="cellIs" dxfId="631" priority="8" stopIfTrue="1" operator="equal">
      <formula>0</formula>
    </cfRule>
  </conditionalFormatting>
  <conditionalFormatting sqref="H9:H21">
    <cfRule type="cellIs" dxfId="630" priority="7" stopIfTrue="1" operator="equal">
      <formula>0</formula>
    </cfRule>
  </conditionalFormatting>
  <conditionalFormatting sqref="I9:I21">
    <cfRule type="cellIs" dxfId="629" priority="6" stopIfTrue="1" operator="equal">
      <formula>0</formula>
    </cfRule>
  </conditionalFormatting>
  <conditionalFormatting sqref="J9:J21">
    <cfRule type="cellIs" dxfId="628" priority="5" stopIfTrue="1" operator="equal">
      <formula>0</formula>
    </cfRule>
  </conditionalFormatting>
  <conditionalFormatting sqref="K9:K21">
    <cfRule type="cellIs" dxfId="627" priority="4" stopIfTrue="1" operator="equal">
      <formula>0</formula>
    </cfRule>
  </conditionalFormatting>
  <conditionalFormatting sqref="L9:L21">
    <cfRule type="cellIs" dxfId="626" priority="3" stopIfTrue="1" operator="equal">
      <formula>0</formula>
    </cfRule>
  </conditionalFormatting>
  <conditionalFormatting sqref="M9:M21">
    <cfRule type="cellIs" dxfId="625" priority="2" stopIfTrue="1" operator="equal">
      <formula>0</formula>
    </cfRule>
  </conditionalFormatting>
  <conditionalFormatting sqref="N9:N21">
    <cfRule type="cellIs" dxfId="62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B197-2418-42DF-BE3C-9FC58DA39B33}">
  <dimension ref="A1:J950"/>
  <sheetViews>
    <sheetView zoomScale="75" zoomScaleNormal="75" workbookViewId="0">
      <selection sqref="A1:J1"/>
    </sheetView>
  </sheetViews>
  <sheetFormatPr defaultRowHeight="12" x14ac:dyDescent="0.2"/>
  <cols>
    <col min="1" max="1" width="23.85546875" style="9" bestFit="1" customWidth="1"/>
    <col min="2" max="10" width="11.85546875" style="9" customWidth="1"/>
    <col min="11" max="16384" width="9.140625" style="9"/>
  </cols>
  <sheetData>
    <row r="1" spans="1:10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2">
      <c r="A2" s="41"/>
      <c r="B2" s="42"/>
      <c r="C2" s="42"/>
      <c r="D2" s="42"/>
      <c r="E2" s="42"/>
      <c r="F2" s="42"/>
      <c r="G2" s="42"/>
      <c r="H2" s="41"/>
      <c r="I2" s="41"/>
      <c r="J2" s="42" t="s">
        <v>32</v>
      </c>
    </row>
    <row r="3" spans="1:10" ht="12.75" x14ac:dyDescent="0.2">
      <c r="A3" s="27" t="s">
        <v>605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s="11" customFormat="1" ht="12.75" customHeight="1" x14ac:dyDescent="0.2">
      <c r="A4" s="123" t="s">
        <v>30</v>
      </c>
      <c r="B4" s="181" t="s">
        <v>247</v>
      </c>
      <c r="C4" s="181"/>
      <c r="D4" s="181"/>
      <c r="E4" s="181"/>
      <c r="F4" s="181"/>
      <c r="G4" s="181"/>
      <c r="H4" s="181"/>
      <c r="I4" s="181"/>
      <c r="J4" s="181"/>
    </row>
    <row r="5" spans="1:10" s="11" customFormat="1" ht="14.25" customHeight="1" x14ac:dyDescent="0.2">
      <c r="A5" s="123"/>
      <c r="B5" s="121" t="s">
        <v>252</v>
      </c>
      <c r="C5" s="121"/>
      <c r="D5" s="121"/>
      <c r="E5" s="121"/>
      <c r="F5" s="121"/>
      <c r="G5" s="121"/>
      <c r="H5" s="121"/>
      <c r="I5" s="121"/>
      <c r="J5" s="121"/>
    </row>
    <row r="6" spans="1:10" s="11" customFormat="1" ht="14.25" customHeight="1" x14ac:dyDescent="0.2">
      <c r="A6" s="123"/>
      <c r="B6" s="121" t="s">
        <v>47</v>
      </c>
      <c r="C6" s="121"/>
      <c r="D6" s="121"/>
      <c r="E6" s="121" t="s">
        <v>239</v>
      </c>
      <c r="F6" s="121"/>
      <c r="G6" s="121"/>
      <c r="H6" s="121" t="s">
        <v>240</v>
      </c>
      <c r="I6" s="121"/>
      <c r="J6" s="121"/>
    </row>
    <row r="7" spans="1:10" s="11" customFormat="1" ht="14.25" customHeight="1" x14ac:dyDescent="0.2">
      <c r="A7" s="123"/>
      <c r="B7" s="121" t="s">
        <v>241</v>
      </c>
      <c r="C7" s="121"/>
      <c r="D7" s="121"/>
      <c r="E7" s="121" t="s">
        <v>241</v>
      </c>
      <c r="F7" s="121"/>
      <c r="G7" s="121"/>
      <c r="H7" s="121" t="s">
        <v>241</v>
      </c>
      <c r="I7" s="121"/>
      <c r="J7" s="121"/>
    </row>
    <row r="8" spans="1:10" s="11" customFormat="1" ht="14.25" customHeight="1" x14ac:dyDescent="0.2">
      <c r="A8" s="123"/>
      <c r="B8" s="34" t="s">
        <v>47</v>
      </c>
      <c r="C8" s="34" t="s">
        <v>242</v>
      </c>
      <c r="D8" s="34" t="s">
        <v>243</v>
      </c>
      <c r="E8" s="34" t="s">
        <v>47</v>
      </c>
      <c r="F8" s="34" t="s">
        <v>242</v>
      </c>
      <c r="G8" s="34" t="s">
        <v>243</v>
      </c>
      <c r="H8" s="34" t="s">
        <v>47</v>
      </c>
      <c r="I8" s="34" t="s">
        <v>242</v>
      </c>
      <c r="J8" s="34" t="s">
        <v>243</v>
      </c>
    </row>
    <row r="9" spans="1:10" s="6" customFormat="1" ht="20.45" customHeight="1" x14ac:dyDescent="0.2">
      <c r="A9" s="69" t="s">
        <v>0</v>
      </c>
      <c r="B9" s="70">
        <v>14550.73600494866</v>
      </c>
      <c r="C9" s="70">
        <v>13919.568246006946</v>
      </c>
      <c r="D9" s="70">
        <v>631.1677589416505</v>
      </c>
      <c r="E9" s="70">
        <v>5820.1668963432412</v>
      </c>
      <c r="F9" s="70">
        <v>5591.0120010375886</v>
      </c>
      <c r="G9" s="70">
        <v>229.15489530563337</v>
      </c>
      <c r="H9" s="70">
        <v>8730.5691086053739</v>
      </c>
      <c r="I9" s="70">
        <v>8328.5562449693698</v>
      </c>
      <c r="J9" s="70">
        <v>402.0128636360165</v>
      </c>
    </row>
    <row r="10" spans="1:10" s="6" customFormat="1" ht="20.45" customHeight="1" x14ac:dyDescent="0.2">
      <c r="A10" s="29" t="s">
        <v>1</v>
      </c>
      <c r="B10" s="51">
        <v>565864.88784586813</v>
      </c>
      <c r="C10" s="51">
        <v>543006.12458979548</v>
      </c>
      <c r="D10" s="51">
        <v>22858.763256072558</v>
      </c>
      <c r="E10" s="51">
        <v>221191.76889443336</v>
      </c>
      <c r="F10" s="51">
        <v>211516.17980217823</v>
      </c>
      <c r="G10" s="51">
        <v>9675.5890922546987</v>
      </c>
      <c r="H10" s="51">
        <v>344673.11895143648</v>
      </c>
      <c r="I10" s="51">
        <v>331489.94478762301</v>
      </c>
      <c r="J10" s="51">
        <v>13183.174163818287</v>
      </c>
    </row>
    <row r="11" spans="1:10" customFormat="1" ht="20.45" customHeight="1" x14ac:dyDescent="0.2">
      <c r="A11" s="30" t="s">
        <v>2</v>
      </c>
      <c r="B11" s="53">
        <v>21393.588896751335</v>
      </c>
      <c r="C11" s="53">
        <v>20402.568448066777</v>
      </c>
      <c r="D11" s="53">
        <v>991.02044868469989</v>
      </c>
      <c r="E11" s="53">
        <v>7787.6524600981884</v>
      </c>
      <c r="F11" s="53">
        <v>7361.5998182297026</v>
      </c>
      <c r="G11" s="53">
        <v>426.05264186859017</v>
      </c>
      <c r="H11" s="53">
        <v>13605.936436653155</v>
      </c>
      <c r="I11" s="53">
        <v>13040.968629837071</v>
      </c>
      <c r="J11" s="53">
        <v>564.96780681610142</v>
      </c>
    </row>
    <row r="12" spans="1:10" customFormat="1" ht="20.45" customHeight="1" x14ac:dyDescent="0.2">
      <c r="A12" s="30" t="s">
        <v>3</v>
      </c>
      <c r="B12" s="53">
        <v>61742.128791809337</v>
      </c>
      <c r="C12" s="53">
        <v>59494.870569229417</v>
      </c>
      <c r="D12" s="53">
        <v>2247.2582225799688</v>
      </c>
      <c r="E12" s="53">
        <v>23304.363237857593</v>
      </c>
      <c r="F12" s="53">
        <v>22337.059612751083</v>
      </c>
      <c r="G12" s="53">
        <v>967.30362510681459</v>
      </c>
      <c r="H12" s="53">
        <v>38437.765553951234</v>
      </c>
      <c r="I12" s="53">
        <v>37157.810956478272</v>
      </c>
      <c r="J12" s="53">
        <v>1279.9545974731452</v>
      </c>
    </row>
    <row r="13" spans="1:10" customFormat="1" ht="20.45" customHeight="1" x14ac:dyDescent="0.2">
      <c r="A13" s="30" t="s">
        <v>4</v>
      </c>
      <c r="B13" s="53">
        <v>194323.83959233927</v>
      </c>
      <c r="C13" s="53">
        <v>187259.61802279731</v>
      </c>
      <c r="D13" s="53">
        <v>7064.22156953801</v>
      </c>
      <c r="E13" s="53">
        <v>74974.394396067684</v>
      </c>
      <c r="F13" s="53">
        <v>71443.23928284565</v>
      </c>
      <c r="G13" s="53">
        <v>3531.1551132202326</v>
      </c>
      <c r="H13" s="53">
        <v>119349.44519627068</v>
      </c>
      <c r="I13" s="53">
        <v>115816.37873995304</v>
      </c>
      <c r="J13" s="53">
        <v>3533.0664563179398</v>
      </c>
    </row>
    <row r="14" spans="1:10" customFormat="1" ht="20.45" customHeight="1" x14ac:dyDescent="0.2">
      <c r="A14" s="30" t="s">
        <v>5</v>
      </c>
      <c r="B14" s="53">
        <v>167034.25992739052</v>
      </c>
      <c r="C14" s="53">
        <v>159797.50928032529</v>
      </c>
      <c r="D14" s="53">
        <v>7236.7506470679637</v>
      </c>
      <c r="E14" s="53">
        <v>65140.027756214156</v>
      </c>
      <c r="F14" s="53">
        <v>62452.657029152484</v>
      </c>
      <c r="G14" s="53">
        <v>2687.3707270622403</v>
      </c>
      <c r="H14" s="53">
        <v>101894.23217117779</v>
      </c>
      <c r="I14" s="53">
        <v>97344.852251171775</v>
      </c>
      <c r="J14" s="53">
        <v>4549.3799200058593</v>
      </c>
    </row>
    <row r="15" spans="1:10" customFormat="1" ht="20.45" customHeight="1" x14ac:dyDescent="0.2">
      <c r="A15" s="30" t="s">
        <v>6</v>
      </c>
      <c r="B15" s="53">
        <v>90132.31808364371</v>
      </c>
      <c r="C15" s="53">
        <v>86339.92463672212</v>
      </c>
      <c r="D15" s="53">
        <v>3792.3934469222991</v>
      </c>
      <c r="E15" s="53">
        <v>37149.062062024881</v>
      </c>
      <c r="F15" s="53">
        <v>35747.510764837461</v>
      </c>
      <c r="G15" s="53">
        <v>1401.5512971877997</v>
      </c>
      <c r="H15" s="53">
        <v>52983.256021618763</v>
      </c>
      <c r="I15" s="53">
        <v>50592.413871884128</v>
      </c>
      <c r="J15" s="53">
        <v>2390.8421497344993</v>
      </c>
    </row>
    <row r="16" spans="1:10" customFormat="1" ht="20.45" customHeight="1" x14ac:dyDescent="0.2">
      <c r="A16" s="30" t="s">
        <v>7</v>
      </c>
      <c r="B16" s="53">
        <v>18815.060645341917</v>
      </c>
      <c r="C16" s="53">
        <v>17831.876431703542</v>
      </c>
      <c r="D16" s="53">
        <v>983.18421363830601</v>
      </c>
      <c r="E16" s="53">
        <v>7368.9181230068207</v>
      </c>
      <c r="F16" s="53">
        <v>6999.9894115924999</v>
      </c>
      <c r="G16" s="53">
        <v>368.92871141433687</v>
      </c>
      <c r="H16" s="53">
        <v>11446.142522335071</v>
      </c>
      <c r="I16" s="53">
        <v>10831.887020111086</v>
      </c>
      <c r="J16" s="53">
        <v>614.25550222396873</v>
      </c>
    </row>
    <row r="17" spans="1:10" customFormat="1" ht="20.45" customHeight="1" x14ac:dyDescent="0.2">
      <c r="A17" s="30" t="s">
        <v>8</v>
      </c>
      <c r="B17" s="53">
        <v>6913.4966316223217</v>
      </c>
      <c r="C17" s="53">
        <v>6503.045936584469</v>
      </c>
      <c r="D17" s="53">
        <v>410.45069503784157</v>
      </c>
      <c r="E17" s="53">
        <v>3047.0948610305777</v>
      </c>
      <c r="F17" s="53">
        <v>2826.7776088714554</v>
      </c>
      <c r="G17" s="53">
        <v>220.31725215911845</v>
      </c>
      <c r="H17" s="53">
        <v>3866.4017705917317</v>
      </c>
      <c r="I17" s="53">
        <v>3676.26832771301</v>
      </c>
      <c r="J17" s="53">
        <v>190.13344287872314</v>
      </c>
    </row>
    <row r="18" spans="1:10" customFormat="1" ht="20.45" customHeight="1" x14ac:dyDescent="0.2">
      <c r="A18" s="30" t="s">
        <v>9</v>
      </c>
      <c r="B18" s="53">
        <v>1965.6696352958661</v>
      </c>
      <c r="C18" s="53">
        <v>1946.7803721427911</v>
      </c>
      <c r="D18" s="53">
        <v>18.889263153076172</v>
      </c>
      <c r="E18" s="53">
        <v>730.74078083038364</v>
      </c>
      <c r="F18" s="53">
        <v>711.8515176773077</v>
      </c>
      <c r="G18" s="53">
        <v>18.889263153076172</v>
      </c>
      <c r="H18" s="53">
        <v>1234.9288544654844</v>
      </c>
      <c r="I18" s="53">
        <v>1234.9288544654844</v>
      </c>
      <c r="J18" s="53">
        <v>0</v>
      </c>
    </row>
    <row r="19" spans="1:10" customFormat="1" ht="20.45" customHeight="1" x14ac:dyDescent="0.2">
      <c r="A19" s="30" t="s">
        <v>10</v>
      </c>
      <c r="B19" s="53">
        <v>3227.5006186962164</v>
      </c>
      <c r="C19" s="53">
        <v>3146.5739409923567</v>
      </c>
      <c r="D19" s="53">
        <v>80.926677703857408</v>
      </c>
      <c r="E19" s="53">
        <v>1569.6652121543871</v>
      </c>
      <c r="F19" s="53">
        <v>1538.0901322364814</v>
      </c>
      <c r="G19" s="53">
        <v>31.57507991790769</v>
      </c>
      <c r="H19" s="53">
        <v>1657.8354065418243</v>
      </c>
      <c r="I19" s="53">
        <v>1608.4838087558728</v>
      </c>
      <c r="J19" s="53">
        <v>49.351597785949764</v>
      </c>
    </row>
    <row r="20" spans="1:10" customFormat="1" ht="20.45" customHeight="1" x14ac:dyDescent="0.2">
      <c r="A20" s="30" t="s">
        <v>11</v>
      </c>
      <c r="B20" s="53">
        <v>317.02502298355103</v>
      </c>
      <c r="C20" s="53">
        <v>283.35695123672491</v>
      </c>
      <c r="D20" s="53">
        <v>33.668071746826172</v>
      </c>
      <c r="E20" s="53">
        <v>119.85000514984129</v>
      </c>
      <c r="F20" s="53">
        <v>97.404623985290527</v>
      </c>
      <c r="G20" s="53">
        <v>22.445381164550778</v>
      </c>
      <c r="H20" s="53">
        <v>197.17501783370966</v>
      </c>
      <c r="I20" s="53">
        <v>185.95232725143433</v>
      </c>
      <c r="J20" s="53">
        <v>11.222690582275389</v>
      </c>
    </row>
    <row r="21" spans="1:10" s="6" customFormat="1" ht="20.45" customHeight="1" x14ac:dyDescent="0.2">
      <c r="A21" s="31" t="s">
        <v>12</v>
      </c>
      <c r="B21" s="25">
        <f>SUM(B9+B10)</f>
        <v>580415.62385081674</v>
      </c>
      <c r="C21" s="25">
        <f t="shared" ref="C21:J21" si="0">SUM(C9+C10)</f>
        <v>556925.69283580245</v>
      </c>
      <c r="D21" s="25">
        <f t="shared" si="0"/>
        <v>23489.931015014208</v>
      </c>
      <c r="E21" s="25">
        <f t="shared" si="0"/>
        <v>227011.9357907766</v>
      </c>
      <c r="F21" s="25">
        <f t="shared" si="0"/>
        <v>217107.19180321583</v>
      </c>
      <c r="G21" s="25">
        <f t="shared" si="0"/>
        <v>9904.7439875603322</v>
      </c>
      <c r="H21" s="25">
        <f t="shared" si="0"/>
        <v>353403.68806004187</v>
      </c>
      <c r="I21" s="25">
        <f t="shared" si="0"/>
        <v>339818.50103259238</v>
      </c>
      <c r="J21" s="25">
        <f t="shared" si="0"/>
        <v>13585.187027454303</v>
      </c>
    </row>
    <row r="22" spans="1:10" customFormat="1" ht="12.75" x14ac:dyDescent="0.2"/>
    <row r="23" spans="1:10" customFormat="1" ht="12.75" x14ac:dyDescent="0.2"/>
    <row r="24" spans="1:10" customFormat="1" ht="12.75" x14ac:dyDescent="0.2"/>
    <row r="25" spans="1:10" customFormat="1" ht="12.75" x14ac:dyDescent="0.2"/>
    <row r="26" spans="1:10" customFormat="1" ht="12.75" x14ac:dyDescent="0.2"/>
    <row r="27" spans="1:10" customFormat="1" ht="12.75" x14ac:dyDescent="0.2"/>
    <row r="28" spans="1:10" customFormat="1" ht="12.75" x14ac:dyDescent="0.2"/>
    <row r="29" spans="1:10" customFormat="1" ht="12.75" x14ac:dyDescent="0.2"/>
    <row r="30" spans="1:10" customFormat="1" ht="12.75" x14ac:dyDescent="0.2"/>
    <row r="31" spans="1:10" customFormat="1" ht="12.75" x14ac:dyDescent="0.2"/>
    <row r="32" spans="1:10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</sheetData>
  <mergeCells count="10">
    <mergeCell ref="A1:J1"/>
    <mergeCell ref="A4:A8"/>
    <mergeCell ref="B4:J4"/>
    <mergeCell ref="B5:J5"/>
    <mergeCell ref="B6:D6"/>
    <mergeCell ref="E6:G6"/>
    <mergeCell ref="H6:J6"/>
    <mergeCell ref="B7:D7"/>
    <mergeCell ref="E7:G7"/>
    <mergeCell ref="H7:J7"/>
  </mergeCells>
  <conditionalFormatting sqref="B9:B21">
    <cfRule type="cellIs" dxfId="623" priority="9" stopIfTrue="1" operator="equal">
      <formula>0</formula>
    </cfRule>
  </conditionalFormatting>
  <conditionalFormatting sqref="C9:C21">
    <cfRule type="cellIs" dxfId="622" priority="8" stopIfTrue="1" operator="equal">
      <formula>0</formula>
    </cfRule>
  </conditionalFormatting>
  <conditionalFormatting sqref="D9:D21">
    <cfRule type="cellIs" dxfId="621" priority="7" stopIfTrue="1" operator="equal">
      <formula>0</formula>
    </cfRule>
  </conditionalFormatting>
  <conditionalFormatting sqref="E9:E21">
    <cfRule type="cellIs" dxfId="620" priority="6" stopIfTrue="1" operator="equal">
      <formula>0</formula>
    </cfRule>
  </conditionalFormatting>
  <conditionalFormatting sqref="F9:F21">
    <cfRule type="cellIs" dxfId="619" priority="5" stopIfTrue="1" operator="equal">
      <formula>0</formula>
    </cfRule>
  </conditionalFormatting>
  <conditionalFormatting sqref="G9:G21">
    <cfRule type="cellIs" dxfId="618" priority="4" stopIfTrue="1" operator="equal">
      <formula>0</formula>
    </cfRule>
  </conditionalFormatting>
  <conditionalFormatting sqref="H9:H21">
    <cfRule type="cellIs" dxfId="617" priority="3" stopIfTrue="1" operator="equal">
      <formula>0</formula>
    </cfRule>
  </conditionalFormatting>
  <conditionalFormatting sqref="I9:I21">
    <cfRule type="cellIs" dxfId="616" priority="2" stopIfTrue="1" operator="equal">
      <formula>0</formula>
    </cfRule>
  </conditionalFormatting>
  <conditionalFormatting sqref="J9:J21">
    <cfRule type="cellIs" dxfId="615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E15E-BA01-40D9-82AB-709D0F2979E9}">
  <dimension ref="A1:S938"/>
  <sheetViews>
    <sheetView zoomScale="97" zoomScaleNormal="100" workbookViewId="0">
      <selection sqref="A1:S1"/>
    </sheetView>
  </sheetViews>
  <sheetFormatPr defaultRowHeight="12" x14ac:dyDescent="0.2"/>
  <cols>
    <col min="1" max="1" width="23.85546875" style="9" bestFit="1" customWidth="1"/>
    <col min="2" max="2" width="10" style="9" customWidth="1"/>
    <col min="3" max="3" width="9.42578125" style="9" customWidth="1"/>
    <col min="4" max="19" width="8.42578125" style="9" customWidth="1"/>
    <col min="20" max="16384" width="9.140625" style="9"/>
  </cols>
  <sheetData>
    <row r="1" spans="1:19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</row>
    <row r="2" spans="1:19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1"/>
      <c r="O2" s="41"/>
      <c r="P2" s="42"/>
      <c r="Q2" s="41"/>
      <c r="R2" s="41"/>
      <c r="S2" s="42" t="s">
        <v>32</v>
      </c>
    </row>
    <row r="3" spans="1:19" ht="12.75" x14ac:dyDescent="0.2">
      <c r="A3" s="27" t="s">
        <v>606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19" s="11" customFormat="1" ht="12.75" customHeight="1" x14ac:dyDescent="0.2">
      <c r="A4" s="123" t="s">
        <v>30</v>
      </c>
      <c r="B4" s="181" t="s">
        <v>247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</row>
    <row r="5" spans="1:19" s="11" customFormat="1" ht="14.25" customHeight="1" x14ac:dyDescent="0.2">
      <c r="A5" s="123"/>
      <c r="B5" s="121" t="s">
        <v>250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</row>
    <row r="6" spans="1:19" s="11" customFormat="1" ht="14.25" customHeight="1" x14ac:dyDescent="0.2">
      <c r="A6" s="123"/>
      <c r="B6" s="121" t="s">
        <v>47</v>
      </c>
      <c r="C6" s="121"/>
      <c r="D6" s="121"/>
      <c r="E6" s="121" t="s">
        <v>239</v>
      </c>
      <c r="F6" s="121"/>
      <c r="G6" s="121"/>
      <c r="H6" s="121"/>
      <c r="I6" s="121"/>
      <c r="J6" s="121"/>
      <c r="K6" s="121"/>
      <c r="L6" s="121"/>
      <c r="M6" s="121"/>
      <c r="N6" s="121" t="s">
        <v>240</v>
      </c>
      <c r="O6" s="121"/>
      <c r="P6" s="121"/>
      <c r="Q6" s="121"/>
      <c r="R6" s="121"/>
      <c r="S6" s="121"/>
    </row>
    <row r="7" spans="1:19" s="11" customFormat="1" ht="14.25" customHeight="1" x14ac:dyDescent="0.2">
      <c r="A7" s="123"/>
      <c r="B7" s="121" t="s">
        <v>241</v>
      </c>
      <c r="C7" s="121"/>
      <c r="D7" s="121"/>
      <c r="E7" s="121" t="s">
        <v>436</v>
      </c>
      <c r="F7" s="121"/>
      <c r="G7" s="121"/>
      <c r="H7" s="121" t="s">
        <v>437</v>
      </c>
      <c r="I7" s="121"/>
      <c r="J7" s="121"/>
      <c r="K7" s="121" t="s">
        <v>435</v>
      </c>
      <c r="L7" s="121"/>
      <c r="M7" s="121"/>
      <c r="N7" s="191" t="s">
        <v>531</v>
      </c>
      <c r="O7" s="191"/>
      <c r="P7" s="191"/>
      <c r="Q7" s="191" t="s">
        <v>532</v>
      </c>
      <c r="R7" s="191"/>
      <c r="S7" s="191"/>
    </row>
    <row r="8" spans="1:19" s="11" customFormat="1" ht="16.7" customHeight="1" x14ac:dyDescent="0.2">
      <c r="A8" s="123"/>
      <c r="B8" s="121"/>
      <c r="C8" s="121"/>
      <c r="D8" s="121"/>
      <c r="E8" s="121" t="s">
        <v>241</v>
      </c>
      <c r="F8" s="121"/>
      <c r="G8" s="121"/>
      <c r="H8" s="121" t="s">
        <v>241</v>
      </c>
      <c r="I8" s="121"/>
      <c r="J8" s="121"/>
      <c r="K8" s="121" t="s">
        <v>241</v>
      </c>
      <c r="L8" s="121"/>
      <c r="M8" s="121"/>
      <c r="N8" s="191" t="s">
        <v>241</v>
      </c>
      <c r="O8" s="191"/>
      <c r="P8" s="191"/>
      <c r="Q8" s="191" t="s">
        <v>241</v>
      </c>
      <c r="R8" s="191"/>
      <c r="S8" s="191"/>
    </row>
    <row r="9" spans="1:19" s="11" customFormat="1" ht="19.350000000000001" customHeight="1" x14ac:dyDescent="0.2">
      <c r="A9" s="123"/>
      <c r="B9" s="34" t="s">
        <v>47</v>
      </c>
      <c r="C9" s="34" t="s">
        <v>242</v>
      </c>
      <c r="D9" s="34" t="s">
        <v>243</v>
      </c>
      <c r="E9" s="34" t="s">
        <v>47</v>
      </c>
      <c r="F9" s="34" t="s">
        <v>242</v>
      </c>
      <c r="G9" s="34" t="s">
        <v>243</v>
      </c>
      <c r="H9" s="34" t="s">
        <v>47</v>
      </c>
      <c r="I9" s="34" t="s">
        <v>242</v>
      </c>
      <c r="J9" s="34" t="s">
        <v>243</v>
      </c>
      <c r="K9" s="34" t="s">
        <v>47</v>
      </c>
      <c r="L9" s="34" t="s">
        <v>242</v>
      </c>
      <c r="M9" s="34" t="s">
        <v>243</v>
      </c>
      <c r="N9" s="89" t="s">
        <v>47</v>
      </c>
      <c r="O9" s="89" t="s">
        <v>242</v>
      </c>
      <c r="P9" s="89" t="s">
        <v>243</v>
      </c>
      <c r="Q9" s="89" t="s">
        <v>47</v>
      </c>
      <c r="R9" s="89" t="s">
        <v>242</v>
      </c>
      <c r="S9" s="89" t="s">
        <v>243</v>
      </c>
    </row>
    <row r="10" spans="1:19" s="6" customFormat="1" ht="20.45" customHeight="1" x14ac:dyDescent="0.2">
      <c r="A10" s="69" t="s">
        <v>0</v>
      </c>
      <c r="B10" s="70">
        <v>36121.634255886071</v>
      </c>
      <c r="C10" s="70">
        <v>33407.322196483547</v>
      </c>
      <c r="D10" s="70">
        <v>2714.3120594024567</v>
      </c>
      <c r="E10" s="70">
        <v>841.16464996337925</v>
      </c>
      <c r="F10" s="70">
        <v>833.51646709442048</v>
      </c>
      <c r="G10" s="70">
        <v>7.6481828689574911</v>
      </c>
      <c r="H10" s="70">
        <v>1567.9302334785491</v>
      </c>
      <c r="I10" s="70">
        <v>1473.1086258888263</v>
      </c>
      <c r="J10" s="70">
        <v>94.82160758972158</v>
      </c>
      <c r="K10" s="70">
        <v>1217.0883893966668</v>
      </c>
      <c r="L10" s="70">
        <v>1192.2431421279882</v>
      </c>
      <c r="M10" s="70">
        <v>24.845247268676793</v>
      </c>
      <c r="N10" s="70">
        <v>19062.964584589001</v>
      </c>
      <c r="O10" s="70">
        <v>17135.397975206441</v>
      </c>
      <c r="P10" s="70">
        <v>1927.5666093826258</v>
      </c>
      <c r="Q10" s="70">
        <v>13432.486398458483</v>
      </c>
      <c r="R10" s="70">
        <v>12773.055986166002</v>
      </c>
      <c r="S10" s="70">
        <v>659.43041229247979</v>
      </c>
    </row>
    <row r="11" spans="1:19" s="6" customFormat="1" ht="20.45" customHeight="1" x14ac:dyDescent="0.2">
      <c r="A11" s="29" t="s">
        <v>1</v>
      </c>
      <c r="B11" s="51">
        <v>1576248.2054970353</v>
      </c>
      <c r="C11" s="51">
        <v>1481094.9396348039</v>
      </c>
      <c r="D11" s="51">
        <v>95153.265862224274</v>
      </c>
      <c r="E11" s="51">
        <v>41868.404864430915</v>
      </c>
      <c r="F11" s="51">
        <v>40133.084113717581</v>
      </c>
      <c r="G11" s="51">
        <v>1735.3207507133741</v>
      </c>
      <c r="H11" s="51">
        <v>44997.167035579456</v>
      </c>
      <c r="I11" s="51">
        <v>43885.012435913486</v>
      </c>
      <c r="J11" s="51">
        <v>1112.1545996666066</v>
      </c>
      <c r="K11" s="51">
        <v>107111.82715165621</v>
      </c>
      <c r="L11" s="51">
        <v>105557.51944339252</v>
      </c>
      <c r="M11" s="51">
        <v>1554.3077082633783</v>
      </c>
      <c r="N11" s="51">
        <v>785152.00190079201</v>
      </c>
      <c r="O11" s="51">
        <v>716381.57501256745</v>
      </c>
      <c r="P11" s="51">
        <v>68770.426888227375</v>
      </c>
      <c r="Q11" s="51">
        <v>597118.80454457982</v>
      </c>
      <c r="R11" s="51">
        <v>575137.74862919468</v>
      </c>
      <c r="S11" s="51">
        <v>21981.05591535581</v>
      </c>
    </row>
    <row r="12" spans="1:19" customFormat="1" ht="20.45" customHeight="1" x14ac:dyDescent="0.2">
      <c r="A12" s="30" t="s">
        <v>2</v>
      </c>
      <c r="B12" s="53">
        <v>53816.972240686613</v>
      </c>
      <c r="C12" s="53">
        <v>50311.182860136119</v>
      </c>
      <c r="D12" s="53">
        <v>3505.7893805503686</v>
      </c>
      <c r="E12" s="53">
        <v>1562.9565291404815</v>
      </c>
      <c r="F12" s="53">
        <v>1535.2910599708598</v>
      </c>
      <c r="G12" s="53">
        <v>27.665469169616724</v>
      </c>
      <c r="H12" s="53">
        <v>2099.3271253109092</v>
      </c>
      <c r="I12" s="53">
        <v>1828.7134034633682</v>
      </c>
      <c r="J12" s="53">
        <v>270.61372184753355</v>
      </c>
      <c r="K12" s="53">
        <v>1676.5479655265874</v>
      </c>
      <c r="L12" s="53">
        <v>1667.6752820014956</v>
      </c>
      <c r="M12" s="53">
        <v>8.8726835250854634</v>
      </c>
      <c r="N12" s="53">
        <v>27602.327377319507</v>
      </c>
      <c r="O12" s="53">
        <v>24974.715486526424</v>
      </c>
      <c r="P12" s="53">
        <v>2627.6118907928417</v>
      </c>
      <c r="Q12" s="53">
        <v>20875.813243389141</v>
      </c>
      <c r="R12" s="53">
        <v>20304.787628173857</v>
      </c>
      <c r="S12" s="53">
        <v>571.02561521530367</v>
      </c>
    </row>
    <row r="13" spans="1:19" customFormat="1" ht="20.45" customHeight="1" x14ac:dyDescent="0.2">
      <c r="A13" s="30" t="s">
        <v>3</v>
      </c>
      <c r="B13" s="53">
        <v>165795.09390306566</v>
      </c>
      <c r="C13" s="53">
        <v>156752.2510735984</v>
      </c>
      <c r="D13" s="53">
        <v>9042.8428294658279</v>
      </c>
      <c r="E13" s="53">
        <v>4534.0731899738321</v>
      </c>
      <c r="F13" s="53">
        <v>4398.781140089056</v>
      </c>
      <c r="G13" s="53">
        <v>135.29204988479538</v>
      </c>
      <c r="H13" s="53">
        <v>4754.1184563637235</v>
      </c>
      <c r="I13" s="53">
        <v>4565.6487622261657</v>
      </c>
      <c r="J13" s="53">
        <v>188.46969413757179</v>
      </c>
      <c r="K13" s="53">
        <v>7396.3976726532037</v>
      </c>
      <c r="L13" s="53">
        <v>7163.5121307373802</v>
      </c>
      <c r="M13" s="53">
        <v>232.88554191589205</v>
      </c>
      <c r="N13" s="53">
        <v>81703.628760337364</v>
      </c>
      <c r="O13" s="53">
        <v>75313.322926521942</v>
      </c>
      <c r="P13" s="53">
        <v>6390.3058338165811</v>
      </c>
      <c r="Q13" s="53">
        <v>67406.875823735696</v>
      </c>
      <c r="R13" s="53">
        <v>65310.98611402473</v>
      </c>
      <c r="S13" s="53">
        <v>2095.8897097110889</v>
      </c>
    </row>
    <row r="14" spans="1:19" customFormat="1" ht="20.45" customHeight="1" x14ac:dyDescent="0.2">
      <c r="A14" s="30" t="s">
        <v>4</v>
      </c>
      <c r="B14" s="53">
        <v>533619.45414959884</v>
      </c>
      <c r="C14" s="53">
        <v>502860.10244977335</v>
      </c>
      <c r="D14" s="53">
        <v>30759.351699828785</v>
      </c>
      <c r="E14" s="53">
        <v>13913.762727379648</v>
      </c>
      <c r="F14" s="53">
        <v>13527.342153191434</v>
      </c>
      <c r="G14" s="53">
        <v>386.4205741882281</v>
      </c>
      <c r="H14" s="53">
        <v>16071.304993390977</v>
      </c>
      <c r="I14" s="53">
        <v>15766.17712092395</v>
      </c>
      <c r="J14" s="53">
        <v>305.12787246704272</v>
      </c>
      <c r="K14" s="53">
        <v>25398.043782234359</v>
      </c>
      <c r="L14" s="53">
        <v>25081.590732574623</v>
      </c>
      <c r="M14" s="53">
        <v>316.45304965972366</v>
      </c>
      <c r="N14" s="53">
        <v>268506.74362802482</v>
      </c>
      <c r="O14" s="53">
        <v>246333.38810849172</v>
      </c>
      <c r="P14" s="53">
        <v>22173.355519532663</v>
      </c>
      <c r="Q14" s="53">
        <v>209729.59901857315</v>
      </c>
      <c r="R14" s="53">
        <v>202151.60433459433</v>
      </c>
      <c r="S14" s="53">
        <v>7577.9946839809809</v>
      </c>
    </row>
    <row r="15" spans="1:19" customFormat="1" ht="20.45" customHeight="1" x14ac:dyDescent="0.2">
      <c r="A15" s="30" t="s">
        <v>5</v>
      </c>
      <c r="B15" s="53">
        <v>471761.72400271706</v>
      </c>
      <c r="C15" s="53">
        <v>442412.81491505948</v>
      </c>
      <c r="D15" s="53">
        <v>29348.909087657834</v>
      </c>
      <c r="E15" s="53">
        <v>11820.687289714835</v>
      </c>
      <c r="F15" s="53">
        <v>10991.110934257504</v>
      </c>
      <c r="G15" s="53">
        <v>829.57635545730466</v>
      </c>
      <c r="H15" s="53">
        <v>13122.761454105143</v>
      </c>
      <c r="I15" s="53">
        <v>12954.575297355679</v>
      </c>
      <c r="J15" s="53">
        <v>168.18615674972543</v>
      </c>
      <c r="K15" s="53">
        <v>36283.782182693561</v>
      </c>
      <c r="L15" s="53">
        <v>35836.161764145232</v>
      </c>
      <c r="M15" s="53">
        <v>447.62041854858518</v>
      </c>
      <c r="N15" s="53">
        <v>236080.07449412387</v>
      </c>
      <c r="O15" s="53">
        <v>214822.11009526145</v>
      </c>
      <c r="P15" s="53">
        <v>21257.964398861041</v>
      </c>
      <c r="Q15" s="53">
        <v>174454.41858208424</v>
      </c>
      <c r="R15" s="53">
        <v>167808.85682404024</v>
      </c>
      <c r="S15" s="53">
        <v>6645.5617580413191</v>
      </c>
    </row>
    <row r="16" spans="1:19" customFormat="1" ht="20.45" customHeight="1" x14ac:dyDescent="0.2">
      <c r="A16" s="30" t="s">
        <v>6</v>
      </c>
      <c r="B16" s="53">
        <v>260525.84534239807</v>
      </c>
      <c r="C16" s="53">
        <v>246012.04897904419</v>
      </c>
      <c r="D16" s="53">
        <v>14513.796363353849</v>
      </c>
      <c r="E16" s="53">
        <v>7705.1799013614873</v>
      </c>
      <c r="F16" s="53">
        <v>7399.7301790714491</v>
      </c>
      <c r="G16" s="53">
        <v>305.44972229004065</v>
      </c>
      <c r="H16" s="53">
        <v>6992.7583518027604</v>
      </c>
      <c r="I16" s="53">
        <v>6831.3418116569301</v>
      </c>
      <c r="J16" s="53">
        <v>161.41654014587272</v>
      </c>
      <c r="K16" s="53">
        <v>27021.972599148801</v>
      </c>
      <c r="L16" s="53">
        <v>26632.946045517878</v>
      </c>
      <c r="M16" s="53">
        <v>389.02655363082869</v>
      </c>
      <c r="N16" s="53">
        <v>125886.96841990955</v>
      </c>
      <c r="O16" s="53">
        <v>115098.4594401123</v>
      </c>
      <c r="P16" s="53">
        <v>10788.508979797392</v>
      </c>
      <c r="Q16" s="53">
        <v>92918.966070175185</v>
      </c>
      <c r="R16" s="53">
        <v>90049.571502685081</v>
      </c>
      <c r="S16" s="53">
        <v>2869.3945674896254</v>
      </c>
    </row>
    <row r="17" spans="1:19" customFormat="1" ht="20.45" customHeight="1" x14ac:dyDescent="0.2">
      <c r="A17" s="30" t="s">
        <v>7</v>
      </c>
      <c r="B17" s="53">
        <v>56697.904637456049</v>
      </c>
      <c r="C17" s="53">
        <v>51928.83030474191</v>
      </c>
      <c r="D17" s="53">
        <v>4769.0743327140854</v>
      </c>
      <c r="E17" s="53">
        <v>1465.9629454612757</v>
      </c>
      <c r="F17" s="53">
        <v>1433.1891412735004</v>
      </c>
      <c r="G17" s="53">
        <v>32.773804187774672</v>
      </c>
      <c r="H17" s="53">
        <v>1254.9956417083747</v>
      </c>
      <c r="I17" s="53">
        <v>1236.6550273895232</v>
      </c>
      <c r="J17" s="53">
        <v>18.340614318847628</v>
      </c>
      <c r="K17" s="53">
        <v>6249.78453755379</v>
      </c>
      <c r="L17" s="53">
        <v>6176.3908493518902</v>
      </c>
      <c r="M17" s="53">
        <v>73.393688201904567</v>
      </c>
      <c r="N17" s="53">
        <v>28000.245424985875</v>
      </c>
      <c r="O17" s="53">
        <v>24802.300562620134</v>
      </c>
      <c r="P17" s="53">
        <v>3197.9448623657249</v>
      </c>
      <c r="Q17" s="53">
        <v>19726.916087746653</v>
      </c>
      <c r="R17" s="53">
        <v>18280.294724106803</v>
      </c>
      <c r="S17" s="53">
        <v>1446.6213636398334</v>
      </c>
    </row>
    <row r="18" spans="1:19" customFormat="1" ht="20.45" customHeight="1" x14ac:dyDescent="0.2">
      <c r="A18" s="30" t="s">
        <v>8</v>
      </c>
      <c r="B18" s="53">
        <v>20142.379348635634</v>
      </c>
      <c r="C18" s="53">
        <v>18345.009821772604</v>
      </c>
      <c r="D18" s="53">
        <v>1797.3695268630984</v>
      </c>
      <c r="E18" s="53">
        <v>550.06961536407539</v>
      </c>
      <c r="F18" s="53">
        <v>531.92683982849076</v>
      </c>
      <c r="G18" s="53">
        <v>18.14277553558351</v>
      </c>
      <c r="H18" s="53">
        <v>451.14476776123104</v>
      </c>
      <c r="I18" s="53">
        <v>451.14476776123104</v>
      </c>
      <c r="J18" s="53">
        <v>0</v>
      </c>
      <c r="K18" s="53">
        <v>1846.7611813545254</v>
      </c>
      <c r="L18" s="53">
        <v>1819.3411030769355</v>
      </c>
      <c r="M18" s="53">
        <v>27.420078277587901</v>
      </c>
      <c r="N18" s="53">
        <v>10352.415878534301</v>
      </c>
      <c r="O18" s="53">
        <v>8905.9217636585254</v>
      </c>
      <c r="P18" s="53">
        <v>1446.4941148757925</v>
      </c>
      <c r="Q18" s="53">
        <v>6941.9879056215341</v>
      </c>
      <c r="R18" s="53">
        <v>6636.675347447388</v>
      </c>
      <c r="S18" s="53">
        <v>305.31255817413353</v>
      </c>
    </row>
    <row r="19" spans="1:19" customFormat="1" ht="20.45" customHeight="1" x14ac:dyDescent="0.2">
      <c r="A19" s="30" t="s">
        <v>9</v>
      </c>
      <c r="B19" s="53">
        <v>6017.85847806931</v>
      </c>
      <c r="C19" s="53">
        <v>5445.1420006751996</v>
      </c>
      <c r="D19" s="53">
        <v>572.71647739410389</v>
      </c>
      <c r="E19" s="53">
        <v>126.748574256897</v>
      </c>
      <c r="F19" s="53">
        <v>126.748574256897</v>
      </c>
      <c r="G19" s="53">
        <v>0</v>
      </c>
      <c r="H19" s="53">
        <v>184.92559432983421</v>
      </c>
      <c r="I19" s="53">
        <v>184.92559432983421</v>
      </c>
      <c r="J19" s="53">
        <v>0</v>
      </c>
      <c r="K19" s="53">
        <v>734.62031459808361</v>
      </c>
      <c r="L19" s="53">
        <v>695.56018352508477</v>
      </c>
      <c r="M19" s="53">
        <v>39.060131072998047</v>
      </c>
      <c r="N19" s="53">
        <v>2714.6815710067731</v>
      </c>
      <c r="O19" s="53">
        <v>2278.9441785812373</v>
      </c>
      <c r="P19" s="53">
        <v>435.73739242553688</v>
      </c>
      <c r="Q19" s="53">
        <v>2256.8824238777165</v>
      </c>
      <c r="R19" s="53">
        <v>2158.9634699821481</v>
      </c>
      <c r="S19" s="53">
        <v>97.918953895568904</v>
      </c>
    </row>
    <row r="20" spans="1:19" customFormat="1" ht="20.45" customHeight="1" x14ac:dyDescent="0.2">
      <c r="A20" s="30" t="s">
        <v>10</v>
      </c>
      <c r="B20" s="53">
        <v>6608.9728846550051</v>
      </c>
      <c r="C20" s="53">
        <v>6056.8311800956735</v>
      </c>
      <c r="D20" s="53">
        <v>552.14170455932572</v>
      </c>
      <c r="E20" s="53">
        <v>161.77089834213248</v>
      </c>
      <c r="F20" s="53">
        <v>161.77089834213248</v>
      </c>
      <c r="G20" s="53">
        <v>0</v>
      </c>
      <c r="H20" s="53">
        <v>65.830650806426931</v>
      </c>
      <c r="I20" s="53">
        <v>65.830650806426931</v>
      </c>
      <c r="J20" s="53">
        <v>0</v>
      </c>
      <c r="K20" s="53">
        <v>490.08023738861004</v>
      </c>
      <c r="L20" s="53">
        <v>470.50467395782402</v>
      </c>
      <c r="M20" s="53">
        <v>19.575563430786133</v>
      </c>
      <c r="N20" s="53">
        <v>3631.6525788307172</v>
      </c>
      <c r="O20" s="53">
        <v>3308.939317226409</v>
      </c>
      <c r="P20" s="53">
        <v>322.71326160430874</v>
      </c>
      <c r="Q20" s="53">
        <v>2259.6385192871103</v>
      </c>
      <c r="R20" s="53">
        <v>2049.7856397628793</v>
      </c>
      <c r="S20" s="53">
        <v>209.85287952423093</v>
      </c>
    </row>
    <row r="21" spans="1:19" customFormat="1" ht="20.45" customHeight="1" x14ac:dyDescent="0.2">
      <c r="A21" s="30" t="s">
        <v>11</v>
      </c>
      <c r="B21" s="53">
        <v>1262.0005097389221</v>
      </c>
      <c r="C21" s="53">
        <v>970.72604990005482</v>
      </c>
      <c r="D21" s="53">
        <v>291.27445983886719</v>
      </c>
      <c r="E21" s="53">
        <v>27.193193435668945</v>
      </c>
      <c r="F21" s="53">
        <v>27.193193435668945</v>
      </c>
      <c r="G21" s="53">
        <v>0</v>
      </c>
      <c r="H21" s="53">
        <v>0</v>
      </c>
      <c r="I21" s="53">
        <v>0</v>
      </c>
      <c r="J21" s="53">
        <v>0</v>
      </c>
      <c r="K21" s="53">
        <v>13.836678504943851</v>
      </c>
      <c r="L21" s="53">
        <v>13.836678504943851</v>
      </c>
      <c r="M21" s="53">
        <v>0</v>
      </c>
      <c r="N21" s="53">
        <v>673.26376771926869</v>
      </c>
      <c r="O21" s="53">
        <v>543.47313356399548</v>
      </c>
      <c r="P21" s="53">
        <v>129.79063415527344</v>
      </c>
      <c r="Q21" s="53">
        <v>547.70687007904053</v>
      </c>
      <c r="R21" s="53">
        <v>386.22304439544683</v>
      </c>
      <c r="S21" s="53">
        <v>161.48382568359375</v>
      </c>
    </row>
    <row r="22" spans="1:19" s="6" customFormat="1" ht="20.45" customHeight="1" x14ac:dyDescent="0.2">
      <c r="A22" s="31" t="s">
        <v>12</v>
      </c>
      <c r="B22" s="25">
        <f>SUM(B10+B11)</f>
        <v>1612369.8397529214</v>
      </c>
      <c r="C22" s="25">
        <f t="shared" ref="C22:S22" si="0">SUM(C10+C11)</f>
        <v>1514502.2618312875</v>
      </c>
      <c r="D22" s="25">
        <f t="shared" si="0"/>
        <v>97867.577921626726</v>
      </c>
      <c r="E22" s="25">
        <f t="shared" si="0"/>
        <v>42709.569514394294</v>
      </c>
      <c r="F22" s="25">
        <f t="shared" si="0"/>
        <v>40966.600580812003</v>
      </c>
      <c r="G22" s="25">
        <f t="shared" si="0"/>
        <v>1742.9689335823316</v>
      </c>
      <c r="H22" s="25">
        <f t="shared" si="0"/>
        <v>46565.097269058002</v>
      </c>
      <c r="I22" s="25">
        <f t="shared" si="0"/>
        <v>45358.121061802311</v>
      </c>
      <c r="J22" s="25">
        <f t="shared" si="0"/>
        <v>1206.9762072563283</v>
      </c>
      <c r="K22" s="25">
        <f t="shared" si="0"/>
        <v>108328.91554105288</v>
      </c>
      <c r="L22" s="25">
        <f t="shared" si="0"/>
        <v>106749.76258552051</v>
      </c>
      <c r="M22" s="25">
        <f t="shared" si="0"/>
        <v>1579.1529555320551</v>
      </c>
      <c r="N22" s="25">
        <f t="shared" si="0"/>
        <v>804214.96648538101</v>
      </c>
      <c r="O22" s="25">
        <f t="shared" si="0"/>
        <v>733516.97298777394</v>
      </c>
      <c r="P22" s="25">
        <f t="shared" si="0"/>
        <v>70697.993497610005</v>
      </c>
      <c r="Q22" s="25">
        <f t="shared" si="0"/>
        <v>610551.2909430383</v>
      </c>
      <c r="R22" s="25">
        <f t="shared" si="0"/>
        <v>587910.80461536068</v>
      </c>
      <c r="S22" s="25">
        <f t="shared" si="0"/>
        <v>22640.48632764829</v>
      </c>
    </row>
    <row r="23" spans="1:19" customFormat="1" ht="12.75" x14ac:dyDescent="0.2"/>
    <row r="24" spans="1:19" customFormat="1" ht="12.75" x14ac:dyDescent="0.2"/>
    <row r="25" spans="1:19" customFormat="1" ht="12.75" x14ac:dyDescent="0.2"/>
    <row r="26" spans="1:19" customFormat="1" ht="12.75" x14ac:dyDescent="0.2"/>
    <row r="27" spans="1:19" customFormat="1" ht="12.75" x14ac:dyDescent="0.2"/>
    <row r="28" spans="1:19" customFormat="1" ht="12.75" x14ac:dyDescent="0.2"/>
    <row r="29" spans="1:19" customFormat="1" ht="12.75" x14ac:dyDescent="0.2"/>
    <row r="30" spans="1:19" customFormat="1" ht="12.75" x14ac:dyDescent="0.2"/>
    <row r="31" spans="1:19" customFormat="1" ht="12.75" x14ac:dyDescent="0.2"/>
    <row r="32" spans="1:19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</sheetData>
  <mergeCells count="18">
    <mergeCell ref="E8:G8"/>
    <mergeCell ref="H8:J8"/>
    <mergeCell ref="K8:M8"/>
    <mergeCell ref="B7:D8"/>
    <mergeCell ref="N7:P7"/>
    <mergeCell ref="E7:G7"/>
    <mergeCell ref="H7:J7"/>
    <mergeCell ref="K7:M7"/>
    <mergeCell ref="Q7:S7"/>
    <mergeCell ref="N8:P8"/>
    <mergeCell ref="Q8:S8"/>
    <mergeCell ref="A1:S1"/>
    <mergeCell ref="A4:A9"/>
    <mergeCell ref="B4:S4"/>
    <mergeCell ref="B5:S5"/>
    <mergeCell ref="B6:D6"/>
    <mergeCell ref="N6:S6"/>
    <mergeCell ref="E6:M6"/>
  </mergeCells>
  <conditionalFormatting sqref="B10:B22">
    <cfRule type="cellIs" dxfId="614" priority="18" stopIfTrue="1" operator="equal">
      <formula>0</formula>
    </cfRule>
  </conditionalFormatting>
  <conditionalFormatting sqref="C10:C22">
    <cfRule type="cellIs" dxfId="613" priority="17" stopIfTrue="1" operator="equal">
      <formula>0</formula>
    </cfRule>
  </conditionalFormatting>
  <conditionalFormatting sqref="D10:D22">
    <cfRule type="cellIs" dxfId="612" priority="16" stopIfTrue="1" operator="equal">
      <formula>0</formula>
    </cfRule>
  </conditionalFormatting>
  <conditionalFormatting sqref="E10:E22">
    <cfRule type="cellIs" dxfId="611" priority="15" stopIfTrue="1" operator="equal">
      <formula>0</formula>
    </cfRule>
  </conditionalFormatting>
  <conditionalFormatting sqref="F10:F22">
    <cfRule type="cellIs" dxfId="610" priority="14" stopIfTrue="1" operator="equal">
      <formula>0</formula>
    </cfRule>
  </conditionalFormatting>
  <conditionalFormatting sqref="G10:G22">
    <cfRule type="cellIs" dxfId="609" priority="13" stopIfTrue="1" operator="equal">
      <formula>0</formula>
    </cfRule>
  </conditionalFormatting>
  <conditionalFormatting sqref="H10:H22">
    <cfRule type="cellIs" dxfId="608" priority="12" stopIfTrue="1" operator="equal">
      <formula>0</formula>
    </cfRule>
  </conditionalFormatting>
  <conditionalFormatting sqref="I10:I22">
    <cfRule type="cellIs" dxfId="607" priority="11" stopIfTrue="1" operator="equal">
      <formula>0</formula>
    </cfRule>
  </conditionalFormatting>
  <conditionalFormatting sqref="J10:J22">
    <cfRule type="cellIs" dxfId="606" priority="10" stopIfTrue="1" operator="equal">
      <formula>0</formula>
    </cfRule>
  </conditionalFormatting>
  <conditionalFormatting sqref="K10:K22">
    <cfRule type="cellIs" dxfId="605" priority="9" stopIfTrue="1" operator="equal">
      <formula>0</formula>
    </cfRule>
  </conditionalFormatting>
  <conditionalFormatting sqref="L10:L22">
    <cfRule type="cellIs" dxfId="604" priority="8" stopIfTrue="1" operator="equal">
      <formula>0</formula>
    </cfRule>
  </conditionalFormatting>
  <conditionalFormatting sqref="M10:M22">
    <cfRule type="cellIs" dxfId="603" priority="7" stopIfTrue="1" operator="equal">
      <formula>0</formula>
    </cfRule>
  </conditionalFormatting>
  <conditionalFormatting sqref="N10:N22">
    <cfRule type="cellIs" dxfId="602" priority="6" stopIfTrue="1" operator="equal">
      <formula>0</formula>
    </cfRule>
  </conditionalFormatting>
  <conditionalFormatting sqref="O10:O22">
    <cfRule type="cellIs" dxfId="601" priority="5" stopIfTrue="1" operator="equal">
      <formula>0</formula>
    </cfRule>
  </conditionalFormatting>
  <conditionalFormatting sqref="P10:P22">
    <cfRule type="cellIs" dxfId="600" priority="4" stopIfTrue="1" operator="equal">
      <formula>0</formula>
    </cfRule>
  </conditionalFormatting>
  <conditionalFormatting sqref="Q10:Q22">
    <cfRule type="cellIs" dxfId="599" priority="3" stopIfTrue="1" operator="equal">
      <formula>0</formula>
    </cfRule>
  </conditionalFormatting>
  <conditionalFormatting sqref="R10:R22">
    <cfRule type="cellIs" dxfId="598" priority="2" stopIfTrue="1" operator="equal">
      <formula>0</formula>
    </cfRule>
  </conditionalFormatting>
  <conditionalFormatting sqref="S10:S22">
    <cfRule type="cellIs" dxfId="597" priority="1" stopIfTrue="1" operator="equal">
      <formula>0</formula>
    </cfRule>
  </conditionalFormatting>
  <pageMargins left="0.15748031496062992" right="0.11811023622047245" top="0.74803149606299213" bottom="0.74803149606299213" header="0.31496062992125984" footer="0.31496062992125984"/>
  <pageSetup scale="75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27C1-8CE4-410A-A95F-12647965BBDA}">
  <dimension ref="A1:N21"/>
  <sheetViews>
    <sheetView zoomScale="90" zoomScaleNormal="75" workbookViewId="0">
      <selection activeCell="C19" sqref="C19"/>
    </sheetView>
  </sheetViews>
  <sheetFormatPr defaultRowHeight="12.75" x14ac:dyDescent="0.2"/>
  <cols>
    <col min="1" max="1" width="25.85546875" style="8" customWidth="1"/>
    <col min="2" max="14" width="10.85546875" style="8" customWidth="1"/>
    <col min="15" max="16384" width="9.140625" style="8"/>
  </cols>
  <sheetData>
    <row r="1" spans="1:14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7"/>
      <c r="L2" s="27"/>
      <c r="M2" s="27"/>
      <c r="N2" s="28" t="s">
        <v>32</v>
      </c>
    </row>
    <row r="3" spans="1:14" x14ac:dyDescent="0.2">
      <c r="A3" s="27" t="s">
        <v>284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s="16" customFormat="1" x14ac:dyDescent="0.2">
      <c r="A4" s="123" t="s">
        <v>30</v>
      </c>
      <c r="B4" s="181" t="s">
        <v>246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</row>
    <row r="5" spans="1:14" s="16" customFormat="1" ht="12.75" customHeight="1" x14ac:dyDescent="0.2">
      <c r="A5" s="123"/>
      <c r="B5" s="121" t="s">
        <v>237</v>
      </c>
      <c r="C5" s="121"/>
      <c r="D5" s="121"/>
      <c r="E5" s="121"/>
      <c r="F5" s="121" t="s">
        <v>254</v>
      </c>
      <c r="G5" s="121"/>
      <c r="H5" s="121"/>
      <c r="I5" s="121"/>
      <c r="J5" s="121"/>
      <c r="K5" s="121"/>
      <c r="L5" s="121"/>
      <c r="M5" s="121"/>
      <c r="N5" s="121"/>
    </row>
    <row r="6" spans="1:14" s="16" customFormat="1" ht="12" customHeight="1" x14ac:dyDescent="0.2">
      <c r="A6" s="123"/>
      <c r="B6" s="121"/>
      <c r="C6" s="121"/>
      <c r="D6" s="121"/>
      <c r="E6" s="121"/>
      <c r="F6" s="121" t="s">
        <v>47</v>
      </c>
      <c r="G6" s="121"/>
      <c r="H6" s="121"/>
      <c r="I6" s="121" t="s">
        <v>239</v>
      </c>
      <c r="J6" s="121"/>
      <c r="K6" s="121"/>
      <c r="L6" s="122" t="s">
        <v>240</v>
      </c>
      <c r="M6" s="122"/>
      <c r="N6" s="122"/>
    </row>
    <row r="7" spans="1:14" s="16" customFormat="1" ht="12" customHeight="1" x14ac:dyDescent="0.2">
      <c r="A7" s="123"/>
      <c r="B7" s="121" t="s">
        <v>41</v>
      </c>
      <c r="C7" s="121" t="s">
        <v>256</v>
      </c>
      <c r="D7" s="121"/>
      <c r="E7" s="121"/>
      <c r="F7" s="121" t="s">
        <v>256</v>
      </c>
      <c r="G7" s="121"/>
      <c r="H7" s="121"/>
      <c r="I7" s="121" t="s">
        <v>256</v>
      </c>
      <c r="J7" s="121"/>
      <c r="K7" s="121"/>
      <c r="L7" s="121" t="s">
        <v>256</v>
      </c>
      <c r="M7" s="121"/>
      <c r="N7" s="121"/>
    </row>
    <row r="8" spans="1:14" s="16" customFormat="1" x14ac:dyDescent="0.2">
      <c r="A8" s="123"/>
      <c r="B8" s="121"/>
      <c r="C8" s="34" t="s">
        <v>47</v>
      </c>
      <c r="D8" s="34" t="s">
        <v>242</v>
      </c>
      <c r="E8" s="34" t="s">
        <v>243</v>
      </c>
      <c r="F8" s="34" t="s">
        <v>47</v>
      </c>
      <c r="G8" s="34" t="s">
        <v>242</v>
      </c>
      <c r="H8" s="34" t="s">
        <v>243</v>
      </c>
      <c r="I8" s="34" t="s">
        <v>47</v>
      </c>
      <c r="J8" s="34" t="s">
        <v>242</v>
      </c>
      <c r="K8" s="34" t="s">
        <v>243</v>
      </c>
      <c r="L8" s="34" t="s">
        <v>47</v>
      </c>
      <c r="M8" s="34" t="s">
        <v>242</v>
      </c>
      <c r="N8" s="34" t="s">
        <v>243</v>
      </c>
    </row>
    <row r="9" spans="1:14" s="6" customFormat="1" ht="20.45" customHeight="1" x14ac:dyDescent="0.2">
      <c r="A9" s="69" t="s">
        <v>0</v>
      </c>
      <c r="B9" s="70">
        <v>64618.699287652969</v>
      </c>
      <c r="C9" s="70">
        <v>322842.07208585745</v>
      </c>
      <c r="D9" s="70">
        <v>308187.33396005619</v>
      </c>
      <c r="E9" s="70">
        <v>14654.738125801161</v>
      </c>
      <c r="F9" s="70">
        <v>124295.23406171793</v>
      </c>
      <c r="G9" s="70">
        <v>118341.59215641019</v>
      </c>
      <c r="H9" s="70">
        <v>5953.6419053077661</v>
      </c>
      <c r="I9" s="70">
        <v>60615.445736170077</v>
      </c>
      <c r="J9" s="70">
        <v>57628.091485738674</v>
      </c>
      <c r="K9" s="70">
        <v>2987.3542504310544</v>
      </c>
      <c r="L9" s="70">
        <v>63679.788325548092</v>
      </c>
      <c r="M9" s="70">
        <v>60713.500670671514</v>
      </c>
      <c r="N9" s="70">
        <v>2966.2876548767067</v>
      </c>
    </row>
    <row r="10" spans="1:14" s="6" customFormat="1" ht="20.45" customHeight="1" x14ac:dyDescent="0.2">
      <c r="A10" s="29" t="s">
        <v>1</v>
      </c>
      <c r="B10" s="51">
        <v>2375522.9813512564</v>
      </c>
      <c r="C10" s="51">
        <v>13616493.778506361</v>
      </c>
      <c r="D10" s="51">
        <v>13091070.650079556</v>
      </c>
      <c r="E10" s="51">
        <v>525423.12842714635</v>
      </c>
      <c r="F10" s="51">
        <v>5117392.2268886855</v>
      </c>
      <c r="G10" s="51">
        <v>4906121.32348176</v>
      </c>
      <c r="H10" s="51">
        <v>211270.90340710606</v>
      </c>
      <c r="I10" s="51">
        <v>2595975.8154502697</v>
      </c>
      <c r="J10" s="51">
        <v>2489571.8581899577</v>
      </c>
      <c r="K10" s="51">
        <v>106403.95726037044</v>
      </c>
      <c r="L10" s="51">
        <v>2521416.4114384754</v>
      </c>
      <c r="M10" s="51">
        <v>2416549.4652917637</v>
      </c>
      <c r="N10" s="51">
        <v>104866.94614672306</v>
      </c>
    </row>
    <row r="11" spans="1:14" ht="20.45" customHeight="1" x14ac:dyDescent="0.2">
      <c r="A11" s="30" t="s">
        <v>2</v>
      </c>
      <c r="B11" s="53">
        <v>169356.15982115269</v>
      </c>
      <c r="C11" s="53">
        <v>734746.08381867222</v>
      </c>
      <c r="D11" s="53">
        <v>703220.92256713298</v>
      </c>
      <c r="E11" s="53">
        <v>31525.161251545149</v>
      </c>
      <c r="F11" s="53">
        <v>283446.97071588057</v>
      </c>
      <c r="G11" s="53">
        <v>270405.91575682396</v>
      </c>
      <c r="H11" s="53">
        <v>13041.05495905872</v>
      </c>
      <c r="I11" s="53">
        <v>142599.9873826502</v>
      </c>
      <c r="J11" s="53">
        <v>136167.8170285213</v>
      </c>
      <c r="K11" s="53">
        <v>6432.1703541278812</v>
      </c>
      <c r="L11" s="53">
        <v>140846.9833332297</v>
      </c>
      <c r="M11" s="53">
        <v>134238.09872829885</v>
      </c>
      <c r="N11" s="53">
        <v>6608.8846049308349</v>
      </c>
    </row>
    <row r="12" spans="1:14" ht="20.45" customHeight="1" x14ac:dyDescent="0.2">
      <c r="A12" s="30" t="s">
        <v>3</v>
      </c>
      <c r="B12" s="53">
        <v>342150.76673102379</v>
      </c>
      <c r="C12" s="53">
        <v>1655741.6736987692</v>
      </c>
      <c r="D12" s="53">
        <v>1601364.5050851023</v>
      </c>
      <c r="E12" s="53">
        <v>54377.168613672518</v>
      </c>
      <c r="F12" s="53">
        <v>623086.58585775062</v>
      </c>
      <c r="G12" s="53">
        <v>600582.57063520013</v>
      </c>
      <c r="H12" s="53">
        <v>22504.015222549457</v>
      </c>
      <c r="I12" s="53">
        <v>316999.74792849732</v>
      </c>
      <c r="J12" s="53">
        <v>305685.91476285522</v>
      </c>
      <c r="K12" s="53">
        <v>11313.833165645672</v>
      </c>
      <c r="L12" s="53">
        <v>306086.83792924823</v>
      </c>
      <c r="M12" s="53">
        <v>294896.65587234515</v>
      </c>
      <c r="N12" s="53">
        <v>11190.18205690383</v>
      </c>
    </row>
    <row r="13" spans="1:14" ht="20.45" customHeight="1" x14ac:dyDescent="0.2">
      <c r="A13" s="30" t="s">
        <v>4</v>
      </c>
      <c r="B13" s="53">
        <v>878905.82532119751</v>
      </c>
      <c r="C13" s="53">
        <v>4837803.1858226601</v>
      </c>
      <c r="D13" s="53">
        <v>4687734.6097136876</v>
      </c>
      <c r="E13" s="53">
        <v>150068.57610893401</v>
      </c>
      <c r="F13" s="53">
        <v>1817982.1439565502</v>
      </c>
      <c r="G13" s="53">
        <v>1757735.094788671</v>
      </c>
      <c r="H13" s="53">
        <v>60247.049167871191</v>
      </c>
      <c r="I13" s="53">
        <v>920465.62567389139</v>
      </c>
      <c r="J13" s="53">
        <v>890085.33228504914</v>
      </c>
      <c r="K13" s="53">
        <v>30380.293388843722</v>
      </c>
      <c r="L13" s="53">
        <v>897516.51828266424</v>
      </c>
      <c r="M13" s="53">
        <v>867649.76250362757</v>
      </c>
      <c r="N13" s="53">
        <v>29866.755779028106</v>
      </c>
    </row>
    <row r="14" spans="1:14" ht="20.45" customHeight="1" x14ac:dyDescent="0.2">
      <c r="A14" s="30" t="s">
        <v>5</v>
      </c>
      <c r="B14" s="53">
        <v>623697.13116121292</v>
      </c>
      <c r="C14" s="53">
        <v>3845893.1938530193</v>
      </c>
      <c r="D14" s="53">
        <v>3698638.0905322866</v>
      </c>
      <c r="E14" s="53">
        <v>147255.10332071895</v>
      </c>
      <c r="F14" s="53">
        <v>1445807.0232745393</v>
      </c>
      <c r="G14" s="53">
        <v>1386482.6136919269</v>
      </c>
      <c r="H14" s="53">
        <v>59324.409582614971</v>
      </c>
      <c r="I14" s="53">
        <v>733344.43664157426</v>
      </c>
      <c r="J14" s="53">
        <v>703757.04240501439</v>
      </c>
      <c r="K14" s="53">
        <v>29587.39423656468</v>
      </c>
      <c r="L14" s="53">
        <v>712462.58663296432</v>
      </c>
      <c r="M14" s="53">
        <v>682725.57128691708</v>
      </c>
      <c r="N14" s="53">
        <v>29737.015346050201</v>
      </c>
    </row>
    <row r="15" spans="1:14" ht="20.45" customHeight="1" x14ac:dyDescent="0.2">
      <c r="A15" s="30" t="s">
        <v>6</v>
      </c>
      <c r="B15" s="53">
        <v>285057.71941006184</v>
      </c>
      <c r="C15" s="53">
        <v>1946316.8297384901</v>
      </c>
      <c r="D15" s="53">
        <v>1852599.464193936</v>
      </c>
      <c r="E15" s="53">
        <v>93717.36554455728</v>
      </c>
      <c r="F15" s="53">
        <v>727520.41533434181</v>
      </c>
      <c r="G15" s="53">
        <v>690099.00021756312</v>
      </c>
      <c r="H15" s="53">
        <v>37421.415116787066</v>
      </c>
      <c r="I15" s="53">
        <v>371328.33556902589</v>
      </c>
      <c r="J15" s="53">
        <v>352457.87469732657</v>
      </c>
      <c r="K15" s="53">
        <v>18870.460871696432</v>
      </c>
      <c r="L15" s="53">
        <v>356192.07976532023</v>
      </c>
      <c r="M15" s="53">
        <v>337641.12552023068</v>
      </c>
      <c r="N15" s="53">
        <v>18550.954245090415</v>
      </c>
    </row>
    <row r="16" spans="1:14" ht="20.45" customHeight="1" x14ac:dyDescent="0.2">
      <c r="A16" s="30" t="s">
        <v>7</v>
      </c>
      <c r="B16" s="53">
        <v>52283.439708828926</v>
      </c>
      <c r="C16" s="53">
        <v>384533.84743714239</v>
      </c>
      <c r="D16" s="53">
        <v>358251.80718254932</v>
      </c>
      <c r="E16" s="53">
        <v>26282.040254592979</v>
      </c>
      <c r="F16" s="53">
        <v>143146.85712051421</v>
      </c>
      <c r="G16" s="53">
        <v>132559.88145828224</v>
      </c>
      <c r="H16" s="53">
        <v>10586.975662231505</v>
      </c>
      <c r="I16" s="53">
        <v>72725.412950873026</v>
      </c>
      <c r="J16" s="53">
        <v>67133.983420729652</v>
      </c>
      <c r="K16" s="53">
        <v>5591.4295301437523</v>
      </c>
      <c r="L16" s="53">
        <v>70421.444169640425</v>
      </c>
      <c r="M16" s="53">
        <v>65425.898037552768</v>
      </c>
      <c r="N16" s="53">
        <v>4995.5461320877221</v>
      </c>
    </row>
    <row r="17" spans="1:14" ht="20.45" customHeight="1" x14ac:dyDescent="0.2">
      <c r="A17" s="30" t="s">
        <v>8</v>
      </c>
      <c r="B17" s="53">
        <v>15204.467182397842</v>
      </c>
      <c r="C17" s="53">
        <v>131094.75106763854</v>
      </c>
      <c r="D17" s="53">
        <v>119113.68636178983</v>
      </c>
      <c r="E17" s="53">
        <v>11981.064705848683</v>
      </c>
      <c r="F17" s="53">
        <v>47620.306710243211</v>
      </c>
      <c r="G17" s="53">
        <v>42779.896302223169</v>
      </c>
      <c r="H17" s="53">
        <v>4840.4104080200223</v>
      </c>
      <c r="I17" s="53">
        <v>23197.829257965088</v>
      </c>
      <c r="J17" s="53">
        <v>20773.053907394395</v>
      </c>
      <c r="K17" s="53">
        <v>2424.7753505706792</v>
      </c>
      <c r="L17" s="53">
        <v>24422.477452278137</v>
      </c>
      <c r="M17" s="53">
        <v>22006.842394828775</v>
      </c>
      <c r="N17" s="53">
        <v>2415.6350574493422</v>
      </c>
    </row>
    <row r="18" spans="1:14" ht="20.45" customHeight="1" x14ac:dyDescent="0.2">
      <c r="A18" s="30" t="s">
        <v>9</v>
      </c>
      <c r="B18" s="53">
        <v>4533.1654835939407</v>
      </c>
      <c r="C18" s="53">
        <v>39943.546818852432</v>
      </c>
      <c r="D18" s="53">
        <v>33338.270336270361</v>
      </c>
      <c r="E18" s="53">
        <v>6605.2764825820914</v>
      </c>
      <c r="F18" s="53">
        <v>14023.449490547175</v>
      </c>
      <c r="G18" s="53">
        <v>12041.141140937798</v>
      </c>
      <c r="H18" s="53">
        <v>1982.3083496093761</v>
      </c>
      <c r="I18" s="53">
        <v>7449.4987375736227</v>
      </c>
      <c r="J18" s="53">
        <v>6502.3714258670798</v>
      </c>
      <c r="K18" s="53">
        <v>947.12731170654376</v>
      </c>
      <c r="L18" s="53">
        <v>6573.9507529735602</v>
      </c>
      <c r="M18" s="53">
        <v>5538.7697150707245</v>
      </c>
      <c r="N18" s="53">
        <v>1035.1810379028325</v>
      </c>
    </row>
    <row r="19" spans="1:14" ht="20.45" customHeight="1" x14ac:dyDescent="0.2">
      <c r="A19" s="30" t="s">
        <v>10</v>
      </c>
      <c r="B19" s="53">
        <v>3850.9425791501999</v>
      </c>
      <c r="C19" s="53">
        <v>36037.288656711564</v>
      </c>
      <c r="D19" s="53">
        <v>32680.842541217829</v>
      </c>
      <c r="E19" s="53">
        <v>3356.446115493773</v>
      </c>
      <c r="F19" s="53">
        <v>13311.132563352572</v>
      </c>
      <c r="G19" s="53">
        <v>12082.085154294966</v>
      </c>
      <c r="H19" s="53">
        <v>1229.0474090576174</v>
      </c>
      <c r="I19" s="53">
        <v>7147.4503138065384</v>
      </c>
      <c r="J19" s="53">
        <v>6351.8278219699887</v>
      </c>
      <c r="K19" s="53">
        <v>795.62249183654853</v>
      </c>
      <c r="L19" s="53">
        <v>6163.6822495460574</v>
      </c>
      <c r="M19" s="53">
        <v>5730.2573323249735</v>
      </c>
      <c r="N19" s="53">
        <v>433.42491722106939</v>
      </c>
    </row>
    <row r="20" spans="1:14" ht="20.45" customHeight="1" x14ac:dyDescent="0.2">
      <c r="A20" s="30" t="s">
        <v>11</v>
      </c>
      <c r="B20" s="53">
        <v>483.36395263671875</v>
      </c>
      <c r="C20" s="53">
        <v>4383.3775944709787</v>
      </c>
      <c r="D20" s="53">
        <v>4128.4515652656555</v>
      </c>
      <c r="E20" s="53">
        <v>254.92602920532227</v>
      </c>
      <c r="F20" s="53">
        <v>1447.3418650627136</v>
      </c>
      <c r="G20" s="53">
        <v>1353.1243357658386</v>
      </c>
      <c r="H20" s="53">
        <v>94.217529296875</v>
      </c>
      <c r="I20" s="53">
        <v>717.49099445343018</v>
      </c>
      <c r="J20" s="53">
        <v>656.64043521881104</v>
      </c>
      <c r="K20" s="53">
        <v>60.850559234619126</v>
      </c>
      <c r="L20" s="53">
        <v>729.85087060928367</v>
      </c>
      <c r="M20" s="53">
        <v>696.4839005470277</v>
      </c>
      <c r="N20" s="53">
        <v>33.366970062255859</v>
      </c>
    </row>
    <row r="21" spans="1:14" s="6" customFormat="1" ht="20.45" customHeight="1" x14ac:dyDescent="0.2">
      <c r="A21" s="31" t="s">
        <v>12</v>
      </c>
      <c r="B21" s="25">
        <f>B9+B10</f>
        <v>2440141.6806389093</v>
      </c>
      <c r="C21" s="25">
        <f t="shared" ref="C21:N21" si="0">C9+C10</f>
        <v>13939335.850592218</v>
      </c>
      <c r="D21" s="25">
        <f t="shared" si="0"/>
        <v>13399257.984039612</v>
      </c>
      <c r="E21" s="25">
        <f t="shared" si="0"/>
        <v>540077.86655294755</v>
      </c>
      <c r="F21" s="25">
        <f t="shared" si="0"/>
        <v>5241687.4609504035</v>
      </c>
      <c r="G21" s="25">
        <f t="shared" si="0"/>
        <v>5024462.9156381702</v>
      </c>
      <c r="H21" s="25">
        <f t="shared" si="0"/>
        <v>217224.54531241383</v>
      </c>
      <c r="I21" s="25">
        <f t="shared" si="0"/>
        <v>2656591.26118644</v>
      </c>
      <c r="J21" s="25">
        <f t="shared" si="0"/>
        <v>2547199.9496756964</v>
      </c>
      <c r="K21" s="25">
        <f t="shared" si="0"/>
        <v>109391.3115108015</v>
      </c>
      <c r="L21" s="25">
        <f t="shared" si="0"/>
        <v>2585096.1997640235</v>
      </c>
      <c r="M21" s="25">
        <f t="shared" si="0"/>
        <v>2477262.9659624351</v>
      </c>
      <c r="N21" s="25">
        <f t="shared" si="0"/>
        <v>107833.23380159977</v>
      </c>
    </row>
  </sheetData>
  <mergeCells count="13">
    <mergeCell ref="A1:N1"/>
    <mergeCell ref="F6:H6"/>
    <mergeCell ref="I6:K6"/>
    <mergeCell ref="I7:K7"/>
    <mergeCell ref="L7:N7"/>
    <mergeCell ref="L6:N6"/>
    <mergeCell ref="F5:N5"/>
    <mergeCell ref="A4:A8"/>
    <mergeCell ref="B5:E6"/>
    <mergeCell ref="B7:B8"/>
    <mergeCell ref="C7:E7"/>
    <mergeCell ref="F7:H7"/>
    <mergeCell ref="B4:N4"/>
  </mergeCells>
  <conditionalFormatting sqref="B10:N21">
    <cfRule type="cellIs" dxfId="596" priority="2" stopIfTrue="1" operator="equal">
      <formula>0</formula>
    </cfRule>
  </conditionalFormatting>
  <conditionalFormatting sqref="B9:N9">
    <cfRule type="cellIs" dxfId="595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4F83-A2F4-4108-A3E6-5B3C1EB00E59}">
  <dimension ref="A1:J21"/>
  <sheetViews>
    <sheetView zoomScale="87" zoomScaleNormal="75" workbookViewId="0">
      <selection activeCell="C19" sqref="C19"/>
    </sheetView>
  </sheetViews>
  <sheetFormatPr defaultRowHeight="12.75" x14ac:dyDescent="0.2"/>
  <cols>
    <col min="1" max="1" width="25.85546875" style="8" customWidth="1"/>
    <col min="2" max="10" width="12.5703125" style="8" customWidth="1"/>
    <col min="11" max="16384" width="9.140625" style="8"/>
  </cols>
  <sheetData>
    <row r="1" spans="1:10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2">
      <c r="A2" s="27"/>
      <c r="B2" s="28"/>
      <c r="C2" s="28"/>
      <c r="D2" s="28"/>
      <c r="E2" s="28"/>
      <c r="F2" s="28"/>
      <c r="G2" s="27"/>
      <c r="H2" s="27"/>
      <c r="I2" s="27"/>
      <c r="J2" s="28" t="s">
        <v>32</v>
      </c>
    </row>
    <row r="3" spans="1:10" x14ac:dyDescent="0.2">
      <c r="A3" s="27" t="s">
        <v>285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s="16" customFormat="1" x14ac:dyDescent="0.2">
      <c r="A4" s="123" t="s">
        <v>30</v>
      </c>
      <c r="B4" s="181" t="s">
        <v>246</v>
      </c>
      <c r="C4" s="181"/>
      <c r="D4" s="181"/>
      <c r="E4" s="181"/>
      <c r="F4" s="181"/>
      <c r="G4" s="181"/>
      <c r="H4" s="181"/>
      <c r="I4" s="181"/>
      <c r="J4" s="181"/>
    </row>
    <row r="5" spans="1:10" s="16" customFormat="1" ht="12.75" customHeight="1" x14ac:dyDescent="0.2">
      <c r="A5" s="123"/>
      <c r="B5" s="121" t="s">
        <v>255</v>
      </c>
      <c r="C5" s="121"/>
      <c r="D5" s="121"/>
      <c r="E5" s="121"/>
      <c r="F5" s="121"/>
      <c r="G5" s="121"/>
      <c r="H5" s="121"/>
      <c r="I5" s="121"/>
      <c r="J5" s="121"/>
    </row>
    <row r="6" spans="1:10" s="16" customFormat="1" ht="12" customHeight="1" x14ac:dyDescent="0.2">
      <c r="A6" s="123"/>
      <c r="B6" s="121" t="s">
        <v>47</v>
      </c>
      <c r="C6" s="121"/>
      <c r="D6" s="121"/>
      <c r="E6" s="121" t="s">
        <v>239</v>
      </c>
      <c r="F6" s="121"/>
      <c r="G6" s="121"/>
      <c r="H6" s="122" t="s">
        <v>240</v>
      </c>
      <c r="I6" s="122"/>
      <c r="J6" s="122"/>
    </row>
    <row r="7" spans="1:10" s="16" customFormat="1" ht="12" customHeight="1" x14ac:dyDescent="0.2">
      <c r="A7" s="123"/>
      <c r="B7" s="121" t="s">
        <v>256</v>
      </c>
      <c r="C7" s="121"/>
      <c r="D7" s="121"/>
      <c r="E7" s="121" t="s">
        <v>256</v>
      </c>
      <c r="F7" s="121"/>
      <c r="G7" s="121"/>
      <c r="H7" s="121" t="s">
        <v>256</v>
      </c>
      <c r="I7" s="121"/>
      <c r="J7" s="121"/>
    </row>
    <row r="8" spans="1:10" s="16" customFormat="1" x14ac:dyDescent="0.2">
      <c r="A8" s="123"/>
      <c r="B8" s="34" t="s">
        <v>47</v>
      </c>
      <c r="C8" s="34" t="s">
        <v>242</v>
      </c>
      <c r="D8" s="34" t="s">
        <v>243</v>
      </c>
      <c r="E8" s="34" t="s">
        <v>47</v>
      </c>
      <c r="F8" s="34" t="s">
        <v>242</v>
      </c>
      <c r="G8" s="34" t="s">
        <v>243</v>
      </c>
      <c r="H8" s="34" t="s">
        <v>47</v>
      </c>
      <c r="I8" s="34" t="s">
        <v>242</v>
      </c>
      <c r="J8" s="34" t="s">
        <v>243</v>
      </c>
    </row>
    <row r="9" spans="1:10" s="6" customFormat="1" ht="20.45" customHeight="1" x14ac:dyDescent="0.2">
      <c r="A9" s="69" t="s">
        <v>0</v>
      </c>
      <c r="B9" s="70">
        <v>198546.83802413946</v>
      </c>
      <c r="C9" s="70">
        <v>189845.74180364623</v>
      </c>
      <c r="D9" s="70">
        <v>8701.0962204933203</v>
      </c>
      <c r="E9" s="70">
        <v>77606.974604368297</v>
      </c>
      <c r="F9" s="70">
        <v>74085.061133622861</v>
      </c>
      <c r="G9" s="70">
        <v>3521.913470745078</v>
      </c>
      <c r="H9" s="70">
        <v>120939.8634197715</v>
      </c>
      <c r="I9" s="70">
        <v>115760.68067002334</v>
      </c>
      <c r="J9" s="70">
        <v>5179.1827497482318</v>
      </c>
    </row>
    <row r="10" spans="1:10" s="6" customFormat="1" ht="20.45" customHeight="1" x14ac:dyDescent="0.2">
      <c r="A10" s="29" t="s">
        <v>1</v>
      </c>
      <c r="B10" s="51">
        <v>8499101.5516176093</v>
      </c>
      <c r="C10" s="51">
        <v>8184949.3265975844</v>
      </c>
      <c r="D10" s="51">
        <v>314152.22502004402</v>
      </c>
      <c r="E10" s="51">
        <v>2901515.134879366</v>
      </c>
      <c r="F10" s="51">
        <v>2778032.6218115608</v>
      </c>
      <c r="G10" s="51">
        <v>123482.51306784381</v>
      </c>
      <c r="H10" s="51">
        <v>5597586.4167382773</v>
      </c>
      <c r="I10" s="51">
        <v>5406916.7047860455</v>
      </c>
      <c r="J10" s="51">
        <v>190669.71195220397</v>
      </c>
    </row>
    <row r="11" spans="1:10" ht="20.45" customHeight="1" x14ac:dyDescent="0.2">
      <c r="A11" s="30" t="s">
        <v>2</v>
      </c>
      <c r="B11" s="53">
        <v>451299.11310279201</v>
      </c>
      <c r="C11" s="53">
        <v>432815.00681030535</v>
      </c>
      <c r="D11" s="53">
        <v>18484.106292486216</v>
      </c>
      <c r="E11" s="53">
        <v>156861.02667892003</v>
      </c>
      <c r="F11" s="53">
        <v>149074.48102581498</v>
      </c>
      <c r="G11" s="53">
        <v>7786.5456531048076</v>
      </c>
      <c r="H11" s="53">
        <v>294438.08642387314</v>
      </c>
      <c r="I11" s="53">
        <v>283740.52578449133</v>
      </c>
      <c r="J11" s="53">
        <v>10697.560639381396</v>
      </c>
    </row>
    <row r="12" spans="1:10" ht="20.45" customHeight="1" x14ac:dyDescent="0.2">
      <c r="A12" s="30" t="s">
        <v>3</v>
      </c>
      <c r="B12" s="53">
        <v>1032655.0878410295</v>
      </c>
      <c r="C12" s="53">
        <v>1000781.9344499152</v>
      </c>
      <c r="D12" s="53">
        <v>31873.153391122767</v>
      </c>
      <c r="E12" s="53">
        <v>327235.78940808948</v>
      </c>
      <c r="F12" s="53">
        <v>315387.67290484969</v>
      </c>
      <c r="G12" s="53">
        <v>11848.116503238687</v>
      </c>
      <c r="H12" s="53">
        <v>705419.2984329483</v>
      </c>
      <c r="I12" s="53">
        <v>685394.26154506544</v>
      </c>
      <c r="J12" s="53">
        <v>20025.036887884042</v>
      </c>
    </row>
    <row r="13" spans="1:10" ht="20.45" customHeight="1" x14ac:dyDescent="0.2">
      <c r="A13" s="30" t="s">
        <v>4</v>
      </c>
      <c r="B13" s="53">
        <v>3019821.0418660664</v>
      </c>
      <c r="C13" s="53">
        <v>2929999.5149250063</v>
      </c>
      <c r="D13" s="53">
        <v>89821.526941062111</v>
      </c>
      <c r="E13" s="53">
        <v>997593.46802389505</v>
      </c>
      <c r="F13" s="53">
        <v>961634.29962552304</v>
      </c>
      <c r="G13" s="53">
        <v>35959.168398380592</v>
      </c>
      <c r="H13" s="53">
        <v>2022227.5738421788</v>
      </c>
      <c r="I13" s="53">
        <v>1968365.215299471</v>
      </c>
      <c r="J13" s="53">
        <v>53862.358542680944</v>
      </c>
    </row>
    <row r="14" spans="1:10" ht="20.45" customHeight="1" x14ac:dyDescent="0.2">
      <c r="A14" s="30" t="s">
        <v>5</v>
      </c>
      <c r="B14" s="53">
        <v>2400086.1705784979</v>
      </c>
      <c r="C14" s="53">
        <v>2312155.4768403834</v>
      </c>
      <c r="D14" s="53">
        <v>87930.693738102942</v>
      </c>
      <c r="E14" s="53">
        <v>835547.06080758094</v>
      </c>
      <c r="F14" s="53">
        <v>802415.45646048337</v>
      </c>
      <c r="G14" s="53">
        <v>33131.604347109758</v>
      </c>
      <c r="H14" s="53">
        <v>1564539.1097708875</v>
      </c>
      <c r="I14" s="53">
        <v>1509740.0203798767</v>
      </c>
      <c r="J14" s="53">
        <v>54799.08939099314</v>
      </c>
    </row>
    <row r="15" spans="1:10" ht="20.45" customHeight="1" x14ac:dyDescent="0.2">
      <c r="A15" s="30" t="s">
        <v>6</v>
      </c>
      <c r="B15" s="53">
        <v>1218796.4144041494</v>
      </c>
      <c r="C15" s="53">
        <v>1162500.4639763895</v>
      </c>
      <c r="D15" s="53">
        <v>56295.950427770331</v>
      </c>
      <c r="E15" s="53">
        <v>442128.78088867862</v>
      </c>
      <c r="F15" s="53">
        <v>418472.10547793162</v>
      </c>
      <c r="G15" s="53">
        <v>23656.675410747379</v>
      </c>
      <c r="H15" s="53">
        <v>776667.63351547648</v>
      </c>
      <c r="I15" s="53">
        <v>744028.35849845654</v>
      </c>
      <c r="J15" s="53">
        <v>32639.275017023243</v>
      </c>
    </row>
    <row r="16" spans="1:10" ht="20.45" customHeight="1" x14ac:dyDescent="0.2">
      <c r="A16" s="30" t="s">
        <v>7</v>
      </c>
      <c r="B16" s="53">
        <v>241386.99031662941</v>
      </c>
      <c r="C16" s="53">
        <v>225691.9257242679</v>
      </c>
      <c r="D16" s="53">
        <v>15695.064592361494</v>
      </c>
      <c r="E16" s="53">
        <v>88474.161797285167</v>
      </c>
      <c r="F16" s="53">
        <v>82271.614763975042</v>
      </c>
      <c r="G16" s="53">
        <v>6202.5470333099474</v>
      </c>
      <c r="H16" s="53">
        <v>152912.82851934407</v>
      </c>
      <c r="I16" s="53">
        <v>143420.31096029325</v>
      </c>
      <c r="J16" s="53">
        <v>9492.5175590515446</v>
      </c>
    </row>
    <row r="17" spans="1:10" ht="20.45" customHeight="1" x14ac:dyDescent="0.2">
      <c r="A17" s="30" t="s">
        <v>8</v>
      </c>
      <c r="B17" s="53">
        <v>83474.444357395085</v>
      </c>
      <c r="C17" s="53">
        <v>76333.790059566541</v>
      </c>
      <c r="D17" s="53">
        <v>7140.6542978286589</v>
      </c>
      <c r="E17" s="53">
        <v>34007.365327835054</v>
      </c>
      <c r="F17" s="53">
        <v>30924.06565761568</v>
      </c>
      <c r="G17" s="53">
        <v>3083.2996702194209</v>
      </c>
      <c r="H17" s="53">
        <v>49467.079029560111</v>
      </c>
      <c r="I17" s="53">
        <v>45409.724401950887</v>
      </c>
      <c r="J17" s="53">
        <v>4057.3546276092457</v>
      </c>
    </row>
    <row r="18" spans="1:10" ht="20.45" customHeight="1" x14ac:dyDescent="0.2">
      <c r="A18" s="30" t="s">
        <v>9</v>
      </c>
      <c r="B18" s="53">
        <v>25920.097328305237</v>
      </c>
      <c r="C18" s="53">
        <v>21297.129195332545</v>
      </c>
      <c r="D18" s="53">
        <v>4622.9681329727146</v>
      </c>
      <c r="E18" s="53">
        <v>9701.754683613779</v>
      </c>
      <c r="F18" s="53">
        <v>8581.0747858285922</v>
      </c>
      <c r="G18" s="53">
        <v>1120.679897785187</v>
      </c>
      <c r="H18" s="53">
        <v>16218.342644691484</v>
      </c>
      <c r="I18" s="53">
        <v>12716.054409503942</v>
      </c>
      <c r="J18" s="53">
        <v>3502.2882351875323</v>
      </c>
    </row>
    <row r="19" spans="1:10" ht="20.45" customHeight="1" x14ac:dyDescent="0.2">
      <c r="A19" s="30" t="s">
        <v>10</v>
      </c>
      <c r="B19" s="53">
        <v>22726.156093359001</v>
      </c>
      <c r="C19" s="53">
        <v>20598.757386922844</v>
      </c>
      <c r="D19" s="53">
        <v>2127.3987064361586</v>
      </c>
      <c r="E19" s="53">
        <v>8901.5619678497314</v>
      </c>
      <c r="F19" s="53">
        <v>8301.3592720031793</v>
      </c>
      <c r="G19" s="53">
        <v>600.20269584655784</v>
      </c>
      <c r="H19" s="53">
        <v>13824.594125509271</v>
      </c>
      <c r="I19" s="53">
        <v>12297.398114919657</v>
      </c>
      <c r="J19" s="53">
        <v>1527.1960105895994</v>
      </c>
    </row>
    <row r="20" spans="1:10" ht="20.45" customHeight="1" x14ac:dyDescent="0.2">
      <c r="A20" s="30" t="s">
        <v>11</v>
      </c>
      <c r="B20" s="53">
        <v>2936.0357294082642</v>
      </c>
      <c r="C20" s="53">
        <v>2775.3272294998173</v>
      </c>
      <c r="D20" s="53">
        <v>160.70849990844727</v>
      </c>
      <c r="E20" s="53">
        <v>1064.1652956008913</v>
      </c>
      <c r="F20" s="53">
        <v>970.49183750152599</v>
      </c>
      <c r="G20" s="53">
        <v>93.67345809936522</v>
      </c>
      <c r="H20" s="53">
        <v>1871.8704338073733</v>
      </c>
      <c r="I20" s="53">
        <v>1804.835391998291</v>
      </c>
      <c r="J20" s="53">
        <v>67.035041809082017</v>
      </c>
    </row>
    <row r="21" spans="1:10" s="6" customFormat="1" ht="20.45" customHeight="1" x14ac:dyDescent="0.2">
      <c r="A21" s="31" t="s">
        <v>12</v>
      </c>
      <c r="B21" s="25">
        <f>B9+B10</f>
        <v>8697648.3896417487</v>
      </c>
      <c r="C21" s="25">
        <f t="shared" ref="C21:J21" si="0">C9+C10</f>
        <v>8374795.0684012305</v>
      </c>
      <c r="D21" s="25">
        <f t="shared" si="0"/>
        <v>322853.32124053733</v>
      </c>
      <c r="E21" s="25">
        <f t="shared" si="0"/>
        <v>2979122.1094837342</v>
      </c>
      <c r="F21" s="25">
        <f t="shared" si="0"/>
        <v>2852117.6829451835</v>
      </c>
      <c r="G21" s="25">
        <f t="shared" si="0"/>
        <v>127004.42653858889</v>
      </c>
      <c r="H21" s="25">
        <f t="shared" si="0"/>
        <v>5718526.2801580485</v>
      </c>
      <c r="I21" s="25">
        <f t="shared" si="0"/>
        <v>5522677.3854560684</v>
      </c>
      <c r="J21" s="25">
        <f t="shared" si="0"/>
        <v>195848.8947019522</v>
      </c>
    </row>
  </sheetData>
  <mergeCells count="10">
    <mergeCell ref="B7:D7"/>
    <mergeCell ref="E7:G7"/>
    <mergeCell ref="H7:J7"/>
    <mergeCell ref="A1:J1"/>
    <mergeCell ref="A4:A8"/>
    <mergeCell ref="B4:J4"/>
    <mergeCell ref="B5:J5"/>
    <mergeCell ref="B6:D6"/>
    <mergeCell ref="E6:G6"/>
    <mergeCell ref="H6:J6"/>
  </mergeCells>
  <conditionalFormatting sqref="B10:B21">
    <cfRule type="cellIs" dxfId="594" priority="18" stopIfTrue="1" operator="equal">
      <formula>0</formula>
    </cfRule>
  </conditionalFormatting>
  <conditionalFormatting sqref="B9">
    <cfRule type="cellIs" dxfId="593" priority="17" stopIfTrue="1" operator="equal">
      <formula>0</formula>
    </cfRule>
  </conditionalFormatting>
  <conditionalFormatting sqref="C10:C21">
    <cfRule type="cellIs" dxfId="592" priority="16" stopIfTrue="1" operator="equal">
      <formula>0</formula>
    </cfRule>
  </conditionalFormatting>
  <conditionalFormatting sqref="C9">
    <cfRule type="cellIs" dxfId="591" priority="15" stopIfTrue="1" operator="equal">
      <formula>0</formula>
    </cfRule>
  </conditionalFormatting>
  <conditionalFormatting sqref="D10:D21">
    <cfRule type="cellIs" dxfId="590" priority="14" stopIfTrue="1" operator="equal">
      <formula>0</formula>
    </cfRule>
  </conditionalFormatting>
  <conditionalFormatting sqref="D9">
    <cfRule type="cellIs" dxfId="589" priority="13" stopIfTrue="1" operator="equal">
      <formula>0</formula>
    </cfRule>
  </conditionalFormatting>
  <conditionalFormatting sqref="E10:E21">
    <cfRule type="cellIs" dxfId="588" priority="12" stopIfTrue="1" operator="equal">
      <formula>0</formula>
    </cfRule>
  </conditionalFormatting>
  <conditionalFormatting sqref="E9">
    <cfRule type="cellIs" dxfId="587" priority="11" stopIfTrue="1" operator="equal">
      <formula>0</formula>
    </cfRule>
  </conditionalFormatting>
  <conditionalFormatting sqref="F10:F21">
    <cfRule type="cellIs" dxfId="586" priority="10" stopIfTrue="1" operator="equal">
      <formula>0</formula>
    </cfRule>
  </conditionalFormatting>
  <conditionalFormatting sqref="F9">
    <cfRule type="cellIs" dxfId="585" priority="9" stopIfTrue="1" operator="equal">
      <formula>0</formula>
    </cfRule>
  </conditionalFormatting>
  <conditionalFormatting sqref="G10:G21">
    <cfRule type="cellIs" dxfId="584" priority="8" stopIfTrue="1" operator="equal">
      <formula>0</formula>
    </cfRule>
  </conditionalFormatting>
  <conditionalFormatting sqref="G9">
    <cfRule type="cellIs" dxfId="583" priority="7" stopIfTrue="1" operator="equal">
      <formula>0</formula>
    </cfRule>
  </conditionalFormatting>
  <conditionalFormatting sqref="H10:H21">
    <cfRule type="cellIs" dxfId="582" priority="6" stopIfTrue="1" operator="equal">
      <formula>0</formula>
    </cfRule>
  </conditionalFormatting>
  <conditionalFormatting sqref="H9">
    <cfRule type="cellIs" dxfId="581" priority="5" stopIfTrue="1" operator="equal">
      <formula>0</formula>
    </cfRule>
  </conditionalFormatting>
  <conditionalFormatting sqref="I10:I21">
    <cfRule type="cellIs" dxfId="580" priority="4" stopIfTrue="1" operator="equal">
      <formula>0</formula>
    </cfRule>
  </conditionalFormatting>
  <conditionalFormatting sqref="I9">
    <cfRule type="cellIs" dxfId="579" priority="3" stopIfTrue="1" operator="equal">
      <formula>0</formula>
    </cfRule>
  </conditionalFormatting>
  <conditionalFormatting sqref="J10:J21">
    <cfRule type="cellIs" dxfId="578" priority="2" stopIfTrue="1" operator="equal">
      <formula>0</formula>
    </cfRule>
  </conditionalFormatting>
  <conditionalFormatting sqref="J9">
    <cfRule type="cellIs" dxfId="57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9025-4270-4580-B07C-4EDFDB660BC7}">
  <dimension ref="A1:K20"/>
  <sheetViews>
    <sheetView zoomScale="109" zoomScaleNormal="75" workbookViewId="0">
      <selection activeCell="C19" sqref="C19"/>
    </sheetView>
  </sheetViews>
  <sheetFormatPr defaultRowHeight="12.75" x14ac:dyDescent="0.2"/>
  <cols>
    <col min="1" max="1" width="25.85546875" style="8" customWidth="1"/>
    <col min="2" max="11" width="10.85546875" style="8" customWidth="1"/>
    <col min="12" max="16384" width="9.140625" style="8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 t="s">
        <v>32</v>
      </c>
    </row>
    <row r="3" spans="1:11" x14ac:dyDescent="0.2">
      <c r="A3" s="27" t="s">
        <v>286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s="16" customFormat="1" x14ac:dyDescent="0.2">
      <c r="A4" s="123" t="s">
        <v>30</v>
      </c>
      <c r="B4" s="181" t="s">
        <v>554</v>
      </c>
      <c r="C4" s="181"/>
      <c r="D4" s="181"/>
      <c r="E4" s="181"/>
      <c r="F4" s="181"/>
      <c r="G4" s="181"/>
      <c r="H4" s="181"/>
      <c r="I4" s="181"/>
      <c r="J4" s="181"/>
      <c r="K4" s="181"/>
    </row>
    <row r="5" spans="1:11" s="16" customFormat="1" ht="12.75" customHeight="1" x14ac:dyDescent="0.2">
      <c r="A5" s="123"/>
      <c r="B5" s="121" t="s">
        <v>237</v>
      </c>
      <c r="C5" s="121"/>
      <c r="D5" s="121"/>
      <c r="E5" s="121"/>
      <c r="F5" s="121" t="s">
        <v>254</v>
      </c>
      <c r="G5" s="121"/>
      <c r="H5" s="121"/>
      <c r="I5" s="121" t="s">
        <v>255</v>
      </c>
      <c r="J5" s="121"/>
      <c r="K5" s="121"/>
    </row>
    <row r="6" spans="1:11" s="16" customFormat="1" ht="12" customHeight="1" x14ac:dyDescent="0.2">
      <c r="A6" s="123"/>
      <c r="B6" s="121" t="s">
        <v>41</v>
      </c>
      <c r="C6" s="121" t="s">
        <v>244</v>
      </c>
      <c r="D6" s="121"/>
      <c r="E6" s="121"/>
      <c r="F6" s="121" t="s">
        <v>256</v>
      </c>
      <c r="G6" s="121"/>
      <c r="H6" s="121"/>
      <c r="I6" s="121" t="s">
        <v>256</v>
      </c>
      <c r="J6" s="121"/>
      <c r="K6" s="121"/>
    </row>
    <row r="7" spans="1:11" s="16" customFormat="1" ht="13.35" customHeight="1" x14ac:dyDescent="0.2">
      <c r="A7" s="123"/>
      <c r="B7" s="121"/>
      <c r="C7" s="34" t="s">
        <v>47</v>
      </c>
      <c r="D7" s="34" t="s">
        <v>239</v>
      </c>
      <c r="E7" s="34" t="s">
        <v>240</v>
      </c>
      <c r="F7" s="34" t="s">
        <v>47</v>
      </c>
      <c r="G7" s="34" t="s">
        <v>239</v>
      </c>
      <c r="H7" s="34" t="s">
        <v>240</v>
      </c>
      <c r="I7" s="34" t="s">
        <v>47</v>
      </c>
      <c r="J7" s="34" t="s">
        <v>239</v>
      </c>
      <c r="K7" s="34" t="s">
        <v>240</v>
      </c>
    </row>
    <row r="8" spans="1:11" s="6" customFormat="1" ht="20.45" customHeight="1" x14ac:dyDescent="0.2">
      <c r="A8" s="69" t="s">
        <v>0</v>
      </c>
      <c r="B8" s="70">
        <v>3085.1292649507523</v>
      </c>
      <c r="C8" s="70">
        <v>8645.8103641271646</v>
      </c>
      <c r="D8" s="70">
        <v>5597.1000980138751</v>
      </c>
      <c r="E8" s="70">
        <v>3048.7102661132813</v>
      </c>
      <c r="F8" s="70">
        <v>7419.6523046493667</v>
      </c>
      <c r="G8" s="70">
        <v>5032.0620987415441</v>
      </c>
      <c r="H8" s="70">
        <v>2387.5902059078139</v>
      </c>
      <c r="I8" s="70">
        <v>1226.1580594778109</v>
      </c>
      <c r="J8" s="70">
        <v>565.0379992723457</v>
      </c>
      <c r="K8" s="70">
        <v>661.12006020545743</v>
      </c>
    </row>
    <row r="9" spans="1:11" s="6" customFormat="1" ht="20.45" customHeight="1" x14ac:dyDescent="0.2">
      <c r="A9" s="29" t="s">
        <v>1</v>
      </c>
      <c r="B9" s="51">
        <v>100369.51187932491</v>
      </c>
      <c r="C9" s="51">
        <v>294174.6364630445</v>
      </c>
      <c r="D9" s="51">
        <v>189888.16700410983</v>
      </c>
      <c r="E9" s="51">
        <v>104286.46945893903</v>
      </c>
      <c r="F9" s="51">
        <v>234461.90388500725</v>
      </c>
      <c r="G9" s="51">
        <v>163582.98409926641</v>
      </c>
      <c r="H9" s="51">
        <v>70878.919785738588</v>
      </c>
      <c r="I9" s="51">
        <v>59712.732578039169</v>
      </c>
      <c r="J9" s="51">
        <v>26305.182904839658</v>
      </c>
      <c r="K9" s="51">
        <v>33407.549673199748</v>
      </c>
    </row>
    <row r="10" spans="1:11" ht="20.45" customHeight="1" x14ac:dyDescent="0.2">
      <c r="A10" s="30" t="s">
        <v>2</v>
      </c>
      <c r="B10" s="53">
        <v>6931.2156920433044</v>
      </c>
      <c r="C10" s="53">
        <v>16228.008346080762</v>
      </c>
      <c r="D10" s="53">
        <v>11031.545197725309</v>
      </c>
      <c r="E10" s="53">
        <v>5196.4631483555013</v>
      </c>
      <c r="F10" s="53">
        <v>13880.436756849314</v>
      </c>
      <c r="G10" s="53">
        <v>10030.327245235463</v>
      </c>
      <c r="H10" s="53">
        <v>3850.1095116138235</v>
      </c>
      <c r="I10" s="53">
        <v>2347.571589231492</v>
      </c>
      <c r="J10" s="53">
        <v>1001.2179524898485</v>
      </c>
      <c r="K10" s="53">
        <v>1346.3536367416341</v>
      </c>
    </row>
    <row r="11" spans="1:11" ht="20.45" customHeight="1" x14ac:dyDescent="0.2">
      <c r="A11" s="30" t="s">
        <v>3</v>
      </c>
      <c r="B11" s="53">
        <v>13426.246619939804</v>
      </c>
      <c r="C11" s="53">
        <v>38720.063344001777</v>
      </c>
      <c r="D11" s="53">
        <v>23849.823518514622</v>
      </c>
      <c r="E11" s="53">
        <v>14870.239825487299</v>
      </c>
      <c r="F11" s="53">
        <v>30565.09362101545</v>
      </c>
      <c r="G11" s="53">
        <v>20801.25714111315</v>
      </c>
      <c r="H11" s="53">
        <v>9763.8364799023057</v>
      </c>
      <c r="I11" s="53">
        <v>8154.9697229861504</v>
      </c>
      <c r="J11" s="53">
        <v>3048.5663774013501</v>
      </c>
      <c r="K11" s="53">
        <v>5106.4033455848439</v>
      </c>
    </row>
    <row r="12" spans="1:11" ht="20.45" customHeight="1" x14ac:dyDescent="0.2">
      <c r="A12" s="30" t="s">
        <v>4</v>
      </c>
      <c r="B12" s="53">
        <v>37210.40655374527</v>
      </c>
      <c r="C12" s="53">
        <v>102496.58080875866</v>
      </c>
      <c r="D12" s="53">
        <v>66059.856687784282</v>
      </c>
      <c r="E12" s="53">
        <v>36436.724120974613</v>
      </c>
      <c r="F12" s="53">
        <v>84830.932868479693</v>
      </c>
      <c r="G12" s="53">
        <v>58591.414990186509</v>
      </c>
      <c r="H12" s="53">
        <v>26239.517878293751</v>
      </c>
      <c r="I12" s="53">
        <v>17665.647940277908</v>
      </c>
      <c r="J12" s="53">
        <v>7468.4416975975228</v>
      </c>
      <c r="K12" s="53">
        <v>10197.206242680664</v>
      </c>
    </row>
    <row r="13" spans="1:11" ht="20.45" customHeight="1" x14ac:dyDescent="0.2">
      <c r="A13" s="30" t="s">
        <v>5</v>
      </c>
      <c r="B13" s="53">
        <v>26424.274307966232</v>
      </c>
      <c r="C13" s="53">
        <v>78605.333300232873</v>
      </c>
      <c r="D13" s="53">
        <v>52004.86563169874</v>
      </c>
      <c r="E13" s="53">
        <v>26600.467668533205</v>
      </c>
      <c r="F13" s="53">
        <v>62584.45705616429</v>
      </c>
      <c r="G13" s="53">
        <v>44530.453401207873</v>
      </c>
      <c r="H13" s="53">
        <v>18054.003654956869</v>
      </c>
      <c r="I13" s="53">
        <v>16020.876244068186</v>
      </c>
      <c r="J13" s="53">
        <v>7474.4122304917</v>
      </c>
      <c r="K13" s="53">
        <v>8546.4640135765585</v>
      </c>
    </row>
    <row r="14" spans="1:11" ht="20.45" customHeight="1" x14ac:dyDescent="0.2">
      <c r="A14" s="30" t="s">
        <v>6</v>
      </c>
      <c r="B14" s="53">
        <v>12785.787570953369</v>
      </c>
      <c r="C14" s="53">
        <v>46563.128331303567</v>
      </c>
      <c r="D14" s="53">
        <v>29584.851905703345</v>
      </c>
      <c r="E14" s="53">
        <v>16978.276425600019</v>
      </c>
      <c r="F14" s="53">
        <v>32911.825544357147</v>
      </c>
      <c r="G14" s="53">
        <v>22998.502118110682</v>
      </c>
      <c r="H14" s="53">
        <v>9913.3234262466322</v>
      </c>
      <c r="I14" s="53">
        <v>13651.302786946279</v>
      </c>
      <c r="J14" s="53">
        <v>6586.3497875929133</v>
      </c>
      <c r="K14" s="53">
        <v>7064.9529993533924</v>
      </c>
    </row>
    <row r="15" spans="1:11" ht="20.45" customHeight="1" x14ac:dyDescent="0.2">
      <c r="A15" s="30" t="s">
        <v>7</v>
      </c>
      <c r="B15" s="53">
        <v>2354.0361994504929</v>
      </c>
      <c r="C15" s="53">
        <v>7025.7037653923062</v>
      </c>
      <c r="D15" s="53">
        <v>4793.1091177463468</v>
      </c>
      <c r="E15" s="53">
        <v>2232.5946476459467</v>
      </c>
      <c r="F15" s="53">
        <v>6316.8007559776388</v>
      </c>
      <c r="G15" s="53">
        <v>4433.7041826248187</v>
      </c>
      <c r="H15" s="53">
        <v>1883.0965733528096</v>
      </c>
      <c r="I15" s="53">
        <v>708.90300941467183</v>
      </c>
      <c r="J15" s="53">
        <v>359.40493512153614</v>
      </c>
      <c r="K15" s="53">
        <v>349.49807429313643</v>
      </c>
    </row>
    <row r="16" spans="1:11" ht="20.45" customHeight="1" x14ac:dyDescent="0.2">
      <c r="A16" s="30" t="s">
        <v>8</v>
      </c>
      <c r="B16" s="53">
        <v>687.31101369857788</v>
      </c>
      <c r="C16" s="53">
        <v>2360.7837405204773</v>
      </c>
      <c r="D16" s="53">
        <v>1171.7004246711756</v>
      </c>
      <c r="E16" s="53">
        <v>1189.0833158493037</v>
      </c>
      <c r="F16" s="53">
        <v>1732.7556405067396</v>
      </c>
      <c r="G16" s="53">
        <v>1032.5070757865899</v>
      </c>
      <c r="H16" s="53">
        <v>700.24856472015426</v>
      </c>
      <c r="I16" s="53">
        <v>628.0281000137328</v>
      </c>
      <c r="J16" s="53">
        <v>139.19334888458249</v>
      </c>
      <c r="K16" s="53">
        <v>488.83475112915039</v>
      </c>
    </row>
    <row r="17" spans="1:11" ht="20.45" customHeight="1" x14ac:dyDescent="0.2">
      <c r="A17" s="30" t="s">
        <v>9</v>
      </c>
      <c r="B17" s="53">
        <v>272.86965465545654</v>
      </c>
      <c r="C17" s="53">
        <v>1014.2798104286193</v>
      </c>
      <c r="D17" s="53">
        <v>649.67156124115002</v>
      </c>
      <c r="E17" s="53">
        <v>364.60824918746914</v>
      </c>
      <c r="F17" s="53">
        <v>725.80019474029564</v>
      </c>
      <c r="G17" s="53">
        <v>553.34531593322731</v>
      </c>
      <c r="H17" s="53">
        <v>172.45487880706798</v>
      </c>
      <c r="I17" s="53">
        <v>288.47961568832397</v>
      </c>
      <c r="J17" s="53">
        <v>96.326245307922335</v>
      </c>
      <c r="K17" s="53">
        <v>192.1533703804013</v>
      </c>
    </row>
    <row r="18" spans="1:11" ht="20.45" customHeight="1" x14ac:dyDescent="0.2">
      <c r="A18" s="30" t="s">
        <v>10</v>
      </c>
      <c r="B18" s="53">
        <v>257.00336885452271</v>
      </c>
      <c r="C18" s="53">
        <v>1035.0794382095337</v>
      </c>
      <c r="D18" s="53">
        <v>645.38530826568672</v>
      </c>
      <c r="E18" s="53">
        <v>389.69412994384726</v>
      </c>
      <c r="F18" s="53">
        <v>788.12586879730225</v>
      </c>
      <c r="G18" s="53">
        <v>514.11497831344604</v>
      </c>
      <c r="H18" s="53">
        <v>274.01089048385609</v>
      </c>
      <c r="I18" s="53">
        <v>246.95356941223133</v>
      </c>
      <c r="J18" s="53">
        <v>131.27032995223996</v>
      </c>
      <c r="K18" s="53">
        <v>115.68323945999151</v>
      </c>
    </row>
    <row r="19" spans="1:11" ht="20.45" customHeight="1" x14ac:dyDescent="0.2">
      <c r="A19" s="30" t="s">
        <v>11</v>
      </c>
      <c r="B19" s="53">
        <v>20.360898017883301</v>
      </c>
      <c r="C19" s="53">
        <v>125.67557811737062</v>
      </c>
      <c r="D19" s="53">
        <v>97.357650756835952</v>
      </c>
      <c r="E19" s="53">
        <v>28.317927360534654</v>
      </c>
      <c r="F19" s="53">
        <v>125.67557811737059</v>
      </c>
      <c r="G19" s="53">
        <v>97.357650756835952</v>
      </c>
      <c r="H19" s="53">
        <v>28.317927360534654</v>
      </c>
      <c r="I19" s="53">
        <v>0</v>
      </c>
      <c r="J19" s="53">
        <v>0</v>
      </c>
      <c r="K19" s="53">
        <v>0</v>
      </c>
    </row>
    <row r="20" spans="1:11" s="6" customFormat="1" ht="20.45" customHeight="1" x14ac:dyDescent="0.2">
      <c r="A20" s="31" t="s">
        <v>12</v>
      </c>
      <c r="B20" s="25">
        <f>B8+B9</f>
        <v>103454.64114427567</v>
      </c>
      <c r="C20" s="25">
        <f t="shared" ref="C20:K20" si="0">C8+C9</f>
        <v>302820.44682717166</v>
      </c>
      <c r="D20" s="25">
        <f t="shared" si="0"/>
        <v>195485.2671021237</v>
      </c>
      <c r="E20" s="25">
        <f t="shared" si="0"/>
        <v>107335.17972505231</v>
      </c>
      <c r="F20" s="25">
        <f t="shared" si="0"/>
        <v>241881.55618965661</v>
      </c>
      <c r="G20" s="25">
        <f t="shared" si="0"/>
        <v>168615.04619800794</v>
      </c>
      <c r="H20" s="25">
        <f t="shared" si="0"/>
        <v>73266.509991646395</v>
      </c>
      <c r="I20" s="25">
        <f t="shared" si="0"/>
        <v>60938.890637516983</v>
      </c>
      <c r="J20" s="25">
        <f t="shared" si="0"/>
        <v>26870.220904112004</v>
      </c>
      <c r="K20" s="25">
        <f t="shared" si="0"/>
        <v>34068.669733405208</v>
      </c>
    </row>
  </sheetData>
  <mergeCells count="10">
    <mergeCell ref="F6:H6"/>
    <mergeCell ref="I6:K6"/>
    <mergeCell ref="F5:H5"/>
    <mergeCell ref="I5:K5"/>
    <mergeCell ref="A1:K1"/>
    <mergeCell ref="A4:A7"/>
    <mergeCell ref="B4:K4"/>
    <mergeCell ref="B5:E5"/>
    <mergeCell ref="B6:B7"/>
    <mergeCell ref="C6:E6"/>
  </mergeCells>
  <conditionalFormatting sqref="B9:B20">
    <cfRule type="cellIs" dxfId="576" priority="20" stopIfTrue="1" operator="equal">
      <formula>0</formula>
    </cfRule>
  </conditionalFormatting>
  <conditionalFormatting sqref="B8">
    <cfRule type="cellIs" dxfId="575" priority="19" stopIfTrue="1" operator="equal">
      <formula>0</formula>
    </cfRule>
  </conditionalFormatting>
  <conditionalFormatting sqref="C9:C20">
    <cfRule type="cellIs" dxfId="574" priority="18" stopIfTrue="1" operator="equal">
      <formula>0</formula>
    </cfRule>
  </conditionalFormatting>
  <conditionalFormatting sqref="C8">
    <cfRule type="cellIs" dxfId="573" priority="17" stopIfTrue="1" operator="equal">
      <formula>0</formula>
    </cfRule>
  </conditionalFormatting>
  <conditionalFormatting sqref="D9:D20">
    <cfRule type="cellIs" dxfId="572" priority="16" stopIfTrue="1" operator="equal">
      <formula>0</formula>
    </cfRule>
  </conditionalFormatting>
  <conditionalFormatting sqref="D8">
    <cfRule type="cellIs" dxfId="571" priority="15" stopIfTrue="1" operator="equal">
      <formula>0</formula>
    </cfRule>
  </conditionalFormatting>
  <conditionalFormatting sqref="E9:E20">
    <cfRule type="cellIs" dxfId="570" priority="14" stopIfTrue="1" operator="equal">
      <formula>0</formula>
    </cfRule>
  </conditionalFormatting>
  <conditionalFormatting sqref="E8">
    <cfRule type="cellIs" dxfId="569" priority="13" stopIfTrue="1" operator="equal">
      <formula>0</formula>
    </cfRule>
  </conditionalFormatting>
  <conditionalFormatting sqref="F9:F20">
    <cfRule type="cellIs" dxfId="568" priority="12" stopIfTrue="1" operator="equal">
      <formula>0</formula>
    </cfRule>
  </conditionalFormatting>
  <conditionalFormatting sqref="F8">
    <cfRule type="cellIs" dxfId="567" priority="11" stopIfTrue="1" operator="equal">
      <formula>0</formula>
    </cfRule>
  </conditionalFormatting>
  <conditionalFormatting sqref="G9:G20">
    <cfRule type="cellIs" dxfId="566" priority="10" stopIfTrue="1" operator="equal">
      <formula>0</formula>
    </cfRule>
  </conditionalFormatting>
  <conditionalFormatting sqref="G8">
    <cfRule type="cellIs" dxfId="565" priority="9" stopIfTrue="1" operator="equal">
      <formula>0</formula>
    </cfRule>
  </conditionalFormatting>
  <conditionalFormatting sqref="H9:H20">
    <cfRule type="cellIs" dxfId="564" priority="8" stopIfTrue="1" operator="equal">
      <formula>0</formula>
    </cfRule>
  </conditionalFormatting>
  <conditionalFormatting sqref="H8">
    <cfRule type="cellIs" dxfId="563" priority="7" stopIfTrue="1" operator="equal">
      <formula>0</formula>
    </cfRule>
  </conditionalFormatting>
  <conditionalFormatting sqref="I9:I20">
    <cfRule type="cellIs" dxfId="562" priority="6" stopIfTrue="1" operator="equal">
      <formula>0</formula>
    </cfRule>
  </conditionalFormatting>
  <conditionalFormatting sqref="I8">
    <cfRule type="cellIs" dxfId="561" priority="5" stopIfTrue="1" operator="equal">
      <formula>0</formula>
    </cfRule>
  </conditionalFormatting>
  <conditionalFormatting sqref="J9:J20">
    <cfRule type="cellIs" dxfId="560" priority="4" stopIfTrue="1" operator="equal">
      <formula>0</formula>
    </cfRule>
  </conditionalFormatting>
  <conditionalFormatting sqref="J8">
    <cfRule type="cellIs" dxfId="559" priority="3" stopIfTrue="1" operator="equal">
      <formula>0</formula>
    </cfRule>
  </conditionalFormatting>
  <conditionalFormatting sqref="K9:K20">
    <cfRule type="cellIs" dxfId="558" priority="2" stopIfTrue="1" operator="equal">
      <formula>0</formula>
    </cfRule>
  </conditionalFormatting>
  <conditionalFormatting sqref="K8">
    <cfRule type="cellIs" dxfId="55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7E19-22F8-4C7F-8A36-FEA2996D5037}">
  <dimension ref="A1:N21"/>
  <sheetViews>
    <sheetView zoomScale="75" zoomScaleNormal="75" workbookViewId="0">
      <selection activeCell="C19" sqref="C19"/>
    </sheetView>
  </sheetViews>
  <sheetFormatPr defaultRowHeight="12.75" x14ac:dyDescent="0.2"/>
  <cols>
    <col min="1" max="1" width="23.5703125" style="8" customWidth="1"/>
    <col min="2" max="2" width="10.85546875" style="8" customWidth="1"/>
    <col min="3" max="3" width="9.5703125" style="8" customWidth="1"/>
    <col min="4" max="4" width="9.140625" style="8" customWidth="1"/>
    <col min="5" max="5" width="9" style="8" customWidth="1"/>
    <col min="6" max="6" width="8.85546875" style="8" customWidth="1"/>
    <col min="7" max="7" width="9.5703125" style="8" customWidth="1"/>
    <col min="8" max="8" width="10.85546875" style="8" customWidth="1"/>
    <col min="9" max="9" width="8.5703125" style="8" customWidth="1"/>
    <col min="10" max="10" width="8.85546875" style="8" customWidth="1"/>
    <col min="11" max="11" width="10.85546875" style="8" customWidth="1"/>
    <col min="12" max="12" width="9.42578125" style="8" customWidth="1"/>
    <col min="13" max="13" width="9.140625" style="8" customWidth="1"/>
    <col min="14" max="14" width="10.85546875" style="8" customWidth="1"/>
    <col min="15" max="16384" width="9.140625" style="8"/>
  </cols>
  <sheetData>
    <row r="1" spans="1:14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7"/>
      <c r="L2" s="27"/>
      <c r="M2" s="27"/>
      <c r="N2" s="28" t="s">
        <v>32</v>
      </c>
    </row>
    <row r="3" spans="1:14" x14ac:dyDescent="0.2">
      <c r="A3" s="27" t="s">
        <v>287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s="16" customFormat="1" x14ac:dyDescent="0.2">
      <c r="A4" s="123" t="s">
        <v>30</v>
      </c>
      <c r="B4" s="181" t="s">
        <v>245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</row>
    <row r="5" spans="1:14" s="16" customFormat="1" ht="12.75" customHeight="1" x14ac:dyDescent="0.2">
      <c r="A5" s="123"/>
      <c r="B5" s="121" t="s">
        <v>237</v>
      </c>
      <c r="C5" s="121"/>
      <c r="D5" s="121"/>
      <c r="E5" s="121"/>
      <c r="F5" s="121" t="s">
        <v>254</v>
      </c>
      <c r="G5" s="121"/>
      <c r="H5" s="121"/>
      <c r="I5" s="121"/>
      <c r="J5" s="121"/>
      <c r="K5" s="121"/>
      <c r="L5" s="121"/>
      <c r="M5" s="121"/>
      <c r="N5" s="121"/>
    </row>
    <row r="6" spans="1:14" s="16" customFormat="1" ht="12" customHeight="1" x14ac:dyDescent="0.2">
      <c r="A6" s="123"/>
      <c r="B6" s="121"/>
      <c r="C6" s="121"/>
      <c r="D6" s="121"/>
      <c r="E6" s="121"/>
      <c r="F6" s="121" t="s">
        <v>47</v>
      </c>
      <c r="G6" s="121"/>
      <c r="H6" s="121"/>
      <c r="I6" s="121" t="s">
        <v>239</v>
      </c>
      <c r="J6" s="121"/>
      <c r="K6" s="121"/>
      <c r="L6" s="122" t="s">
        <v>240</v>
      </c>
      <c r="M6" s="122"/>
      <c r="N6" s="122"/>
    </row>
    <row r="7" spans="1:14" s="16" customFormat="1" ht="12" customHeight="1" x14ac:dyDescent="0.2">
      <c r="A7" s="123"/>
      <c r="B7" s="121" t="s">
        <v>41</v>
      </c>
      <c r="C7" s="121" t="s">
        <v>244</v>
      </c>
      <c r="D7" s="121"/>
      <c r="E7" s="121"/>
      <c r="F7" s="121" t="s">
        <v>244</v>
      </c>
      <c r="G7" s="121"/>
      <c r="H7" s="121"/>
      <c r="I7" s="121" t="s">
        <v>244</v>
      </c>
      <c r="J7" s="121"/>
      <c r="K7" s="121"/>
      <c r="L7" s="121" t="s">
        <v>244</v>
      </c>
      <c r="M7" s="121"/>
      <c r="N7" s="121"/>
    </row>
    <row r="8" spans="1:14" s="16" customFormat="1" x14ac:dyDescent="0.2">
      <c r="A8" s="123"/>
      <c r="B8" s="121"/>
      <c r="C8" s="34" t="s">
        <v>47</v>
      </c>
      <c r="D8" s="34" t="s">
        <v>242</v>
      </c>
      <c r="E8" s="34" t="s">
        <v>243</v>
      </c>
      <c r="F8" s="34" t="s">
        <v>47</v>
      </c>
      <c r="G8" s="34" t="s">
        <v>242</v>
      </c>
      <c r="H8" s="34" t="s">
        <v>243</v>
      </c>
      <c r="I8" s="34" t="s">
        <v>47</v>
      </c>
      <c r="J8" s="34" t="s">
        <v>242</v>
      </c>
      <c r="K8" s="34" t="s">
        <v>243</v>
      </c>
      <c r="L8" s="34" t="s">
        <v>47</v>
      </c>
      <c r="M8" s="34" t="s">
        <v>242</v>
      </c>
      <c r="N8" s="34" t="s">
        <v>243</v>
      </c>
    </row>
    <row r="9" spans="1:14" s="6" customFormat="1" ht="20.45" customHeight="1" x14ac:dyDescent="0.2">
      <c r="A9" s="69" t="s">
        <v>0</v>
      </c>
      <c r="B9" s="70">
        <v>1046.2190042734146</v>
      </c>
      <c r="C9" s="70">
        <v>4529.817831993103</v>
      </c>
      <c r="D9" s="70">
        <v>4283.0596446991076</v>
      </c>
      <c r="E9" s="70">
        <v>246.75818729400589</v>
      </c>
      <c r="F9" s="70">
        <v>1975.9456093311351</v>
      </c>
      <c r="G9" s="70">
        <v>1838.3822181224766</v>
      </c>
      <c r="H9" s="70">
        <v>137.56339120864843</v>
      </c>
      <c r="I9" s="70">
        <v>986.19372606277147</v>
      </c>
      <c r="J9" s="70">
        <v>908.70167684555315</v>
      </c>
      <c r="K9" s="70">
        <v>77.492049217224434</v>
      </c>
      <c r="L9" s="70">
        <v>989.7518832683578</v>
      </c>
      <c r="M9" s="70">
        <v>929.6805412769304</v>
      </c>
      <c r="N9" s="70">
        <v>60.071341991424518</v>
      </c>
    </row>
    <row r="10" spans="1:14" s="6" customFormat="1" ht="20.45" customHeight="1" x14ac:dyDescent="0.2">
      <c r="A10" s="29" t="s">
        <v>1</v>
      </c>
      <c r="B10" s="51">
        <v>71689.457616329193</v>
      </c>
      <c r="C10" s="51">
        <v>473644.90878510533</v>
      </c>
      <c r="D10" s="51">
        <v>469080.85901713866</v>
      </c>
      <c r="E10" s="51">
        <v>4564.0497679710525</v>
      </c>
      <c r="F10" s="51">
        <v>145296.97713065089</v>
      </c>
      <c r="G10" s="51">
        <v>142932.48519349154</v>
      </c>
      <c r="H10" s="51">
        <v>2364.4919371605229</v>
      </c>
      <c r="I10" s="51">
        <v>74251.115050435386</v>
      </c>
      <c r="J10" s="51">
        <v>73111.067240834367</v>
      </c>
      <c r="K10" s="51">
        <v>1140.0478096008292</v>
      </c>
      <c r="L10" s="51">
        <v>71045.862080217863</v>
      </c>
      <c r="M10" s="51">
        <v>69821.417952657313</v>
      </c>
      <c r="N10" s="51">
        <v>1224.4441275596496</v>
      </c>
    </row>
    <row r="11" spans="1:14" ht="20.45" customHeight="1" x14ac:dyDescent="0.2">
      <c r="A11" s="30" t="s">
        <v>2</v>
      </c>
      <c r="B11" s="53">
        <v>3452.2150820493698</v>
      </c>
      <c r="C11" s="53">
        <v>19060.551314830769</v>
      </c>
      <c r="D11" s="53">
        <v>18457.637261867632</v>
      </c>
      <c r="E11" s="53">
        <v>602.91405296325843</v>
      </c>
      <c r="F11" s="53">
        <v>6765.7487580776296</v>
      </c>
      <c r="G11" s="53">
        <v>6403.309678792938</v>
      </c>
      <c r="H11" s="53">
        <v>362.43907928466558</v>
      </c>
      <c r="I11" s="53">
        <v>3466.5257732868313</v>
      </c>
      <c r="J11" s="53">
        <v>3310.5379536151986</v>
      </c>
      <c r="K11" s="53">
        <v>155.98781967163001</v>
      </c>
      <c r="L11" s="53">
        <v>3299.222984790797</v>
      </c>
      <c r="M11" s="53">
        <v>3092.7717251777744</v>
      </c>
      <c r="N11" s="53">
        <v>206.45125961303444</v>
      </c>
    </row>
    <row r="12" spans="1:14" ht="20.45" customHeight="1" x14ac:dyDescent="0.2">
      <c r="A12" s="30" t="s">
        <v>3</v>
      </c>
      <c r="B12" s="53">
        <v>10360.544011473656</v>
      </c>
      <c r="C12" s="53">
        <v>60247.296050190889</v>
      </c>
      <c r="D12" s="53">
        <v>60036.208061337646</v>
      </c>
      <c r="E12" s="53">
        <v>211.08798885345487</v>
      </c>
      <c r="F12" s="53">
        <v>15049.145817041204</v>
      </c>
      <c r="G12" s="53">
        <v>14946.333812952089</v>
      </c>
      <c r="H12" s="53">
        <v>102.8120040893552</v>
      </c>
      <c r="I12" s="53">
        <v>7609.3966999054419</v>
      </c>
      <c r="J12" s="53">
        <v>7581.532848358157</v>
      </c>
      <c r="K12" s="53">
        <v>27.863851547241165</v>
      </c>
      <c r="L12" s="53">
        <v>7439.7491171359452</v>
      </c>
      <c r="M12" s="53">
        <v>7364.8009645938055</v>
      </c>
      <c r="N12" s="53">
        <v>74.948152542115182</v>
      </c>
    </row>
    <row r="13" spans="1:14" ht="20.45" customHeight="1" x14ac:dyDescent="0.2">
      <c r="A13" s="30" t="s">
        <v>4</v>
      </c>
      <c r="B13" s="53">
        <v>28376.659495711327</v>
      </c>
      <c r="C13" s="53">
        <v>195474.45032322401</v>
      </c>
      <c r="D13" s="53">
        <v>193672.59945595151</v>
      </c>
      <c r="E13" s="53">
        <v>1801.8508672714083</v>
      </c>
      <c r="F13" s="53">
        <v>59347.915566921249</v>
      </c>
      <c r="G13" s="53">
        <v>58344.534263611225</v>
      </c>
      <c r="H13" s="53">
        <v>1003.3813033103881</v>
      </c>
      <c r="I13" s="53">
        <v>31010.816423773857</v>
      </c>
      <c r="J13" s="53">
        <v>30475.597462535148</v>
      </c>
      <c r="K13" s="53">
        <v>535.21896123885938</v>
      </c>
      <c r="L13" s="53">
        <v>28337.099143147632</v>
      </c>
      <c r="M13" s="53">
        <v>27868.936801075739</v>
      </c>
      <c r="N13" s="53">
        <v>468.16234207152576</v>
      </c>
    </row>
    <row r="14" spans="1:14" ht="20.45" customHeight="1" x14ac:dyDescent="0.2">
      <c r="A14" s="30" t="s">
        <v>5</v>
      </c>
      <c r="B14" s="53">
        <v>18316.146244645119</v>
      </c>
      <c r="C14" s="53">
        <v>128377.59947621818</v>
      </c>
      <c r="D14" s="53">
        <v>127055.70769536533</v>
      </c>
      <c r="E14" s="53">
        <v>1321.8917808532888</v>
      </c>
      <c r="F14" s="53">
        <v>42284.696418166015</v>
      </c>
      <c r="G14" s="53">
        <v>41582.175083518407</v>
      </c>
      <c r="H14" s="53">
        <v>702.52133464813937</v>
      </c>
      <c r="I14" s="53">
        <v>21214.183628320614</v>
      </c>
      <c r="J14" s="53">
        <v>20898.435293436058</v>
      </c>
      <c r="K14" s="53">
        <v>315.74833488464429</v>
      </c>
      <c r="L14" s="53">
        <v>21070.512789845412</v>
      </c>
      <c r="M14" s="53">
        <v>20683.739790081861</v>
      </c>
      <c r="N14" s="53">
        <v>386.77299976349207</v>
      </c>
    </row>
    <row r="15" spans="1:14" ht="20.45" customHeight="1" x14ac:dyDescent="0.2">
      <c r="A15" s="30" t="s">
        <v>6</v>
      </c>
      <c r="B15" s="53">
        <v>8563.652636885643</v>
      </c>
      <c r="C15" s="53">
        <v>48759.365703463533</v>
      </c>
      <c r="D15" s="53">
        <v>48394.575363516851</v>
      </c>
      <c r="E15" s="53">
        <v>364.79033994674921</v>
      </c>
      <c r="F15" s="53">
        <v>15889.052814841381</v>
      </c>
      <c r="G15" s="53">
        <v>15766.269234061281</v>
      </c>
      <c r="H15" s="53">
        <v>122.78358078002914</v>
      </c>
      <c r="I15" s="53">
        <v>7896.8957397938084</v>
      </c>
      <c r="J15" s="53">
        <v>7834.3576810359373</v>
      </c>
      <c r="K15" s="53">
        <v>62.538058757782004</v>
      </c>
      <c r="L15" s="53">
        <v>7992.1570750474875</v>
      </c>
      <c r="M15" s="53">
        <v>7931.9115530252484</v>
      </c>
      <c r="N15" s="53">
        <v>60.245522022246931</v>
      </c>
    </row>
    <row r="16" spans="1:14" ht="20.45" customHeight="1" x14ac:dyDescent="0.2">
      <c r="A16" s="30" t="s">
        <v>7</v>
      </c>
      <c r="B16" s="53">
        <v>1787.7461932897568</v>
      </c>
      <c r="C16" s="53">
        <v>12196.525389909742</v>
      </c>
      <c r="D16" s="53">
        <v>11935.010651826875</v>
      </c>
      <c r="E16" s="53">
        <v>261.51473808288637</v>
      </c>
      <c r="F16" s="53">
        <v>3268.8373537063667</v>
      </c>
      <c r="G16" s="53">
        <v>3198.2827186584495</v>
      </c>
      <c r="H16" s="53">
        <v>70.554635047912456</v>
      </c>
      <c r="I16" s="53">
        <v>1731.7240166664153</v>
      </c>
      <c r="J16" s="53">
        <v>1689.0332331657439</v>
      </c>
      <c r="K16" s="53">
        <v>42.69078350067123</v>
      </c>
      <c r="L16" s="53">
        <v>1537.1133370399489</v>
      </c>
      <c r="M16" s="53">
        <v>1509.2494854927054</v>
      </c>
      <c r="N16" s="53">
        <v>27.863851547241133</v>
      </c>
    </row>
    <row r="17" spans="1:14" ht="20.45" customHeight="1" x14ac:dyDescent="0.2">
      <c r="A17" s="30" t="s">
        <v>8</v>
      </c>
      <c r="B17" s="53">
        <v>579.74976444244385</v>
      </c>
      <c r="C17" s="53">
        <v>7785.1549034118671</v>
      </c>
      <c r="D17" s="53">
        <v>7785.1549034118661</v>
      </c>
      <c r="E17" s="53">
        <v>0</v>
      </c>
      <c r="F17" s="53">
        <v>2069.7385802269009</v>
      </c>
      <c r="G17" s="53">
        <v>2069.7385802269009</v>
      </c>
      <c r="H17" s="53">
        <v>0</v>
      </c>
      <c r="I17" s="53">
        <v>1054.8359766006483</v>
      </c>
      <c r="J17" s="53">
        <v>1054.8359766006483</v>
      </c>
      <c r="K17" s="53">
        <v>0</v>
      </c>
      <c r="L17" s="53">
        <v>1014.9026036262508</v>
      </c>
      <c r="M17" s="53">
        <v>1014.9026036262508</v>
      </c>
      <c r="N17" s="53">
        <v>0</v>
      </c>
    </row>
    <row r="18" spans="1:14" ht="20.45" customHeight="1" x14ac:dyDescent="0.2">
      <c r="A18" s="30" t="s">
        <v>9</v>
      </c>
      <c r="B18" s="53">
        <v>129.24431848526001</v>
      </c>
      <c r="C18" s="53">
        <v>885.88629722595203</v>
      </c>
      <c r="D18" s="53">
        <v>885.88629722595215</v>
      </c>
      <c r="E18" s="53">
        <v>0</v>
      </c>
      <c r="F18" s="53">
        <v>323.74608898162813</v>
      </c>
      <c r="G18" s="53">
        <v>323.74608898162813</v>
      </c>
      <c r="H18" s="53">
        <v>0</v>
      </c>
      <c r="I18" s="53">
        <v>157.76234769821173</v>
      </c>
      <c r="J18" s="53">
        <v>157.76234769821173</v>
      </c>
      <c r="K18" s="53">
        <v>0</v>
      </c>
      <c r="L18" s="53">
        <v>165.98374128341672</v>
      </c>
      <c r="M18" s="53">
        <v>165.98374128341672</v>
      </c>
      <c r="N18" s="53">
        <v>0</v>
      </c>
    </row>
    <row r="19" spans="1:14" ht="20.45" customHeight="1" x14ac:dyDescent="0.2">
      <c r="A19" s="30" t="s">
        <v>10</v>
      </c>
      <c r="B19" s="53">
        <v>96.185392379760742</v>
      </c>
      <c r="C19" s="53">
        <v>547.15034008026123</v>
      </c>
      <c r="D19" s="53">
        <v>547.15034008026134</v>
      </c>
      <c r="E19" s="53">
        <v>0</v>
      </c>
      <c r="F19" s="53">
        <v>178.36808490753174</v>
      </c>
      <c r="G19" s="53">
        <v>178.36808490753174</v>
      </c>
      <c r="H19" s="53">
        <v>0</v>
      </c>
      <c r="I19" s="53">
        <v>82.368300437927246</v>
      </c>
      <c r="J19" s="53">
        <v>82.368300437927246</v>
      </c>
      <c r="K19" s="53">
        <v>0</v>
      </c>
      <c r="L19" s="53">
        <v>95.999784469604506</v>
      </c>
      <c r="M19" s="53">
        <v>95.999784469604506</v>
      </c>
      <c r="N19" s="53">
        <v>0</v>
      </c>
    </row>
    <row r="20" spans="1:14" ht="20.45" customHeight="1" x14ac:dyDescent="0.2">
      <c r="A20" s="30" t="s">
        <v>11</v>
      </c>
      <c r="B20" s="53">
        <v>27.31447696685791</v>
      </c>
      <c r="C20" s="53">
        <v>310.92898654937744</v>
      </c>
      <c r="D20" s="53">
        <v>310.92898654937744</v>
      </c>
      <c r="E20" s="53">
        <v>0</v>
      </c>
      <c r="F20" s="53">
        <v>119.72764778137206</v>
      </c>
      <c r="G20" s="53">
        <v>119.72764778137206</v>
      </c>
      <c r="H20" s="53">
        <v>0</v>
      </c>
      <c r="I20" s="53">
        <v>26.606143951416012</v>
      </c>
      <c r="J20" s="53">
        <v>26.606143951416012</v>
      </c>
      <c r="K20" s="53">
        <v>0</v>
      </c>
      <c r="L20" s="53">
        <v>93.121503829956055</v>
      </c>
      <c r="M20" s="53">
        <v>93.121503829956055</v>
      </c>
      <c r="N20" s="53">
        <v>0</v>
      </c>
    </row>
    <row r="21" spans="1:14" s="6" customFormat="1" ht="20.45" customHeight="1" x14ac:dyDescent="0.2">
      <c r="A21" s="31" t="s">
        <v>12</v>
      </c>
      <c r="B21" s="25">
        <f>B9+B10</f>
        <v>72735.676620602608</v>
      </c>
      <c r="C21" s="25">
        <f t="shared" ref="C21:N21" si="0">C9+C10</f>
        <v>478174.72661709844</v>
      </c>
      <c r="D21" s="25">
        <f t="shared" si="0"/>
        <v>473363.91866183776</v>
      </c>
      <c r="E21" s="25">
        <f t="shared" si="0"/>
        <v>4810.8079552650579</v>
      </c>
      <c r="F21" s="25">
        <f t="shared" si="0"/>
        <v>147272.92273998202</v>
      </c>
      <c r="G21" s="25">
        <f t="shared" si="0"/>
        <v>144770.86741161402</v>
      </c>
      <c r="H21" s="25">
        <f t="shared" si="0"/>
        <v>2502.0553283691711</v>
      </c>
      <c r="I21" s="25">
        <f t="shared" si="0"/>
        <v>75237.308776498161</v>
      </c>
      <c r="J21" s="25">
        <f t="shared" si="0"/>
        <v>74019.768917679918</v>
      </c>
      <c r="K21" s="25">
        <f t="shared" si="0"/>
        <v>1217.5398588180535</v>
      </c>
      <c r="L21" s="25">
        <f t="shared" si="0"/>
        <v>72035.613963486219</v>
      </c>
      <c r="M21" s="25">
        <f t="shared" si="0"/>
        <v>70751.098493934245</v>
      </c>
      <c r="N21" s="25">
        <f t="shared" si="0"/>
        <v>1284.5154695510741</v>
      </c>
    </row>
  </sheetData>
  <mergeCells count="13">
    <mergeCell ref="F7:H7"/>
    <mergeCell ref="I7:K7"/>
    <mergeCell ref="L7:N7"/>
    <mergeCell ref="A1:N1"/>
    <mergeCell ref="A4:A8"/>
    <mergeCell ref="B4:N4"/>
    <mergeCell ref="B5:E6"/>
    <mergeCell ref="F5:N5"/>
    <mergeCell ref="F6:H6"/>
    <mergeCell ref="I6:K6"/>
    <mergeCell ref="L6:N6"/>
    <mergeCell ref="B7:B8"/>
    <mergeCell ref="C7:E7"/>
  </mergeCells>
  <conditionalFormatting sqref="B10:B21">
    <cfRule type="cellIs" dxfId="556" priority="26" stopIfTrue="1" operator="equal">
      <formula>0</formula>
    </cfRule>
  </conditionalFormatting>
  <conditionalFormatting sqref="B9">
    <cfRule type="cellIs" dxfId="555" priority="25" stopIfTrue="1" operator="equal">
      <formula>0</formula>
    </cfRule>
  </conditionalFormatting>
  <conditionalFormatting sqref="C10:C21">
    <cfRule type="cellIs" dxfId="554" priority="24" stopIfTrue="1" operator="equal">
      <formula>0</formula>
    </cfRule>
  </conditionalFormatting>
  <conditionalFormatting sqref="C9">
    <cfRule type="cellIs" dxfId="553" priority="23" stopIfTrue="1" operator="equal">
      <formula>0</formula>
    </cfRule>
  </conditionalFormatting>
  <conditionalFormatting sqref="D10:D21">
    <cfRule type="cellIs" dxfId="552" priority="22" stopIfTrue="1" operator="equal">
      <formula>0</formula>
    </cfRule>
  </conditionalFormatting>
  <conditionalFormatting sqref="D9">
    <cfRule type="cellIs" dxfId="551" priority="21" stopIfTrue="1" operator="equal">
      <formula>0</formula>
    </cfRule>
  </conditionalFormatting>
  <conditionalFormatting sqref="E10:E21">
    <cfRule type="cellIs" dxfId="550" priority="20" stopIfTrue="1" operator="equal">
      <formula>0</formula>
    </cfRule>
  </conditionalFormatting>
  <conditionalFormatting sqref="E9">
    <cfRule type="cellIs" dxfId="549" priority="19" stopIfTrue="1" operator="equal">
      <formula>0</formula>
    </cfRule>
  </conditionalFormatting>
  <conditionalFormatting sqref="F10:F21">
    <cfRule type="cellIs" dxfId="548" priority="18" stopIfTrue="1" operator="equal">
      <formula>0</formula>
    </cfRule>
  </conditionalFormatting>
  <conditionalFormatting sqref="F9">
    <cfRule type="cellIs" dxfId="547" priority="17" stopIfTrue="1" operator="equal">
      <formula>0</formula>
    </cfRule>
  </conditionalFormatting>
  <conditionalFormatting sqref="G10:G21">
    <cfRule type="cellIs" dxfId="546" priority="16" stopIfTrue="1" operator="equal">
      <formula>0</formula>
    </cfRule>
  </conditionalFormatting>
  <conditionalFormatting sqref="G9">
    <cfRule type="cellIs" dxfId="545" priority="15" stopIfTrue="1" operator="equal">
      <formula>0</formula>
    </cfRule>
  </conditionalFormatting>
  <conditionalFormatting sqref="H10:H21">
    <cfRule type="cellIs" dxfId="544" priority="14" stopIfTrue="1" operator="equal">
      <formula>0</formula>
    </cfRule>
  </conditionalFormatting>
  <conditionalFormatting sqref="H9">
    <cfRule type="cellIs" dxfId="543" priority="13" stopIfTrue="1" operator="equal">
      <formula>0</formula>
    </cfRule>
  </conditionalFormatting>
  <conditionalFormatting sqref="I10:I21">
    <cfRule type="cellIs" dxfId="542" priority="12" stopIfTrue="1" operator="equal">
      <formula>0</formula>
    </cfRule>
  </conditionalFormatting>
  <conditionalFormatting sqref="I9">
    <cfRule type="cellIs" dxfId="541" priority="11" stopIfTrue="1" operator="equal">
      <formula>0</formula>
    </cfRule>
  </conditionalFormatting>
  <conditionalFormatting sqref="J10:J21">
    <cfRule type="cellIs" dxfId="540" priority="10" stopIfTrue="1" operator="equal">
      <formula>0</formula>
    </cfRule>
  </conditionalFormatting>
  <conditionalFormatting sqref="J9">
    <cfRule type="cellIs" dxfId="539" priority="9" stopIfTrue="1" operator="equal">
      <formula>0</formula>
    </cfRule>
  </conditionalFormatting>
  <conditionalFormatting sqref="K10:K21">
    <cfRule type="cellIs" dxfId="538" priority="8" stopIfTrue="1" operator="equal">
      <formula>0</formula>
    </cfRule>
  </conditionalFormatting>
  <conditionalFormatting sqref="K9">
    <cfRule type="cellIs" dxfId="537" priority="7" stopIfTrue="1" operator="equal">
      <formula>0</formula>
    </cfRule>
  </conditionalFormatting>
  <conditionalFormatting sqref="L10:L21">
    <cfRule type="cellIs" dxfId="536" priority="6" stopIfTrue="1" operator="equal">
      <formula>0</formula>
    </cfRule>
  </conditionalFormatting>
  <conditionalFormatting sqref="L9">
    <cfRule type="cellIs" dxfId="535" priority="5" stopIfTrue="1" operator="equal">
      <formula>0</formula>
    </cfRule>
  </conditionalFormatting>
  <conditionalFormatting sqref="M10:M21">
    <cfRule type="cellIs" dxfId="534" priority="4" stopIfTrue="1" operator="equal">
      <formula>0</formula>
    </cfRule>
  </conditionalFormatting>
  <conditionalFormatting sqref="M9">
    <cfRule type="cellIs" dxfId="533" priority="3" stopIfTrue="1" operator="equal">
      <formula>0</formula>
    </cfRule>
  </conditionalFormatting>
  <conditionalFormatting sqref="N10:N21">
    <cfRule type="cellIs" dxfId="532" priority="2" stopIfTrue="1" operator="equal">
      <formula>0</formula>
    </cfRule>
  </conditionalFormatting>
  <conditionalFormatting sqref="N9">
    <cfRule type="cellIs" dxfId="531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A9CA-690D-4EDD-98DB-0D3F516BB728}">
  <dimension ref="A1:J21"/>
  <sheetViews>
    <sheetView zoomScale="75" zoomScaleNormal="75" workbookViewId="0">
      <selection activeCell="C19" sqref="C19"/>
    </sheetView>
  </sheetViews>
  <sheetFormatPr defaultRowHeight="12.75" x14ac:dyDescent="0.2"/>
  <cols>
    <col min="1" max="1" width="25.85546875" style="8" customWidth="1"/>
    <col min="2" max="10" width="12.5703125" style="8" customWidth="1"/>
    <col min="11" max="16384" width="9.140625" style="8"/>
  </cols>
  <sheetData>
    <row r="1" spans="1:10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2">
      <c r="A2" s="27"/>
      <c r="B2" s="28"/>
      <c r="C2" s="28"/>
      <c r="D2" s="28"/>
      <c r="E2" s="28"/>
      <c r="F2" s="28"/>
      <c r="G2" s="27"/>
      <c r="H2" s="27"/>
      <c r="I2" s="27"/>
      <c r="J2" s="28" t="s">
        <v>32</v>
      </c>
    </row>
    <row r="3" spans="1:10" x14ac:dyDescent="0.2">
      <c r="A3" s="27" t="s">
        <v>288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s="16" customFormat="1" x14ac:dyDescent="0.2">
      <c r="A4" s="123" t="s">
        <v>30</v>
      </c>
      <c r="B4" s="181" t="s">
        <v>245</v>
      </c>
      <c r="C4" s="181"/>
      <c r="D4" s="181"/>
      <c r="E4" s="181"/>
      <c r="F4" s="181"/>
      <c r="G4" s="181"/>
      <c r="H4" s="181"/>
      <c r="I4" s="181"/>
      <c r="J4" s="181"/>
    </row>
    <row r="5" spans="1:10" s="16" customFormat="1" ht="12.75" customHeight="1" x14ac:dyDescent="0.2">
      <c r="A5" s="123"/>
      <c r="B5" s="121" t="s">
        <v>255</v>
      </c>
      <c r="C5" s="121"/>
      <c r="D5" s="121"/>
      <c r="E5" s="121"/>
      <c r="F5" s="121"/>
      <c r="G5" s="121"/>
      <c r="H5" s="121"/>
      <c r="I5" s="121"/>
      <c r="J5" s="121"/>
    </row>
    <row r="6" spans="1:10" s="16" customFormat="1" ht="12" customHeight="1" x14ac:dyDescent="0.2">
      <c r="A6" s="123"/>
      <c r="B6" s="121" t="s">
        <v>47</v>
      </c>
      <c r="C6" s="121"/>
      <c r="D6" s="121"/>
      <c r="E6" s="121" t="s">
        <v>239</v>
      </c>
      <c r="F6" s="121"/>
      <c r="G6" s="121"/>
      <c r="H6" s="122" t="s">
        <v>240</v>
      </c>
      <c r="I6" s="122"/>
      <c r="J6" s="122"/>
    </row>
    <row r="7" spans="1:10" s="16" customFormat="1" ht="12" customHeight="1" x14ac:dyDescent="0.2">
      <c r="A7" s="123"/>
      <c r="B7" s="121" t="s">
        <v>244</v>
      </c>
      <c r="C7" s="121"/>
      <c r="D7" s="121"/>
      <c r="E7" s="121" t="s">
        <v>244</v>
      </c>
      <c r="F7" s="121"/>
      <c r="G7" s="121"/>
      <c r="H7" s="121" t="s">
        <v>244</v>
      </c>
      <c r="I7" s="121"/>
      <c r="J7" s="121"/>
    </row>
    <row r="8" spans="1:10" s="16" customFormat="1" x14ac:dyDescent="0.2">
      <c r="A8" s="123"/>
      <c r="B8" s="34" t="s">
        <v>47</v>
      </c>
      <c r="C8" s="34" t="s">
        <v>242</v>
      </c>
      <c r="D8" s="34" t="s">
        <v>243</v>
      </c>
      <c r="E8" s="34" t="s">
        <v>47</v>
      </c>
      <c r="F8" s="34" t="s">
        <v>242</v>
      </c>
      <c r="G8" s="34" t="s">
        <v>243</v>
      </c>
      <c r="H8" s="34" t="s">
        <v>47</v>
      </c>
      <c r="I8" s="34" t="s">
        <v>242</v>
      </c>
      <c r="J8" s="34" t="s">
        <v>243</v>
      </c>
    </row>
    <row r="9" spans="1:10" s="6" customFormat="1" ht="20.45" customHeight="1" x14ac:dyDescent="0.2">
      <c r="A9" s="69" t="s">
        <v>0</v>
      </c>
      <c r="B9" s="70">
        <v>2553.872222661967</v>
      </c>
      <c r="C9" s="70">
        <v>2444.6774265766126</v>
      </c>
      <c r="D9" s="70">
        <v>109.19479608535735</v>
      </c>
      <c r="E9" s="70">
        <v>924.2583312988254</v>
      </c>
      <c r="F9" s="70">
        <v>887.86006593704337</v>
      </c>
      <c r="G9" s="70">
        <v>36.398265361785882</v>
      </c>
      <c r="H9" s="70">
        <v>1629.6138913631423</v>
      </c>
      <c r="I9" s="70">
        <v>1556.8173606395758</v>
      </c>
      <c r="J9" s="70">
        <v>72.796530723571763</v>
      </c>
    </row>
    <row r="10" spans="1:10" s="6" customFormat="1" ht="20.45" customHeight="1" x14ac:dyDescent="0.2">
      <c r="A10" s="29" t="s">
        <v>1</v>
      </c>
      <c r="B10" s="51">
        <v>328347.93165444949</v>
      </c>
      <c r="C10" s="51">
        <v>326148.37382364564</v>
      </c>
      <c r="D10" s="51">
        <v>2199.5578308105592</v>
      </c>
      <c r="E10" s="51">
        <v>121787.39387488154</v>
      </c>
      <c r="F10" s="51">
        <v>120804.59654784328</v>
      </c>
      <c r="G10" s="51">
        <v>982.79732704162018</v>
      </c>
      <c r="H10" s="51">
        <v>206560.5377795675</v>
      </c>
      <c r="I10" s="51">
        <v>205343.77727580204</v>
      </c>
      <c r="J10" s="51">
        <v>1216.7605037689223</v>
      </c>
    </row>
    <row r="11" spans="1:10" ht="20.45" customHeight="1" x14ac:dyDescent="0.2">
      <c r="A11" s="30" t="s">
        <v>2</v>
      </c>
      <c r="B11" s="53">
        <v>12294.8025567532</v>
      </c>
      <c r="C11" s="53">
        <v>12054.327583074601</v>
      </c>
      <c r="D11" s="53">
        <v>240.47497367858705</v>
      </c>
      <c r="E11" s="53">
        <v>4932.0648030042521</v>
      </c>
      <c r="F11" s="53">
        <v>4760.6970442533257</v>
      </c>
      <c r="G11" s="53">
        <v>171.36775875091513</v>
      </c>
      <c r="H11" s="53">
        <v>7362.7377537489056</v>
      </c>
      <c r="I11" s="53">
        <v>7293.6305388211958</v>
      </c>
      <c r="J11" s="53">
        <v>69.107214927673155</v>
      </c>
    </row>
    <row r="12" spans="1:10" ht="20.45" customHeight="1" x14ac:dyDescent="0.2">
      <c r="A12" s="30" t="s">
        <v>3</v>
      </c>
      <c r="B12" s="53">
        <v>45198.150233149616</v>
      </c>
      <c r="C12" s="53">
        <v>45089.8742483854</v>
      </c>
      <c r="D12" s="53">
        <v>108.27598476409958</v>
      </c>
      <c r="E12" s="53">
        <v>20087.041528940135</v>
      </c>
      <c r="F12" s="53">
        <v>20015.385195970546</v>
      </c>
      <c r="G12" s="53">
        <v>71.656332969665499</v>
      </c>
      <c r="H12" s="53">
        <v>25111.108704209324</v>
      </c>
      <c r="I12" s="53">
        <v>25074.489052414803</v>
      </c>
      <c r="J12" s="53">
        <v>36.619651794433025</v>
      </c>
    </row>
    <row r="13" spans="1:10" ht="20.45" customHeight="1" x14ac:dyDescent="0.2">
      <c r="A13" s="30" t="s">
        <v>4</v>
      </c>
      <c r="B13" s="53">
        <v>136126.53475630237</v>
      </c>
      <c r="C13" s="53">
        <v>135328.06519234288</v>
      </c>
      <c r="D13" s="53">
        <v>798.46956396103781</v>
      </c>
      <c r="E13" s="53">
        <v>50248.213822960708</v>
      </c>
      <c r="F13" s="53">
        <v>49956.211269021056</v>
      </c>
      <c r="G13" s="53">
        <v>292.0025539398178</v>
      </c>
      <c r="H13" s="53">
        <v>85878.320933341674</v>
      </c>
      <c r="I13" s="53">
        <v>85371.853923320814</v>
      </c>
      <c r="J13" s="53">
        <v>506.4670100212129</v>
      </c>
    </row>
    <row r="14" spans="1:10" ht="20.45" customHeight="1" x14ac:dyDescent="0.2">
      <c r="A14" s="30" t="s">
        <v>5</v>
      </c>
      <c r="B14" s="53">
        <v>86092.90305805199</v>
      </c>
      <c r="C14" s="53">
        <v>85473.532611846982</v>
      </c>
      <c r="D14" s="53">
        <v>619.37044620513677</v>
      </c>
      <c r="E14" s="53">
        <v>29772.088271856068</v>
      </c>
      <c r="F14" s="53">
        <v>29509.606003046265</v>
      </c>
      <c r="G14" s="53">
        <v>262.48226881027006</v>
      </c>
      <c r="H14" s="53">
        <v>56320.814786195981</v>
      </c>
      <c r="I14" s="53">
        <v>55963.926608800728</v>
      </c>
      <c r="J14" s="53">
        <v>356.88817739485978</v>
      </c>
    </row>
    <row r="15" spans="1:10" ht="20.45" customHeight="1" x14ac:dyDescent="0.2">
      <c r="A15" s="30" t="s">
        <v>6</v>
      </c>
      <c r="B15" s="53">
        <v>32870.312888622371</v>
      </c>
      <c r="C15" s="53">
        <v>32628.306129455708</v>
      </c>
      <c r="D15" s="53">
        <v>242.00675916671574</v>
      </c>
      <c r="E15" s="53">
        <v>10648.615543484641</v>
      </c>
      <c r="F15" s="53">
        <v>10520.844846367825</v>
      </c>
      <c r="G15" s="53">
        <v>127.77069711685168</v>
      </c>
      <c r="H15" s="53">
        <v>22221.697345137745</v>
      </c>
      <c r="I15" s="53">
        <v>22107.461283087821</v>
      </c>
      <c r="J15" s="53">
        <v>114.23606204986578</v>
      </c>
    </row>
    <row r="16" spans="1:10" ht="20.45" customHeight="1" x14ac:dyDescent="0.2">
      <c r="A16" s="30" t="s">
        <v>7</v>
      </c>
      <c r="B16" s="53">
        <v>8927.6880362033644</v>
      </c>
      <c r="C16" s="53">
        <v>8736.727933168404</v>
      </c>
      <c r="D16" s="53">
        <v>190.96010303497295</v>
      </c>
      <c r="E16" s="53">
        <v>3805.8778516054126</v>
      </c>
      <c r="F16" s="53">
        <v>3748.3601361513192</v>
      </c>
      <c r="G16" s="53">
        <v>57.517715454101378</v>
      </c>
      <c r="H16" s="53">
        <v>5121.8101845979572</v>
      </c>
      <c r="I16" s="53">
        <v>4988.367797017092</v>
      </c>
      <c r="J16" s="53">
        <v>133.44238758087184</v>
      </c>
    </row>
    <row r="17" spans="1:10" ht="20.45" customHeight="1" x14ac:dyDescent="0.2">
      <c r="A17" s="30" t="s">
        <v>8</v>
      </c>
      <c r="B17" s="53">
        <v>5715.4163231849598</v>
      </c>
      <c r="C17" s="53">
        <v>5715.4163231849598</v>
      </c>
      <c r="D17" s="53">
        <v>0</v>
      </c>
      <c r="E17" s="53">
        <v>1838.5563311576836</v>
      </c>
      <c r="F17" s="53">
        <v>1838.5563311576836</v>
      </c>
      <c r="G17" s="53">
        <v>0</v>
      </c>
      <c r="H17" s="53">
        <v>3876.8599920272804</v>
      </c>
      <c r="I17" s="53">
        <v>3876.8599920272804</v>
      </c>
      <c r="J17" s="53">
        <v>0</v>
      </c>
    </row>
    <row r="18" spans="1:10" ht="20.45" customHeight="1" x14ac:dyDescent="0.2">
      <c r="A18" s="30" t="s">
        <v>9</v>
      </c>
      <c r="B18" s="53">
        <v>562.14020824432407</v>
      </c>
      <c r="C18" s="53">
        <v>562.14020824432407</v>
      </c>
      <c r="D18" s="53">
        <v>0</v>
      </c>
      <c r="E18" s="53">
        <v>205.6666197776795</v>
      </c>
      <c r="F18" s="53">
        <v>205.6666197776795</v>
      </c>
      <c r="G18" s="53">
        <v>0</v>
      </c>
      <c r="H18" s="53">
        <v>356.47358846664429</v>
      </c>
      <c r="I18" s="53">
        <v>356.47358846664429</v>
      </c>
      <c r="J18" s="53">
        <v>0</v>
      </c>
    </row>
    <row r="19" spans="1:10" ht="20.45" customHeight="1" x14ac:dyDescent="0.2">
      <c r="A19" s="30" t="s">
        <v>10</v>
      </c>
      <c r="B19" s="53">
        <v>368.78225517272949</v>
      </c>
      <c r="C19" s="53">
        <v>368.78225517272949</v>
      </c>
      <c r="D19" s="53">
        <v>0</v>
      </c>
      <c r="E19" s="53">
        <v>128.12478828430176</v>
      </c>
      <c r="F19" s="53">
        <v>128.12478828430176</v>
      </c>
      <c r="G19" s="53">
        <v>0</v>
      </c>
      <c r="H19" s="53">
        <v>240.65746688842773</v>
      </c>
      <c r="I19" s="53">
        <v>240.65746688842773</v>
      </c>
      <c r="J19" s="53">
        <v>0</v>
      </c>
    </row>
    <row r="20" spans="1:10" ht="20.45" customHeight="1" x14ac:dyDescent="0.2">
      <c r="A20" s="30" t="s">
        <v>11</v>
      </c>
      <c r="B20" s="53">
        <v>191.20133876800537</v>
      </c>
      <c r="C20" s="53">
        <v>191.20133876800537</v>
      </c>
      <c r="D20" s="53">
        <v>0</v>
      </c>
      <c r="E20" s="53">
        <v>121.14431381225585</v>
      </c>
      <c r="F20" s="53">
        <v>121.14431381225585</v>
      </c>
      <c r="G20" s="53">
        <v>0</v>
      </c>
      <c r="H20" s="53">
        <v>70.057024955749498</v>
      </c>
      <c r="I20" s="53">
        <v>70.057024955749498</v>
      </c>
      <c r="J20" s="53">
        <v>0</v>
      </c>
    </row>
    <row r="21" spans="1:10" s="6" customFormat="1" ht="20.45" customHeight="1" x14ac:dyDescent="0.2">
      <c r="A21" s="31" t="s">
        <v>12</v>
      </c>
      <c r="B21" s="25">
        <f>B9+B10</f>
        <v>330901.80387711147</v>
      </c>
      <c r="C21" s="25">
        <f t="shared" ref="C21:J21" si="0">C9+C10</f>
        <v>328593.05125022226</v>
      </c>
      <c r="D21" s="25">
        <f t="shared" si="0"/>
        <v>2308.7526268959164</v>
      </c>
      <c r="E21" s="25">
        <f t="shared" si="0"/>
        <v>122711.65220618037</v>
      </c>
      <c r="F21" s="25">
        <f t="shared" si="0"/>
        <v>121692.45661378032</v>
      </c>
      <c r="G21" s="25">
        <f t="shared" si="0"/>
        <v>1019.1955924034061</v>
      </c>
      <c r="H21" s="25">
        <f t="shared" si="0"/>
        <v>208190.15167093065</v>
      </c>
      <c r="I21" s="25">
        <f t="shared" si="0"/>
        <v>206900.59463644162</v>
      </c>
      <c r="J21" s="25">
        <f t="shared" si="0"/>
        <v>1289.557034492494</v>
      </c>
    </row>
  </sheetData>
  <mergeCells count="10">
    <mergeCell ref="A1:J1"/>
    <mergeCell ref="A4:A8"/>
    <mergeCell ref="B4:J4"/>
    <mergeCell ref="B5:J5"/>
    <mergeCell ref="B6:D6"/>
    <mergeCell ref="E6:G6"/>
    <mergeCell ref="H6:J6"/>
    <mergeCell ref="B7:D7"/>
    <mergeCell ref="E7:G7"/>
    <mergeCell ref="H7:J7"/>
  </mergeCells>
  <conditionalFormatting sqref="B10:B21">
    <cfRule type="cellIs" dxfId="530" priority="18" stopIfTrue="1" operator="equal">
      <formula>0</formula>
    </cfRule>
  </conditionalFormatting>
  <conditionalFormatting sqref="B9">
    <cfRule type="cellIs" dxfId="529" priority="17" stopIfTrue="1" operator="equal">
      <formula>0</formula>
    </cfRule>
  </conditionalFormatting>
  <conditionalFormatting sqref="C10:C21">
    <cfRule type="cellIs" dxfId="528" priority="16" stopIfTrue="1" operator="equal">
      <formula>0</formula>
    </cfRule>
  </conditionalFormatting>
  <conditionalFormatting sqref="C9">
    <cfRule type="cellIs" dxfId="527" priority="15" stopIfTrue="1" operator="equal">
      <formula>0</formula>
    </cfRule>
  </conditionalFormatting>
  <conditionalFormatting sqref="D10:D21">
    <cfRule type="cellIs" dxfId="526" priority="14" stopIfTrue="1" operator="equal">
      <formula>0</formula>
    </cfRule>
  </conditionalFormatting>
  <conditionalFormatting sqref="D9">
    <cfRule type="cellIs" dxfId="525" priority="13" stopIfTrue="1" operator="equal">
      <formula>0</formula>
    </cfRule>
  </conditionalFormatting>
  <conditionalFormatting sqref="E10:E21">
    <cfRule type="cellIs" dxfId="524" priority="12" stopIfTrue="1" operator="equal">
      <formula>0</formula>
    </cfRule>
  </conditionalFormatting>
  <conditionalFormatting sqref="E9">
    <cfRule type="cellIs" dxfId="523" priority="11" stopIfTrue="1" operator="equal">
      <formula>0</formula>
    </cfRule>
  </conditionalFormatting>
  <conditionalFormatting sqref="F10:F21">
    <cfRule type="cellIs" dxfId="522" priority="10" stopIfTrue="1" operator="equal">
      <formula>0</formula>
    </cfRule>
  </conditionalFormatting>
  <conditionalFormatting sqref="F9">
    <cfRule type="cellIs" dxfId="521" priority="9" stopIfTrue="1" operator="equal">
      <formula>0</formula>
    </cfRule>
  </conditionalFormatting>
  <conditionalFormatting sqref="G10:G21">
    <cfRule type="cellIs" dxfId="520" priority="8" stopIfTrue="1" operator="equal">
      <formula>0</formula>
    </cfRule>
  </conditionalFormatting>
  <conditionalFormatting sqref="G9">
    <cfRule type="cellIs" dxfId="519" priority="7" stopIfTrue="1" operator="equal">
      <formula>0</formula>
    </cfRule>
  </conditionalFormatting>
  <conditionalFormatting sqref="H10:H21">
    <cfRule type="cellIs" dxfId="518" priority="6" stopIfTrue="1" operator="equal">
      <formula>0</formula>
    </cfRule>
  </conditionalFormatting>
  <conditionalFormatting sqref="H9">
    <cfRule type="cellIs" dxfId="517" priority="5" stopIfTrue="1" operator="equal">
      <formula>0</formula>
    </cfRule>
  </conditionalFormatting>
  <conditionalFormatting sqref="I10:I21">
    <cfRule type="cellIs" dxfId="516" priority="4" stopIfTrue="1" operator="equal">
      <formula>0</formula>
    </cfRule>
  </conditionalFormatting>
  <conditionalFormatting sqref="I9">
    <cfRule type="cellIs" dxfId="515" priority="3" stopIfTrue="1" operator="equal">
      <formula>0</formula>
    </cfRule>
  </conditionalFormatting>
  <conditionalFormatting sqref="J10:J21">
    <cfRule type="cellIs" dxfId="514" priority="2" stopIfTrue="1" operator="equal">
      <formula>0</formula>
    </cfRule>
  </conditionalFormatting>
  <conditionalFormatting sqref="J9">
    <cfRule type="cellIs" dxfId="513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C051-A818-4FEC-8EB6-725B7B689141}">
  <dimension ref="A1:K20"/>
  <sheetViews>
    <sheetView zoomScale="107" zoomScaleNormal="75" workbookViewId="0">
      <selection activeCell="C19" sqref="C19"/>
    </sheetView>
  </sheetViews>
  <sheetFormatPr defaultRowHeight="12.75" x14ac:dyDescent="0.2"/>
  <cols>
    <col min="1" max="1" width="25.85546875" style="8" customWidth="1"/>
    <col min="2" max="11" width="10.85546875" style="8" customWidth="1"/>
    <col min="12" max="16384" width="9.140625" style="8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 t="s">
        <v>32</v>
      </c>
    </row>
    <row r="3" spans="1:11" x14ac:dyDescent="0.2">
      <c r="A3" s="27" t="s">
        <v>289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s="16" customFormat="1" x14ac:dyDescent="0.2">
      <c r="A4" s="123" t="s">
        <v>30</v>
      </c>
      <c r="B4" s="181" t="s">
        <v>509</v>
      </c>
      <c r="C4" s="181"/>
      <c r="D4" s="181"/>
      <c r="E4" s="181"/>
      <c r="F4" s="181"/>
      <c r="G4" s="181"/>
      <c r="H4" s="181"/>
      <c r="I4" s="181"/>
      <c r="J4" s="181"/>
      <c r="K4" s="181"/>
    </row>
    <row r="5" spans="1:11" s="16" customFormat="1" ht="12.75" customHeight="1" x14ac:dyDescent="0.2">
      <c r="A5" s="123"/>
      <c r="B5" s="121" t="s">
        <v>237</v>
      </c>
      <c r="C5" s="121"/>
      <c r="D5" s="121"/>
      <c r="E5" s="121"/>
      <c r="F5" s="121" t="s">
        <v>254</v>
      </c>
      <c r="G5" s="121"/>
      <c r="H5" s="121"/>
      <c r="I5" s="121" t="s">
        <v>255</v>
      </c>
      <c r="J5" s="121"/>
      <c r="K5" s="121"/>
    </row>
    <row r="6" spans="1:11" s="16" customFormat="1" ht="12" customHeight="1" x14ac:dyDescent="0.2">
      <c r="A6" s="123"/>
      <c r="B6" s="121" t="s">
        <v>41</v>
      </c>
      <c r="C6" s="121" t="s">
        <v>256</v>
      </c>
      <c r="D6" s="121"/>
      <c r="E6" s="121"/>
      <c r="F6" s="121" t="s">
        <v>244</v>
      </c>
      <c r="G6" s="121"/>
      <c r="H6" s="121"/>
      <c r="I6" s="121" t="s">
        <v>244</v>
      </c>
      <c r="J6" s="121"/>
      <c r="K6" s="121"/>
    </row>
    <row r="7" spans="1:11" s="16" customFormat="1" x14ac:dyDescent="0.2">
      <c r="A7" s="123"/>
      <c r="B7" s="121"/>
      <c r="C7" s="34" t="s">
        <v>47</v>
      </c>
      <c r="D7" s="34" t="s">
        <v>242</v>
      </c>
      <c r="E7" s="34" t="s">
        <v>243</v>
      </c>
      <c r="F7" s="34" t="s">
        <v>47</v>
      </c>
      <c r="G7" s="34" t="s">
        <v>242</v>
      </c>
      <c r="H7" s="34" t="s">
        <v>243</v>
      </c>
      <c r="I7" s="34" t="s">
        <v>47</v>
      </c>
      <c r="J7" s="34" t="s">
        <v>242</v>
      </c>
      <c r="K7" s="34" t="s">
        <v>243</v>
      </c>
    </row>
    <row r="8" spans="1:11" s="6" customFormat="1" ht="20.45" customHeight="1" x14ac:dyDescent="0.2">
      <c r="A8" s="69" t="s">
        <v>0</v>
      </c>
      <c r="B8" s="70">
        <v>12853.59908747673</v>
      </c>
      <c r="C8" s="70">
        <v>80914.398890733704</v>
      </c>
      <c r="D8" s="70">
        <v>61921.644285440445</v>
      </c>
      <c r="E8" s="70">
        <v>18992.754605293267</v>
      </c>
      <c r="F8" s="70">
        <v>47145.868887901328</v>
      </c>
      <c r="G8" s="70">
        <v>35865.974628686861</v>
      </c>
      <c r="H8" s="70">
        <v>11279.894259214399</v>
      </c>
      <c r="I8" s="70">
        <v>33768.530002832405</v>
      </c>
      <c r="J8" s="70">
        <v>26055.66965675354</v>
      </c>
      <c r="K8" s="70">
        <v>7712.860346078869</v>
      </c>
    </row>
    <row r="9" spans="1:11" s="6" customFormat="1" ht="20.45" customHeight="1" x14ac:dyDescent="0.2">
      <c r="A9" s="29" t="s">
        <v>1</v>
      </c>
      <c r="B9" s="51">
        <v>409647.70706093311</v>
      </c>
      <c r="C9" s="51">
        <v>1276593.0572662298</v>
      </c>
      <c r="D9" s="51">
        <v>1114294.7588696482</v>
      </c>
      <c r="E9" s="51">
        <v>162298.29839658734</v>
      </c>
      <c r="F9" s="51">
        <v>719503.2117412081</v>
      </c>
      <c r="G9" s="51">
        <v>626454.3855633731</v>
      </c>
      <c r="H9" s="51">
        <v>93048.826177835523</v>
      </c>
      <c r="I9" s="51">
        <v>557089.84552502865</v>
      </c>
      <c r="J9" s="51">
        <v>487840.37330627476</v>
      </c>
      <c r="K9" s="51">
        <v>69249.472218751805</v>
      </c>
    </row>
    <row r="10" spans="1:11" ht="20.45" customHeight="1" x14ac:dyDescent="0.2">
      <c r="A10" s="30" t="s">
        <v>2</v>
      </c>
      <c r="B10" s="53">
        <v>31466.957863211632</v>
      </c>
      <c r="C10" s="53">
        <v>108659.33816528314</v>
      </c>
      <c r="D10" s="53">
        <v>92469.015110969514</v>
      </c>
      <c r="E10" s="53">
        <v>16190.32305431366</v>
      </c>
      <c r="F10" s="53">
        <v>62401.601110458338</v>
      </c>
      <c r="G10" s="53">
        <v>53687.514948606447</v>
      </c>
      <c r="H10" s="53">
        <v>8714.0861618518811</v>
      </c>
      <c r="I10" s="53">
        <v>46257.737054824691</v>
      </c>
      <c r="J10" s="53">
        <v>38781.500162363074</v>
      </c>
      <c r="K10" s="53">
        <v>7476.2368924617786</v>
      </c>
    </row>
    <row r="11" spans="1:11" ht="20.45" customHeight="1" x14ac:dyDescent="0.2">
      <c r="A11" s="30" t="s">
        <v>3</v>
      </c>
      <c r="B11" s="53">
        <v>48973.199500799179</v>
      </c>
      <c r="C11" s="53">
        <v>170495.53320240983</v>
      </c>
      <c r="D11" s="53">
        <v>141837.47660064689</v>
      </c>
      <c r="E11" s="53">
        <v>28658.056601762764</v>
      </c>
      <c r="F11" s="53">
        <v>98257.322454690919</v>
      </c>
      <c r="G11" s="53">
        <v>80719.996097564785</v>
      </c>
      <c r="H11" s="53">
        <v>17537.32635712624</v>
      </c>
      <c r="I11" s="53">
        <v>72238.210747718782</v>
      </c>
      <c r="J11" s="53">
        <v>61117.480503082261</v>
      </c>
      <c r="K11" s="53">
        <v>11120.730244636536</v>
      </c>
    </row>
    <row r="12" spans="1:11" ht="20.45" customHeight="1" x14ac:dyDescent="0.2">
      <c r="A12" s="30" t="s">
        <v>4</v>
      </c>
      <c r="B12" s="53">
        <v>134003.50796580315</v>
      </c>
      <c r="C12" s="53">
        <v>376676.46271872532</v>
      </c>
      <c r="D12" s="53">
        <v>338388.15734243329</v>
      </c>
      <c r="E12" s="53">
        <v>38288.30537629126</v>
      </c>
      <c r="F12" s="53">
        <v>211371.36591458457</v>
      </c>
      <c r="G12" s="53">
        <v>190517.58547735176</v>
      </c>
      <c r="H12" s="53">
        <v>20853.780437231067</v>
      </c>
      <c r="I12" s="53">
        <v>165305.09680414159</v>
      </c>
      <c r="J12" s="53">
        <v>147870.5718650819</v>
      </c>
      <c r="K12" s="53">
        <v>17434.524939060218</v>
      </c>
    </row>
    <row r="13" spans="1:11" ht="20.45" customHeight="1" x14ac:dyDescent="0.2">
      <c r="A13" s="30" t="s">
        <v>5</v>
      </c>
      <c r="B13" s="53">
        <v>116493.75421977043</v>
      </c>
      <c r="C13" s="53">
        <v>356471.7036437986</v>
      </c>
      <c r="D13" s="53">
        <v>308594.81246757618</v>
      </c>
      <c r="E13" s="53">
        <v>47876.891176223726</v>
      </c>
      <c r="F13" s="53">
        <v>198784.79264140132</v>
      </c>
      <c r="G13" s="53">
        <v>171115.45941376715</v>
      </c>
      <c r="H13" s="53">
        <v>27669.333227634426</v>
      </c>
      <c r="I13" s="53">
        <v>157686.9110023973</v>
      </c>
      <c r="J13" s="53">
        <v>137479.35305380812</v>
      </c>
      <c r="K13" s="53">
        <v>20207.557948589321</v>
      </c>
    </row>
    <row r="14" spans="1:11" ht="20.45" customHeight="1" x14ac:dyDescent="0.2">
      <c r="A14" s="30" t="s">
        <v>6</v>
      </c>
      <c r="B14" s="53">
        <v>61742.610998630524</v>
      </c>
      <c r="C14" s="53">
        <v>204977.14048814829</v>
      </c>
      <c r="D14" s="53">
        <v>178407.17399930899</v>
      </c>
      <c r="E14" s="53">
        <v>26569.966488838189</v>
      </c>
      <c r="F14" s="53">
        <v>116118.40315437324</v>
      </c>
      <c r="G14" s="53">
        <v>100551.35674953483</v>
      </c>
      <c r="H14" s="53">
        <v>15567.046404838557</v>
      </c>
      <c r="I14" s="53">
        <v>88858.737333774596</v>
      </c>
      <c r="J14" s="53">
        <v>77855.817249775035</v>
      </c>
      <c r="K14" s="53">
        <v>11002.920083999636</v>
      </c>
    </row>
    <row r="15" spans="1:11" ht="20.45" customHeight="1" x14ac:dyDescent="0.2">
      <c r="A15" s="30" t="s">
        <v>7</v>
      </c>
      <c r="B15" s="53">
        <v>12352.972139835358</v>
      </c>
      <c r="C15" s="53">
        <v>43140.551454067223</v>
      </c>
      <c r="D15" s="53">
        <v>38954.548570156112</v>
      </c>
      <c r="E15" s="53">
        <v>4186.0028839111328</v>
      </c>
      <c r="F15" s="53">
        <v>24137.713567733757</v>
      </c>
      <c r="G15" s="53">
        <v>21628.196633815751</v>
      </c>
      <c r="H15" s="53">
        <v>2509.5169339179988</v>
      </c>
      <c r="I15" s="53">
        <v>19002.837886333491</v>
      </c>
      <c r="J15" s="53">
        <v>17326.351936340339</v>
      </c>
      <c r="K15" s="53">
        <v>1676.4859499931333</v>
      </c>
    </row>
    <row r="16" spans="1:11" ht="20.45" customHeight="1" x14ac:dyDescent="0.2">
      <c r="A16" s="30" t="s">
        <v>8</v>
      </c>
      <c r="B16" s="53">
        <v>3134.377890586853</v>
      </c>
      <c r="C16" s="53">
        <v>11094.850841045387</v>
      </c>
      <c r="D16" s="53">
        <v>10813.865735530862</v>
      </c>
      <c r="E16" s="53">
        <v>280.98510551452637</v>
      </c>
      <c r="F16" s="53">
        <v>6062.4513049125662</v>
      </c>
      <c r="G16" s="53">
        <v>5933.1828274726895</v>
      </c>
      <c r="H16" s="53">
        <v>129.26847743988037</v>
      </c>
      <c r="I16" s="53">
        <v>5032.3995361328134</v>
      </c>
      <c r="J16" s="53">
        <v>4880.6829080581665</v>
      </c>
      <c r="K16" s="53">
        <v>151.716628074646</v>
      </c>
    </row>
    <row r="17" spans="1:11" ht="20.45" customHeight="1" x14ac:dyDescent="0.2">
      <c r="A17" s="30" t="s">
        <v>9</v>
      </c>
      <c r="B17" s="53">
        <v>698.97258043289185</v>
      </c>
      <c r="C17" s="53">
        <v>2187.1372504234319</v>
      </c>
      <c r="D17" s="53">
        <v>1952.7363810539252</v>
      </c>
      <c r="E17" s="53">
        <v>234.40086936950684</v>
      </c>
      <c r="F17" s="53">
        <v>926.99036979675293</v>
      </c>
      <c r="G17" s="53">
        <v>858.522192001343</v>
      </c>
      <c r="H17" s="53">
        <v>68.468177795410156</v>
      </c>
      <c r="I17" s="53">
        <v>1260.1468806266782</v>
      </c>
      <c r="J17" s="53">
        <v>1094.2141890525816</v>
      </c>
      <c r="K17" s="53">
        <v>165.93269157409668</v>
      </c>
    </row>
    <row r="18" spans="1:11" ht="20.45" customHeight="1" x14ac:dyDescent="0.2">
      <c r="A18" s="30" t="s">
        <v>10</v>
      </c>
      <c r="B18" s="53">
        <v>686.35303544998169</v>
      </c>
      <c r="C18" s="53">
        <v>2687.2402758598328</v>
      </c>
      <c r="D18" s="53">
        <v>2673.8734354972839</v>
      </c>
      <c r="E18" s="53">
        <v>13.366840362548828</v>
      </c>
      <c r="F18" s="53">
        <v>1332.7219743728638</v>
      </c>
      <c r="G18" s="53">
        <v>1332.7219743728638</v>
      </c>
      <c r="H18" s="53"/>
      <c r="I18" s="53">
        <v>1354.518301486969</v>
      </c>
      <c r="J18" s="53">
        <v>1341.1514611244202</v>
      </c>
      <c r="K18" s="53">
        <v>13.366840362548828</v>
      </c>
    </row>
    <row r="19" spans="1:11" ht="20.45" customHeight="1" x14ac:dyDescent="0.2">
      <c r="A19" s="30" t="s">
        <v>11</v>
      </c>
      <c r="B19" s="53">
        <v>95.000866413116455</v>
      </c>
      <c r="C19" s="53">
        <v>203.09922647476196</v>
      </c>
      <c r="D19" s="53">
        <v>203.09922647476196</v>
      </c>
      <c r="E19" s="53"/>
      <c r="F19" s="53">
        <v>109.8492488861084</v>
      </c>
      <c r="G19" s="53">
        <v>109.8492488861084</v>
      </c>
      <c r="H19" s="53"/>
      <c r="I19" s="53">
        <v>93.249977588653564</v>
      </c>
      <c r="J19" s="53">
        <v>93.249977588653564</v>
      </c>
      <c r="K19" s="53"/>
    </row>
    <row r="20" spans="1:11" s="6" customFormat="1" ht="20.45" customHeight="1" x14ac:dyDescent="0.2">
      <c r="A20" s="31" t="s">
        <v>12</v>
      </c>
      <c r="B20" s="25">
        <f>B8+B9</f>
        <v>422501.30614840984</v>
      </c>
      <c r="C20" s="25">
        <f t="shared" ref="C20:K20" si="0">C8+C9</f>
        <v>1357507.4561569635</v>
      </c>
      <c r="D20" s="25">
        <f t="shared" si="0"/>
        <v>1176216.4031550887</v>
      </c>
      <c r="E20" s="25">
        <f t="shared" si="0"/>
        <v>181291.05300188062</v>
      </c>
      <c r="F20" s="25">
        <f t="shared" si="0"/>
        <v>766649.0806291094</v>
      </c>
      <c r="G20" s="25">
        <f t="shared" si="0"/>
        <v>662320.36019206</v>
      </c>
      <c r="H20" s="25">
        <f t="shared" si="0"/>
        <v>104328.72043704992</v>
      </c>
      <c r="I20" s="25">
        <f t="shared" si="0"/>
        <v>590858.37552786106</v>
      </c>
      <c r="J20" s="25">
        <f t="shared" si="0"/>
        <v>513896.0429630283</v>
      </c>
      <c r="K20" s="25">
        <f t="shared" si="0"/>
        <v>76962.332564830678</v>
      </c>
    </row>
  </sheetData>
  <mergeCells count="10">
    <mergeCell ref="F6:H6"/>
    <mergeCell ref="I6:K6"/>
    <mergeCell ref="F5:H5"/>
    <mergeCell ref="I5:K5"/>
    <mergeCell ref="A1:K1"/>
    <mergeCell ref="A4:A7"/>
    <mergeCell ref="B4:K4"/>
    <mergeCell ref="B5:E5"/>
    <mergeCell ref="B6:B7"/>
    <mergeCell ref="C6:E6"/>
  </mergeCells>
  <conditionalFormatting sqref="B9:B20">
    <cfRule type="cellIs" dxfId="512" priority="11" stopIfTrue="1" operator="equal">
      <formula>0</formula>
    </cfRule>
  </conditionalFormatting>
  <conditionalFormatting sqref="B8:K8">
    <cfRule type="cellIs" dxfId="511" priority="10" stopIfTrue="1" operator="equal">
      <formula>0</formula>
    </cfRule>
  </conditionalFormatting>
  <conditionalFormatting sqref="C9:C20">
    <cfRule type="cellIs" dxfId="510" priority="9" stopIfTrue="1" operator="equal">
      <formula>0</formula>
    </cfRule>
  </conditionalFormatting>
  <conditionalFormatting sqref="D9:D20">
    <cfRule type="cellIs" dxfId="509" priority="8" stopIfTrue="1" operator="equal">
      <formula>0</formula>
    </cfRule>
  </conditionalFormatting>
  <conditionalFormatting sqref="E9:E20">
    <cfRule type="cellIs" dxfId="508" priority="7" stopIfTrue="1" operator="equal">
      <formula>0</formula>
    </cfRule>
  </conditionalFormatting>
  <conditionalFormatting sqref="F9:F20">
    <cfRule type="cellIs" dxfId="507" priority="6" stopIfTrue="1" operator="equal">
      <formula>0</formula>
    </cfRule>
  </conditionalFormatting>
  <conditionalFormatting sqref="G9:G20">
    <cfRule type="cellIs" dxfId="506" priority="5" stopIfTrue="1" operator="equal">
      <formula>0</formula>
    </cfRule>
  </conditionalFormatting>
  <conditionalFormatting sqref="H9:H20">
    <cfRule type="cellIs" dxfId="505" priority="4" stopIfTrue="1" operator="equal">
      <formula>0</formula>
    </cfRule>
  </conditionalFormatting>
  <conditionalFormatting sqref="I9:I20">
    <cfRule type="cellIs" dxfId="504" priority="3" stopIfTrue="1" operator="equal">
      <formula>0</formula>
    </cfRule>
  </conditionalFormatting>
  <conditionalFormatting sqref="J9:J20">
    <cfRule type="cellIs" dxfId="503" priority="2" stopIfTrue="1" operator="equal">
      <formula>0</formula>
    </cfRule>
  </conditionalFormatting>
  <conditionalFormatting sqref="K9:K20">
    <cfRule type="cellIs" dxfId="50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787E-797A-4871-9E8D-9A8548491CE3}">
  <dimension ref="A1:P20"/>
  <sheetViews>
    <sheetView zoomScale="92" zoomScaleNormal="141" workbookViewId="0">
      <selection activeCell="A4" sqref="A4:A6"/>
    </sheetView>
  </sheetViews>
  <sheetFormatPr defaultRowHeight="12.75" x14ac:dyDescent="0.2"/>
  <cols>
    <col min="1" max="1" width="23.85546875" style="8" customWidth="1"/>
    <col min="2" max="2" width="11" style="8" customWidth="1"/>
    <col min="3" max="3" width="9.5703125" style="8" customWidth="1"/>
    <col min="4" max="6" width="10.85546875" style="8" customWidth="1"/>
    <col min="7" max="7" width="10" style="8" customWidth="1"/>
    <col min="8" max="8" width="9.42578125" style="8" customWidth="1"/>
    <col min="9" max="11" width="10.85546875" style="8" customWidth="1"/>
    <col min="12" max="13" width="9.140625" style="8" customWidth="1"/>
    <col min="14" max="14" width="11.140625" style="8" customWidth="1"/>
    <col min="15" max="15" width="10" style="8" customWidth="1"/>
    <col min="16" max="16" width="10.5703125" style="8" customWidth="1"/>
    <col min="17" max="16384" width="9.140625" style="8"/>
  </cols>
  <sheetData>
    <row r="1" spans="1:16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">
      <c r="A2" s="27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7"/>
      <c r="O2" s="27"/>
      <c r="P2" s="28" t="s">
        <v>32</v>
      </c>
    </row>
    <row r="3" spans="1:16" x14ac:dyDescent="0.2">
      <c r="A3" s="27" t="s">
        <v>290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s="16" customFormat="1" x14ac:dyDescent="0.2">
      <c r="A4" s="123" t="s">
        <v>30</v>
      </c>
      <c r="B4" s="181" t="s">
        <v>259</v>
      </c>
      <c r="C4" s="181"/>
      <c r="D4" s="181"/>
      <c r="E4" s="181"/>
      <c r="F4" s="181"/>
      <c r="G4" s="181" t="s">
        <v>264</v>
      </c>
      <c r="H4" s="181"/>
      <c r="I4" s="181"/>
      <c r="J4" s="181"/>
      <c r="K4" s="181"/>
      <c r="L4" s="181" t="s">
        <v>509</v>
      </c>
      <c r="M4" s="181"/>
      <c r="N4" s="181"/>
      <c r="O4" s="181"/>
      <c r="P4" s="181"/>
    </row>
    <row r="5" spans="1:16" s="16" customFormat="1" ht="12" customHeight="1" x14ac:dyDescent="0.2">
      <c r="A5" s="123"/>
      <c r="B5" s="152" t="s">
        <v>266</v>
      </c>
      <c r="C5" s="174"/>
      <c r="D5" s="174"/>
      <c r="E5" s="174"/>
      <c r="F5" s="153"/>
      <c r="G5" s="152" t="s">
        <v>266</v>
      </c>
      <c r="H5" s="174"/>
      <c r="I5" s="174"/>
      <c r="J5" s="174"/>
      <c r="K5" s="153"/>
      <c r="L5" s="152" t="s">
        <v>266</v>
      </c>
      <c r="M5" s="174"/>
      <c r="N5" s="174"/>
      <c r="O5" s="174"/>
      <c r="P5" s="153"/>
    </row>
    <row r="6" spans="1:16" s="16" customFormat="1" ht="25.5" x14ac:dyDescent="0.2">
      <c r="A6" s="123"/>
      <c r="B6" s="34" t="s">
        <v>412</v>
      </c>
      <c r="C6" s="34" t="s">
        <v>260</v>
      </c>
      <c r="D6" s="34" t="s">
        <v>261</v>
      </c>
      <c r="E6" s="34" t="s">
        <v>262</v>
      </c>
      <c r="F6" s="34" t="s">
        <v>263</v>
      </c>
      <c r="G6" s="34" t="s">
        <v>412</v>
      </c>
      <c r="H6" s="34" t="s">
        <v>260</v>
      </c>
      <c r="I6" s="34" t="s">
        <v>261</v>
      </c>
      <c r="J6" s="34" t="s">
        <v>262</v>
      </c>
      <c r="K6" s="34" t="s">
        <v>263</v>
      </c>
      <c r="L6" s="89" t="s">
        <v>412</v>
      </c>
      <c r="M6" s="34" t="s">
        <v>260</v>
      </c>
      <c r="N6" s="34" t="s">
        <v>261</v>
      </c>
      <c r="O6" s="34" t="s">
        <v>262</v>
      </c>
      <c r="P6" s="34" t="s">
        <v>263</v>
      </c>
    </row>
    <row r="7" spans="1:16" s="6" customFormat="1" ht="20.45" customHeight="1" x14ac:dyDescent="0.2">
      <c r="A7" s="69" t="s">
        <v>0</v>
      </c>
      <c r="B7" s="49">
        <f>C7+D7+E7+F7</f>
        <v>71374.333087563515</v>
      </c>
      <c r="C7" s="49">
        <v>8268.0540956258774</v>
      </c>
      <c r="D7" s="49">
        <v>56188.008538722992</v>
      </c>
      <c r="E7" s="49">
        <v>2879.0940442085266</v>
      </c>
      <c r="F7" s="49">
        <v>4039.1764090061188</v>
      </c>
      <c r="G7" s="49">
        <f>H7+I7+J7+K7</f>
        <v>64637.864223718643</v>
      </c>
      <c r="H7" s="49">
        <v>19586.696542739868</v>
      </c>
      <c r="I7" s="49">
        <v>33641.766211509705</v>
      </c>
      <c r="J7" s="49">
        <v>7686.3278286457062</v>
      </c>
      <c r="K7" s="49">
        <v>3723.0736408233643</v>
      </c>
      <c r="L7" s="49">
        <f>M7+N7+O7+P7</f>
        <v>12416.62661242485</v>
      </c>
      <c r="M7" s="49">
        <v>527.89994883537202</v>
      </c>
      <c r="N7" s="49">
        <v>713.50234127044678</v>
      </c>
      <c r="O7" s="49">
        <v>6282.2892065048218</v>
      </c>
      <c r="P7" s="49">
        <v>4892.935115814209</v>
      </c>
    </row>
    <row r="8" spans="1:16" s="6" customFormat="1" ht="20.45" customHeight="1" x14ac:dyDescent="0.2">
      <c r="A8" s="29" t="s">
        <v>1</v>
      </c>
      <c r="B8" s="51">
        <f t="shared" ref="B8:B18" si="0">C8+D8+E8+F8</f>
        <v>2495642.4997793436</v>
      </c>
      <c r="C8" s="51">
        <v>228440.51939237118</v>
      </c>
      <c r="D8" s="51">
        <v>2130662.9810197353</v>
      </c>
      <c r="E8" s="51">
        <v>88378.574236273766</v>
      </c>
      <c r="F8" s="51">
        <v>48160.425130963326</v>
      </c>
      <c r="G8" s="51">
        <f t="shared" ref="G8:G18" si="1">H8+I8+J8+K8</f>
        <v>2395792.4896733761</v>
      </c>
      <c r="H8" s="51">
        <v>755031.84287786484</v>
      </c>
      <c r="I8" s="51">
        <v>1274462.8862277269</v>
      </c>
      <c r="J8" s="51">
        <v>316211.26654481888</v>
      </c>
      <c r="K8" s="51">
        <v>50086.494022965431</v>
      </c>
      <c r="L8" s="51">
        <f t="shared" ref="L8:L18" si="2">M8+N8+O8+P8</f>
        <v>403134.87880969048</v>
      </c>
      <c r="M8" s="51">
        <v>12249.475326061249</v>
      </c>
      <c r="N8" s="51">
        <v>22979.230750799179</v>
      </c>
      <c r="O8" s="51">
        <v>295985.72261977196</v>
      </c>
      <c r="P8" s="51">
        <v>71920.45011305809</v>
      </c>
    </row>
    <row r="9" spans="1:16" ht="20.45" customHeight="1" x14ac:dyDescent="0.2">
      <c r="A9" s="30" t="s">
        <v>2</v>
      </c>
      <c r="B9" s="53">
        <f t="shared" si="0"/>
        <v>132524.02813732624</v>
      </c>
      <c r="C9" s="53">
        <v>11728.771857619286</v>
      </c>
      <c r="D9" s="53">
        <v>111224.4398458004</v>
      </c>
      <c r="E9" s="53">
        <v>4844.9599509239197</v>
      </c>
      <c r="F9" s="53">
        <v>4725.8564829826355</v>
      </c>
      <c r="G9" s="53">
        <f t="shared" si="1"/>
        <v>169846.05390846729</v>
      </c>
      <c r="H9" s="53">
        <v>46246.122760653496</v>
      </c>
      <c r="I9" s="53">
        <v>92842.950480461121</v>
      </c>
      <c r="J9" s="53">
        <v>23261.642251968384</v>
      </c>
      <c r="K9" s="53">
        <v>7495.3384153842926</v>
      </c>
      <c r="L9" s="53">
        <f t="shared" si="2"/>
        <v>31363.857347130775</v>
      </c>
      <c r="M9" s="53">
        <v>711.28702449798584</v>
      </c>
      <c r="N9" s="53">
        <v>2061.7775087356567</v>
      </c>
      <c r="O9" s="53">
        <v>19209.301392436028</v>
      </c>
      <c r="P9" s="53">
        <v>9381.4914214611053</v>
      </c>
    </row>
    <row r="10" spans="1:16" ht="20.45" customHeight="1" x14ac:dyDescent="0.2">
      <c r="A10" s="30" t="s">
        <v>3</v>
      </c>
      <c r="B10" s="53">
        <f t="shared" si="0"/>
        <v>335104.39423966408</v>
      </c>
      <c r="C10" s="53">
        <v>30826.21242582798</v>
      </c>
      <c r="D10" s="53">
        <v>286852.97719037533</v>
      </c>
      <c r="E10" s="53">
        <v>10394.124420166016</v>
      </c>
      <c r="F10" s="53">
        <v>7031.080203294754</v>
      </c>
      <c r="G10" s="53">
        <f t="shared" si="1"/>
        <v>345533.92813122272</v>
      </c>
      <c r="H10" s="53">
        <v>109689.68696165085</v>
      </c>
      <c r="I10" s="53">
        <v>183112.01411437988</v>
      </c>
      <c r="J10" s="53">
        <v>44482.503564953804</v>
      </c>
      <c r="K10" s="53">
        <v>8249.7234902381897</v>
      </c>
      <c r="L10" s="53">
        <f t="shared" si="2"/>
        <v>48147.399427175522</v>
      </c>
      <c r="M10" s="53">
        <v>1368.7191407680511</v>
      </c>
      <c r="N10" s="53">
        <v>3024.9354693889618</v>
      </c>
      <c r="O10" s="53">
        <v>32691.455585241318</v>
      </c>
      <c r="P10" s="53">
        <v>11062.289231777191</v>
      </c>
    </row>
    <row r="11" spans="1:16" ht="20.45" customHeight="1" x14ac:dyDescent="0.2">
      <c r="A11" s="30" t="s">
        <v>4</v>
      </c>
      <c r="B11" s="53">
        <f t="shared" si="0"/>
        <v>918121.44263863564</v>
      </c>
      <c r="C11" s="53">
        <v>83864.844769001007</v>
      </c>
      <c r="D11" s="53">
        <v>785032.8479309082</v>
      </c>
      <c r="E11" s="53">
        <v>31546.289965748787</v>
      </c>
      <c r="F11" s="53">
        <v>17677.459972977638</v>
      </c>
      <c r="G11" s="53">
        <f t="shared" si="1"/>
        <v>886026.10884356499</v>
      </c>
      <c r="H11" s="53">
        <v>286729.40710449219</v>
      </c>
      <c r="I11" s="53">
        <v>465130.73449671268</v>
      </c>
      <c r="J11" s="53">
        <v>116139.86457741261</v>
      </c>
      <c r="K11" s="53">
        <v>18026.10266494751</v>
      </c>
      <c r="L11" s="53">
        <f t="shared" si="2"/>
        <v>132145.98728859425</v>
      </c>
      <c r="M11" s="53">
        <v>4145.8568665981293</v>
      </c>
      <c r="N11" s="53">
        <v>7167.6881873607635</v>
      </c>
      <c r="O11" s="53">
        <v>96063.091068863869</v>
      </c>
      <c r="P11" s="53">
        <v>24769.351165771484</v>
      </c>
    </row>
    <row r="12" spans="1:16" ht="20.45" customHeight="1" x14ac:dyDescent="0.2">
      <c r="A12" s="30" t="s">
        <v>5</v>
      </c>
      <c r="B12" s="53">
        <f t="shared" si="0"/>
        <v>686987.25886595249</v>
      </c>
      <c r="C12" s="53">
        <v>63061.709371685982</v>
      </c>
      <c r="D12" s="53">
        <v>588275.92117929459</v>
      </c>
      <c r="E12" s="53">
        <v>24034.172101974487</v>
      </c>
      <c r="F12" s="53">
        <v>11615.456212997437</v>
      </c>
      <c r="G12" s="53">
        <f t="shared" si="1"/>
        <v>629107.03448688984</v>
      </c>
      <c r="H12" s="53">
        <v>200719.68129384518</v>
      </c>
      <c r="I12" s="53">
        <v>335391.00835990906</v>
      </c>
      <c r="J12" s="53">
        <v>82522.11787712574</v>
      </c>
      <c r="K12" s="53">
        <v>10474.226956009865</v>
      </c>
      <c r="L12" s="53">
        <f t="shared" si="2"/>
        <v>114388.55081057549</v>
      </c>
      <c r="M12" s="53">
        <v>3468.4195384979248</v>
      </c>
      <c r="N12" s="53">
        <v>6220.9598987102509</v>
      </c>
      <c r="O12" s="53">
        <v>88278.561954259872</v>
      </c>
      <c r="P12" s="53">
        <v>16420.609419107437</v>
      </c>
    </row>
    <row r="13" spans="1:16" ht="20.45" customHeight="1" x14ac:dyDescent="0.2">
      <c r="A13" s="30" t="s">
        <v>6</v>
      </c>
      <c r="B13" s="53">
        <f t="shared" si="0"/>
        <v>328250.97416603565</v>
      </c>
      <c r="C13" s="53">
        <v>29518.446412920952</v>
      </c>
      <c r="D13" s="53">
        <v>280460.01272368431</v>
      </c>
      <c r="E13" s="53">
        <v>13131.72470831871</v>
      </c>
      <c r="F13" s="53">
        <v>5140.7903211116791</v>
      </c>
      <c r="G13" s="53">
        <f t="shared" si="1"/>
        <v>287988.81347954273</v>
      </c>
      <c r="H13" s="53">
        <v>88363.981514930725</v>
      </c>
      <c r="I13" s="53">
        <v>156217.18970179558</v>
      </c>
      <c r="J13" s="53">
        <v>38815.530689358711</v>
      </c>
      <c r="K13" s="53">
        <v>4592.1115734577179</v>
      </c>
      <c r="L13" s="53">
        <f t="shared" si="2"/>
        <v>60379.950513362885</v>
      </c>
      <c r="M13" s="53">
        <v>1936.0577173233032</v>
      </c>
      <c r="N13" s="53">
        <v>3543.7338075637817</v>
      </c>
      <c r="O13" s="53">
        <v>46903.465699911118</v>
      </c>
      <c r="P13" s="53">
        <v>7996.693288564682</v>
      </c>
    </row>
    <row r="14" spans="1:16" ht="20.45" customHeight="1" x14ac:dyDescent="0.2">
      <c r="A14" s="30" t="s">
        <v>7</v>
      </c>
      <c r="B14" s="53">
        <f t="shared" si="0"/>
        <v>63400.361454725266</v>
      </c>
      <c r="C14" s="53">
        <v>6349.2543348073959</v>
      </c>
      <c r="D14" s="53">
        <v>53390.498414874077</v>
      </c>
      <c r="E14" s="53">
        <v>2616.5613861083984</v>
      </c>
      <c r="F14" s="53">
        <v>1044.0473189353943</v>
      </c>
      <c r="G14" s="53">
        <f t="shared" si="1"/>
        <v>53112.901280164719</v>
      </c>
      <c r="H14" s="53">
        <v>16054.919895887375</v>
      </c>
      <c r="I14" s="53">
        <v>28998.270929574966</v>
      </c>
      <c r="J14" s="53">
        <v>7399.294145822525</v>
      </c>
      <c r="K14" s="53">
        <v>660.41630887985229</v>
      </c>
      <c r="L14" s="53">
        <f t="shared" si="2"/>
        <v>12070.148941040039</v>
      </c>
      <c r="M14" s="53">
        <v>470.93214416503906</v>
      </c>
      <c r="N14" s="53">
        <v>715.57671165466309</v>
      </c>
      <c r="O14" s="53">
        <v>9287.3316135406494</v>
      </c>
      <c r="P14" s="53">
        <v>1596.3084716796875</v>
      </c>
    </row>
    <row r="15" spans="1:16" ht="20.45" customHeight="1" x14ac:dyDescent="0.2">
      <c r="A15" s="30" t="s">
        <v>8</v>
      </c>
      <c r="B15" s="53">
        <f t="shared" si="0"/>
        <v>19869.055019617081</v>
      </c>
      <c r="C15" s="53">
        <v>2099.1072816848755</v>
      </c>
      <c r="D15" s="53">
        <v>16207.326596975327</v>
      </c>
      <c r="E15" s="53">
        <v>1062.4085111618042</v>
      </c>
      <c r="F15" s="53">
        <v>500.21262979507446</v>
      </c>
      <c r="G15" s="53">
        <f t="shared" si="1"/>
        <v>15346.740181684494</v>
      </c>
      <c r="H15" s="53">
        <v>4875.1131870746613</v>
      </c>
      <c r="I15" s="53">
        <v>8129.0568604469299</v>
      </c>
      <c r="J15" s="53">
        <v>2035.8376469612122</v>
      </c>
      <c r="K15" s="53">
        <v>306.73248720169067</v>
      </c>
      <c r="L15" s="53">
        <f t="shared" si="2"/>
        <v>3183.7129783630371</v>
      </c>
      <c r="M15" s="53">
        <v>112.20420360565186</v>
      </c>
      <c r="N15" s="53">
        <v>164.92698001861572</v>
      </c>
      <c r="O15" s="53">
        <v>2456.6451096534729</v>
      </c>
      <c r="P15" s="53">
        <v>449.93668508529663</v>
      </c>
    </row>
    <row r="16" spans="1:16" ht="20.45" customHeight="1" x14ac:dyDescent="0.2">
      <c r="A16" s="30" t="s">
        <v>9</v>
      </c>
      <c r="B16" s="53">
        <f t="shared" si="0"/>
        <v>5843.8654009103775</v>
      </c>
      <c r="C16" s="53">
        <v>430.08852577209473</v>
      </c>
      <c r="D16" s="53">
        <v>4938.3459721803665</v>
      </c>
      <c r="E16" s="53">
        <v>284.76329183578491</v>
      </c>
      <c r="F16" s="53">
        <v>190.66761112213135</v>
      </c>
      <c r="G16" s="53">
        <f t="shared" si="1"/>
        <v>4478.2052718400955</v>
      </c>
      <c r="H16" s="53">
        <v>1227.6860300302505</v>
      </c>
      <c r="I16" s="53">
        <v>2378.8354678153992</v>
      </c>
      <c r="J16" s="53">
        <v>779.1601095199585</v>
      </c>
      <c r="K16" s="53">
        <v>92.523664474487305</v>
      </c>
      <c r="L16" s="53">
        <f t="shared" si="2"/>
        <v>687.87397193908691</v>
      </c>
      <c r="M16" s="53">
        <v>20.255538940429688</v>
      </c>
      <c r="N16" s="53">
        <v>38.853945732116699</v>
      </c>
      <c r="O16" s="53">
        <v>492.4857292175293</v>
      </c>
      <c r="P16" s="53">
        <v>136.27875804901123</v>
      </c>
    </row>
    <row r="17" spans="1:16" ht="20.45" customHeight="1" x14ac:dyDescent="0.2">
      <c r="A17" s="30" t="s">
        <v>10</v>
      </c>
      <c r="B17" s="53">
        <f t="shared" si="0"/>
        <v>4870.597755074501</v>
      </c>
      <c r="C17" s="53">
        <v>492.87638664245605</v>
      </c>
      <c r="D17" s="53">
        <v>3787.6868897676468</v>
      </c>
      <c r="E17" s="53">
        <v>395.48165845870972</v>
      </c>
      <c r="F17" s="53">
        <v>194.55282020568848</v>
      </c>
      <c r="G17" s="53">
        <f t="shared" si="1"/>
        <v>3863.3733385801315</v>
      </c>
      <c r="H17" s="53">
        <v>960.21699869632721</v>
      </c>
      <c r="I17" s="53">
        <v>2055.1220026016235</v>
      </c>
      <c r="J17" s="53">
        <v>700.93077969551086</v>
      </c>
      <c r="K17" s="53">
        <v>147.10355758666992</v>
      </c>
      <c r="L17" s="53">
        <f t="shared" si="2"/>
        <v>672.39666509628296</v>
      </c>
      <c r="M17" s="53">
        <v>15.743151664733887</v>
      </c>
      <c r="N17" s="53">
        <v>40.778241634368896</v>
      </c>
      <c r="O17" s="53">
        <v>531.16951179504395</v>
      </c>
      <c r="P17" s="53">
        <v>84.70576000213623</v>
      </c>
    </row>
    <row r="18" spans="1:16" ht="20.45" customHeight="1" x14ac:dyDescent="0.2">
      <c r="A18" s="30" t="s">
        <v>11</v>
      </c>
      <c r="B18" s="53">
        <f t="shared" si="0"/>
        <v>670.52210140228271</v>
      </c>
      <c r="C18" s="53">
        <v>69.20802640914917</v>
      </c>
      <c r="D18" s="53">
        <v>492.92427587509155</v>
      </c>
      <c r="E18" s="53">
        <v>68.088241577148438</v>
      </c>
      <c r="F18" s="53">
        <v>40.301557540893555</v>
      </c>
      <c r="G18" s="53">
        <f t="shared" si="1"/>
        <v>489.33075141906738</v>
      </c>
      <c r="H18" s="53">
        <v>165.02713060379028</v>
      </c>
      <c r="I18" s="53">
        <v>207.7038140296936</v>
      </c>
      <c r="J18" s="53">
        <v>74.384902000427246</v>
      </c>
      <c r="K18" s="53">
        <v>42.21490478515625</v>
      </c>
      <c r="L18" s="53">
        <f t="shared" si="2"/>
        <v>95.000866413116455</v>
      </c>
      <c r="M18" s="53">
        <v>0</v>
      </c>
      <c r="N18" s="53">
        <v>0</v>
      </c>
      <c r="O18" s="53">
        <v>72.214954853057861</v>
      </c>
      <c r="P18" s="53">
        <v>22.785911560058594</v>
      </c>
    </row>
    <row r="19" spans="1:16" s="6" customFormat="1" ht="20.45" customHeight="1" x14ac:dyDescent="0.2">
      <c r="A19" s="31" t="s">
        <v>12</v>
      </c>
      <c r="B19" s="25">
        <f>B7+B8</f>
        <v>2567016.8328669071</v>
      </c>
      <c r="C19" s="25">
        <f t="shared" ref="C19:P19" si="3">C7+C8</f>
        <v>236708.57348799706</v>
      </c>
      <c r="D19" s="25">
        <f t="shared" si="3"/>
        <v>2186850.9895584583</v>
      </c>
      <c r="E19" s="25">
        <f t="shared" si="3"/>
        <v>91257.668280482292</v>
      </c>
      <c r="F19" s="25">
        <f t="shared" si="3"/>
        <v>52199.601539969444</v>
      </c>
      <c r="G19" s="25">
        <f t="shared" si="3"/>
        <v>2460430.3538970947</v>
      </c>
      <c r="H19" s="25">
        <f t="shared" si="3"/>
        <v>774618.53942060471</v>
      </c>
      <c r="I19" s="25">
        <f t="shared" si="3"/>
        <v>1308104.6524392366</v>
      </c>
      <c r="J19" s="25">
        <f t="shared" si="3"/>
        <v>323897.59437346458</v>
      </c>
      <c r="K19" s="25">
        <f t="shared" si="3"/>
        <v>53809.567663788795</v>
      </c>
      <c r="L19" s="73">
        <f t="shared" si="3"/>
        <v>415551.50542211533</v>
      </c>
      <c r="M19" s="25">
        <f t="shared" si="3"/>
        <v>12777.375274896622</v>
      </c>
      <c r="N19" s="25">
        <f t="shared" si="3"/>
        <v>23692.733092069626</v>
      </c>
      <c r="O19" s="25">
        <f t="shared" si="3"/>
        <v>302268.01182627678</v>
      </c>
      <c r="P19" s="25">
        <f t="shared" si="3"/>
        <v>76813.385228872299</v>
      </c>
    </row>
    <row r="20" spans="1:16" ht="12" customHeight="1" x14ac:dyDescent="0.2"/>
  </sheetData>
  <mergeCells count="8">
    <mergeCell ref="A4:A6"/>
    <mergeCell ref="B5:F5"/>
    <mergeCell ref="L5:P5"/>
    <mergeCell ref="G5:K5"/>
    <mergeCell ref="A1:P1"/>
    <mergeCell ref="B4:F4"/>
    <mergeCell ref="G4:K4"/>
    <mergeCell ref="L4:P4"/>
  </mergeCells>
  <conditionalFormatting sqref="B7:P19">
    <cfRule type="cellIs" dxfId="501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5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BA47-B72E-4D29-A084-FF7155B2AAB8}">
  <dimension ref="A1:O25"/>
  <sheetViews>
    <sheetView zoomScaleNormal="95" workbookViewId="0">
      <selection activeCell="C19" sqref="C19"/>
    </sheetView>
  </sheetViews>
  <sheetFormatPr defaultRowHeight="12" x14ac:dyDescent="0.2"/>
  <cols>
    <col min="1" max="1" width="23.85546875" style="9" bestFit="1" customWidth="1"/>
    <col min="2" max="2" width="10.5703125" style="9" customWidth="1"/>
    <col min="3" max="3" width="11.140625" style="9" customWidth="1"/>
    <col min="4" max="4" width="9.5703125" style="9" customWidth="1"/>
    <col min="5" max="5" width="10.140625" style="9" customWidth="1"/>
    <col min="6" max="7" width="10.42578125" style="9" customWidth="1"/>
    <col min="8" max="8" width="10.140625" style="9" customWidth="1"/>
    <col min="9" max="9" width="10.42578125" style="9" customWidth="1"/>
    <col min="10" max="10" width="8.85546875" style="9" customWidth="1"/>
    <col min="11" max="11" width="11.140625" style="9" customWidth="1"/>
    <col min="12" max="12" width="11.42578125" style="9" customWidth="1"/>
    <col min="13" max="13" width="10.140625" style="9" customWidth="1"/>
    <col min="14" max="14" width="9.5703125" style="9" customWidth="1"/>
    <col min="15" max="15" width="10" style="9" customWidth="1"/>
    <col min="16" max="16384" width="9.140625" style="9"/>
  </cols>
  <sheetData>
    <row r="1" spans="1:15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ht="12.75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41"/>
      <c r="O2" s="28" t="s">
        <v>32</v>
      </c>
    </row>
    <row r="3" spans="1:15" ht="17.25" customHeight="1" x14ac:dyDescent="0.2">
      <c r="A3" s="83" t="s">
        <v>613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41"/>
    </row>
    <row r="4" spans="1:15" s="11" customFormat="1" ht="18" customHeight="1" x14ac:dyDescent="0.2">
      <c r="A4" s="123" t="s">
        <v>30</v>
      </c>
      <c r="B4" s="181" t="s">
        <v>607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</row>
    <row r="5" spans="1:15" s="11" customFormat="1" ht="18" customHeight="1" x14ac:dyDescent="0.2">
      <c r="A5" s="123"/>
      <c r="B5" s="121" t="s">
        <v>47</v>
      </c>
      <c r="C5" s="121"/>
      <c r="D5" s="192" t="s">
        <v>242</v>
      </c>
      <c r="E5" s="192"/>
      <c r="F5" s="192"/>
      <c r="G5" s="192"/>
      <c r="H5" s="192"/>
      <c r="I5" s="192"/>
      <c r="J5" s="192" t="s">
        <v>243</v>
      </c>
      <c r="K5" s="192"/>
      <c r="L5" s="192"/>
      <c r="M5" s="192"/>
      <c r="N5" s="192"/>
      <c r="O5" s="192"/>
    </row>
    <row r="6" spans="1:15" s="11" customFormat="1" ht="18" customHeight="1" x14ac:dyDescent="0.2">
      <c r="A6" s="123"/>
      <c r="B6" s="121" t="s">
        <v>41</v>
      </c>
      <c r="C6" s="121" t="s">
        <v>267</v>
      </c>
      <c r="D6" s="192" t="s">
        <v>41</v>
      </c>
      <c r="E6" s="192" t="s">
        <v>267</v>
      </c>
      <c r="F6" s="192"/>
      <c r="G6" s="192"/>
      <c r="H6" s="192"/>
      <c r="I6" s="192"/>
      <c r="J6" s="192" t="s">
        <v>41</v>
      </c>
      <c r="K6" s="192" t="s">
        <v>267</v>
      </c>
      <c r="L6" s="192"/>
      <c r="M6" s="192"/>
      <c r="N6" s="192"/>
      <c r="O6" s="192"/>
    </row>
    <row r="7" spans="1:15" s="11" customFormat="1" ht="18" customHeight="1" x14ac:dyDescent="0.2">
      <c r="A7" s="123"/>
      <c r="B7" s="121"/>
      <c r="C7" s="121"/>
      <c r="D7" s="192"/>
      <c r="E7" s="192" t="s">
        <v>47</v>
      </c>
      <c r="F7" s="192" t="s">
        <v>608</v>
      </c>
      <c r="G7" s="192" t="s">
        <v>609</v>
      </c>
      <c r="H7" s="192" t="s">
        <v>610</v>
      </c>
      <c r="I7" s="192"/>
      <c r="J7" s="192"/>
      <c r="K7" s="192" t="s">
        <v>47</v>
      </c>
      <c r="L7" s="192" t="s">
        <v>268</v>
      </c>
      <c r="M7" s="192" t="s">
        <v>269</v>
      </c>
      <c r="N7" s="192" t="s">
        <v>270</v>
      </c>
      <c r="O7" s="192" t="s">
        <v>611</v>
      </c>
    </row>
    <row r="8" spans="1:15" s="11" customFormat="1" ht="33.6" customHeight="1" x14ac:dyDescent="0.2">
      <c r="A8" s="123"/>
      <c r="B8" s="121"/>
      <c r="C8" s="121"/>
      <c r="D8" s="192"/>
      <c r="E8" s="192"/>
      <c r="F8" s="192"/>
      <c r="G8" s="192"/>
      <c r="H8" s="90" t="s">
        <v>271</v>
      </c>
      <c r="I8" s="90" t="s">
        <v>272</v>
      </c>
      <c r="J8" s="192"/>
      <c r="K8" s="192"/>
      <c r="L8" s="192"/>
      <c r="M8" s="192"/>
      <c r="N8" s="192"/>
      <c r="O8" s="192"/>
    </row>
    <row r="9" spans="1:15" s="17" customFormat="1" ht="20.45" customHeight="1" x14ac:dyDescent="0.2">
      <c r="A9" s="69" t="s">
        <v>0</v>
      </c>
      <c r="B9" s="49">
        <v>43605.400261521339</v>
      </c>
      <c r="C9" s="49">
        <v>3578330.9165440816</v>
      </c>
      <c r="D9" s="49">
        <v>37713.135393977165</v>
      </c>
      <c r="E9" s="49">
        <v>1101797.836579443</v>
      </c>
      <c r="F9" s="49">
        <v>603506.9405759573</v>
      </c>
      <c r="G9" s="49">
        <v>157661.29111361492</v>
      </c>
      <c r="H9" s="49">
        <v>135051.89840018749</v>
      </c>
      <c r="I9" s="49">
        <v>205577.70648968205</v>
      </c>
      <c r="J9" s="49">
        <v>10348.432639360428</v>
      </c>
      <c r="K9" s="49">
        <v>2476533.0799646359</v>
      </c>
      <c r="L9" s="49">
        <v>1601290.0784347064</v>
      </c>
      <c r="M9" s="49">
        <v>631923.5270460844</v>
      </c>
      <c r="N9" s="49">
        <v>171643.59422361836</v>
      </c>
      <c r="O9" s="49">
        <v>71675.880260229111</v>
      </c>
    </row>
    <row r="10" spans="1:15" s="17" customFormat="1" ht="20.45" customHeight="1" x14ac:dyDescent="0.2">
      <c r="A10" s="29" t="s">
        <v>1</v>
      </c>
      <c r="B10" s="51">
        <v>1755528.1973842382</v>
      </c>
      <c r="C10" s="51">
        <v>41539888.439744979</v>
      </c>
      <c r="D10" s="51">
        <v>1603213.0176218748</v>
      </c>
      <c r="E10" s="51">
        <v>18994193.637339581</v>
      </c>
      <c r="F10" s="51">
        <v>10678971.443701372</v>
      </c>
      <c r="G10" s="51">
        <v>2730236.0934885647</v>
      </c>
      <c r="H10" s="51">
        <v>3004163.1106915553</v>
      </c>
      <c r="I10" s="51">
        <v>2580822.989458323</v>
      </c>
      <c r="J10" s="51">
        <v>258150.97331607342</v>
      </c>
      <c r="K10" s="51">
        <v>22545694.802405499</v>
      </c>
      <c r="L10" s="51">
        <v>16718353.794489186</v>
      </c>
      <c r="M10" s="51">
        <v>2589776.58517909</v>
      </c>
      <c r="N10" s="51">
        <v>2102705.7080941251</v>
      </c>
      <c r="O10" s="51">
        <v>1134858.7146431198</v>
      </c>
    </row>
    <row r="11" spans="1:15" ht="20.45" customHeight="1" x14ac:dyDescent="0.2">
      <c r="A11" s="30" t="s">
        <v>2</v>
      </c>
      <c r="B11" s="53">
        <v>153676.14718651772</v>
      </c>
      <c r="C11" s="53">
        <v>2888197.2236478329</v>
      </c>
      <c r="D11" s="53">
        <v>130749.37025201321</v>
      </c>
      <c r="E11" s="53">
        <v>1315417.8554286959</v>
      </c>
      <c r="F11" s="53">
        <v>687936.28867030167</v>
      </c>
      <c r="G11" s="53">
        <v>203193.62839341114</v>
      </c>
      <c r="H11" s="53">
        <v>249752.60163104453</v>
      </c>
      <c r="I11" s="53">
        <v>174535.33673393706</v>
      </c>
      <c r="J11" s="53">
        <v>33279.819258332253</v>
      </c>
      <c r="K11" s="53">
        <v>1572779.3682191367</v>
      </c>
      <c r="L11" s="53">
        <v>1010843.9486563219</v>
      </c>
      <c r="M11" s="53">
        <v>216853.28673875335</v>
      </c>
      <c r="N11" s="53">
        <v>270615.01144695253</v>
      </c>
      <c r="O11" s="53">
        <v>74467.121377110452</v>
      </c>
    </row>
    <row r="12" spans="1:15" ht="20.45" customHeight="1" x14ac:dyDescent="0.2">
      <c r="A12" s="30" t="s">
        <v>3</v>
      </c>
      <c r="B12" s="53">
        <v>271693.24494826794</v>
      </c>
      <c r="C12" s="53">
        <v>5808929.9049258977</v>
      </c>
      <c r="D12" s="53">
        <v>243258.03735816479</v>
      </c>
      <c r="E12" s="53">
        <v>2490728.9369645114</v>
      </c>
      <c r="F12" s="53">
        <v>1381994.4301283306</v>
      </c>
      <c r="G12" s="53">
        <v>376028.42484485876</v>
      </c>
      <c r="H12" s="53">
        <v>395777.15688061784</v>
      </c>
      <c r="I12" s="53">
        <v>336928.9251106981</v>
      </c>
      <c r="J12" s="53">
        <v>45389.771783709526</v>
      </c>
      <c r="K12" s="53">
        <v>3318200.9679614385</v>
      </c>
      <c r="L12" s="53">
        <v>2149271.3199771638</v>
      </c>
      <c r="M12" s="53">
        <v>601122.90487265645</v>
      </c>
      <c r="N12" s="53">
        <v>351802.1447620393</v>
      </c>
      <c r="O12" s="53">
        <v>216004.59834957123</v>
      </c>
    </row>
    <row r="13" spans="1:15" ht="20.45" customHeight="1" x14ac:dyDescent="0.2">
      <c r="A13" s="30" t="s">
        <v>4</v>
      </c>
      <c r="B13" s="53">
        <v>649891.08410000801</v>
      </c>
      <c r="C13" s="53">
        <v>14169306.148454573</v>
      </c>
      <c r="D13" s="53">
        <v>592868.47392213345</v>
      </c>
      <c r="E13" s="53">
        <v>6740910.1085589631</v>
      </c>
      <c r="F13" s="53">
        <v>3889932.8475028006</v>
      </c>
      <c r="G13" s="53">
        <v>933693.53646612854</v>
      </c>
      <c r="H13" s="53">
        <v>1039790.7273902957</v>
      </c>
      <c r="I13" s="53">
        <v>877492.99719977449</v>
      </c>
      <c r="J13" s="53">
        <v>96633.934877753258</v>
      </c>
      <c r="K13" s="53">
        <v>7428396.0398957413</v>
      </c>
      <c r="L13" s="53">
        <v>5414263.3727242919</v>
      </c>
      <c r="M13" s="53">
        <v>953776.00546836853</v>
      </c>
      <c r="N13" s="53">
        <v>696502.89046096883</v>
      </c>
      <c r="O13" s="53">
        <v>363853.77124214184</v>
      </c>
    </row>
    <row r="14" spans="1:15" ht="20.45" customHeight="1" x14ac:dyDescent="0.2">
      <c r="A14" s="30" t="s">
        <v>5</v>
      </c>
      <c r="B14" s="53">
        <v>439372.5928195715</v>
      </c>
      <c r="C14" s="53">
        <v>10261875.257331299</v>
      </c>
      <c r="D14" s="53">
        <v>408515.2952028513</v>
      </c>
      <c r="E14" s="53">
        <v>4804079.7749316758</v>
      </c>
      <c r="F14" s="53">
        <v>2683910.0952049787</v>
      </c>
      <c r="G14" s="53">
        <v>673009.09300279478</v>
      </c>
      <c r="H14" s="53">
        <v>694602.22531688167</v>
      </c>
      <c r="I14" s="53">
        <v>752558.36140704225</v>
      </c>
      <c r="J14" s="53">
        <v>56416.526274204254</v>
      </c>
      <c r="K14" s="53">
        <v>5457795.4823995819</v>
      </c>
      <c r="L14" s="53">
        <v>4288729.6962482845</v>
      </c>
      <c r="M14" s="53">
        <v>470703.81371283578</v>
      </c>
      <c r="N14" s="53">
        <v>413703.10719788086</v>
      </c>
      <c r="O14" s="53">
        <v>284658.86524057388</v>
      </c>
    </row>
    <row r="15" spans="1:15" ht="20.45" customHeight="1" x14ac:dyDescent="0.2">
      <c r="A15" s="30" t="s">
        <v>6</v>
      </c>
      <c r="B15" s="53">
        <v>192014.83793103695</v>
      </c>
      <c r="C15" s="53">
        <v>5933248.9208586188</v>
      </c>
      <c r="D15" s="53">
        <v>181302.87061285973</v>
      </c>
      <c r="E15" s="53">
        <v>2558622.1697474658</v>
      </c>
      <c r="F15" s="53">
        <v>1479620.8070827757</v>
      </c>
      <c r="G15" s="53">
        <v>353123.02314424393</v>
      </c>
      <c r="H15" s="53">
        <v>400094.62224221433</v>
      </c>
      <c r="I15" s="53">
        <v>325783.7172782413</v>
      </c>
      <c r="J15" s="53">
        <v>21225.997175574303</v>
      </c>
      <c r="K15" s="53">
        <v>3374626.7511111512</v>
      </c>
      <c r="L15" s="53">
        <v>2938472.6365162097</v>
      </c>
      <c r="M15" s="53">
        <v>101981.36398613451</v>
      </c>
      <c r="N15" s="53">
        <v>203108.54031598542</v>
      </c>
      <c r="O15" s="53">
        <v>131064.2102928161</v>
      </c>
    </row>
    <row r="16" spans="1:15" ht="20.45" customHeight="1" x14ac:dyDescent="0.2">
      <c r="A16" s="30" t="s">
        <v>7</v>
      </c>
      <c r="B16" s="53">
        <v>33923.068804621696</v>
      </c>
      <c r="C16" s="53">
        <v>1365623.7174382203</v>
      </c>
      <c r="D16" s="53">
        <v>32342.62573325634</v>
      </c>
      <c r="E16" s="53">
        <v>668222.14492297405</v>
      </c>
      <c r="F16" s="53">
        <v>293735.7682518962</v>
      </c>
      <c r="G16" s="53">
        <v>147303.85411906237</v>
      </c>
      <c r="H16" s="53">
        <v>155907.63489532474</v>
      </c>
      <c r="I16" s="53">
        <v>71274.887656688632</v>
      </c>
      <c r="J16" s="53">
        <v>3554.3230917453766</v>
      </c>
      <c r="K16" s="53">
        <v>697401.57251524925</v>
      </c>
      <c r="L16" s="53">
        <v>571944.7189427613</v>
      </c>
      <c r="M16" s="53">
        <v>59598.519895553589</v>
      </c>
      <c r="N16" s="53">
        <v>25169.166512131691</v>
      </c>
      <c r="O16" s="53">
        <v>40689.167164802551</v>
      </c>
    </row>
    <row r="17" spans="1:15" ht="20.45" customHeight="1" x14ac:dyDescent="0.2">
      <c r="A17" s="30" t="s">
        <v>8</v>
      </c>
      <c r="B17" s="53">
        <v>9892.6007786989212</v>
      </c>
      <c r="C17" s="53">
        <v>650874.51295805001</v>
      </c>
      <c r="D17" s="53">
        <v>9424.286616563797</v>
      </c>
      <c r="E17" s="53">
        <v>251971.43136215207</v>
      </c>
      <c r="F17" s="53">
        <v>160149.2285182476</v>
      </c>
      <c r="G17" s="53">
        <v>27169.071327686303</v>
      </c>
      <c r="H17" s="53">
        <v>38066.15932059288</v>
      </c>
      <c r="I17" s="53">
        <v>26586.972195625291</v>
      </c>
      <c r="J17" s="53">
        <v>962.38799130916595</v>
      </c>
      <c r="K17" s="53">
        <v>398903.08159589773</v>
      </c>
      <c r="L17" s="53">
        <v>132789.33289849758</v>
      </c>
      <c r="M17" s="53">
        <v>139541.5215075016</v>
      </c>
      <c r="N17" s="53">
        <v>126335.41396415239</v>
      </c>
      <c r="O17" s="53">
        <v>236.81322574615479</v>
      </c>
    </row>
    <row r="18" spans="1:15" ht="20.45" customHeight="1" x14ac:dyDescent="0.2">
      <c r="A18" s="30" t="s">
        <v>9</v>
      </c>
      <c r="B18" s="53">
        <v>2729.0468640327454</v>
      </c>
      <c r="C18" s="53">
        <v>126962.5040063858</v>
      </c>
      <c r="D18" s="53">
        <v>2584.0829820632935</v>
      </c>
      <c r="E18" s="53">
        <v>36581.559229850776</v>
      </c>
      <c r="F18" s="53">
        <v>19013.007907390598</v>
      </c>
      <c r="G18" s="53">
        <v>5240.8546299934387</v>
      </c>
      <c r="H18" s="53">
        <v>6850.2658724784842</v>
      </c>
      <c r="I18" s="53">
        <v>5477.4308199882489</v>
      </c>
      <c r="J18" s="53">
        <v>356.24979305267334</v>
      </c>
      <c r="K18" s="53">
        <v>90380.944776535005</v>
      </c>
      <c r="L18" s="53">
        <v>87005.551297187805</v>
      </c>
      <c r="M18" s="53">
        <v>1054.9412136077881</v>
      </c>
      <c r="N18" s="53">
        <v>2291.77805519104</v>
      </c>
      <c r="O18" s="53">
        <v>28.674210548400879</v>
      </c>
    </row>
    <row r="19" spans="1:15" ht="20.45" customHeight="1" x14ac:dyDescent="0.2">
      <c r="A19" s="30" t="s">
        <v>10</v>
      </c>
      <c r="B19" s="53">
        <v>2048.008398771286</v>
      </c>
      <c r="C19" s="53">
        <v>286888.48751091963</v>
      </c>
      <c r="D19" s="53">
        <v>1920.7315638065338</v>
      </c>
      <c r="E19" s="53">
        <v>122040.45300364491</v>
      </c>
      <c r="F19" s="53">
        <v>78646.510403156266</v>
      </c>
      <c r="G19" s="53">
        <v>10981.339661359785</v>
      </c>
      <c r="H19" s="53">
        <v>22741.087905406959</v>
      </c>
      <c r="I19" s="53">
        <v>9671.515033721922</v>
      </c>
      <c r="J19" s="53">
        <v>291.64089584350586</v>
      </c>
      <c r="K19" s="53">
        <v>164848.03450727463</v>
      </c>
      <c r="L19" s="53">
        <v>82974.459923267365</v>
      </c>
      <c r="M19" s="53">
        <v>45144.227783679962</v>
      </c>
      <c r="N19" s="53">
        <v>12873.85326051712</v>
      </c>
      <c r="O19" s="53">
        <v>23855.493539810177</v>
      </c>
    </row>
    <row r="20" spans="1:15" ht="20.45" customHeight="1" x14ac:dyDescent="0.2">
      <c r="A20" s="30" t="s">
        <v>11</v>
      </c>
      <c r="B20" s="53">
        <v>287.56555271148682</v>
      </c>
      <c r="C20" s="53">
        <v>47981.762613296509</v>
      </c>
      <c r="D20" s="53">
        <v>247.24337816238403</v>
      </c>
      <c r="E20" s="53">
        <v>5619.2031898498526</v>
      </c>
      <c r="F20" s="53">
        <v>4032.460031509399</v>
      </c>
      <c r="G20" s="53">
        <v>493.26789903640753</v>
      </c>
      <c r="H20" s="53">
        <v>580.62923669815075</v>
      </c>
      <c r="I20" s="53">
        <v>512.846022605896</v>
      </c>
      <c r="J20" s="53">
        <v>40.322174549102783</v>
      </c>
      <c r="K20" s="53">
        <v>42362.559423446655</v>
      </c>
      <c r="L20" s="53">
        <v>42058.757305145264</v>
      </c>
      <c r="M20" s="53"/>
      <c r="N20" s="53">
        <v>303.8021183013916</v>
      </c>
      <c r="O20" s="53"/>
    </row>
    <row r="21" spans="1:15" s="17" customFormat="1" ht="20.45" customHeight="1" x14ac:dyDescent="0.2">
      <c r="A21" s="31" t="s">
        <v>12</v>
      </c>
      <c r="B21" s="25">
        <f>B9+B10</f>
        <v>1799133.5976457596</v>
      </c>
      <c r="C21" s="25">
        <f t="shared" ref="C21:O21" si="0">C9+C10</f>
        <v>45118219.356289059</v>
      </c>
      <c r="D21" s="25">
        <f t="shared" si="0"/>
        <v>1640926.153015852</v>
      </c>
      <c r="E21" s="25">
        <f t="shared" si="0"/>
        <v>20095991.473919023</v>
      </c>
      <c r="F21" s="25">
        <f t="shared" si="0"/>
        <v>11282478.384277329</v>
      </c>
      <c r="G21" s="25">
        <f t="shared" si="0"/>
        <v>2887897.3846021798</v>
      </c>
      <c r="H21" s="25">
        <f t="shared" si="0"/>
        <v>3139215.0090917428</v>
      </c>
      <c r="I21" s="25">
        <f t="shared" si="0"/>
        <v>2786400.6959480052</v>
      </c>
      <c r="J21" s="25">
        <f t="shared" si="0"/>
        <v>268499.40595543385</v>
      </c>
      <c r="K21" s="25">
        <f t="shared" si="0"/>
        <v>25022227.882370137</v>
      </c>
      <c r="L21" s="25">
        <f t="shared" si="0"/>
        <v>18319643.872923892</v>
      </c>
      <c r="M21" s="25">
        <f t="shared" si="0"/>
        <v>3221700.1122251744</v>
      </c>
      <c r="N21" s="25">
        <f t="shared" si="0"/>
        <v>2274349.3023177437</v>
      </c>
      <c r="O21" s="25">
        <f t="shared" si="0"/>
        <v>1206534.5949033489</v>
      </c>
    </row>
    <row r="22" spans="1:15" x14ac:dyDescent="0.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5" spans="1:15" x14ac:dyDescent="0.2">
      <c r="B25" s="61"/>
    </row>
  </sheetData>
  <mergeCells count="21">
    <mergeCell ref="E7:E8"/>
    <mergeCell ref="J5:O5"/>
    <mergeCell ref="F7:F8"/>
    <mergeCell ref="M7:M8"/>
    <mergeCell ref="D5:I5"/>
    <mergeCell ref="E6:I6"/>
    <mergeCell ref="A1:O1"/>
    <mergeCell ref="D6:D8"/>
    <mergeCell ref="J6:J8"/>
    <mergeCell ref="K6:O6"/>
    <mergeCell ref="N7:N8"/>
    <mergeCell ref="L7:L8"/>
    <mergeCell ref="A4:A8"/>
    <mergeCell ref="C6:C8"/>
    <mergeCell ref="B5:C5"/>
    <mergeCell ref="K7:K8"/>
    <mergeCell ref="B6:B8"/>
    <mergeCell ref="H7:I7"/>
    <mergeCell ref="B4:O4"/>
    <mergeCell ref="G7:G8"/>
    <mergeCell ref="O7:O8"/>
  </mergeCells>
  <conditionalFormatting sqref="B10:B21">
    <cfRule type="cellIs" dxfId="500" priority="29" stopIfTrue="1" operator="equal">
      <formula>0</formula>
    </cfRule>
  </conditionalFormatting>
  <conditionalFormatting sqref="B9">
    <cfRule type="cellIs" dxfId="499" priority="28" stopIfTrue="1" operator="equal">
      <formula>0</formula>
    </cfRule>
  </conditionalFormatting>
  <conditionalFormatting sqref="C10:C21">
    <cfRule type="cellIs" dxfId="498" priority="27" stopIfTrue="1" operator="equal">
      <formula>0</formula>
    </cfRule>
  </conditionalFormatting>
  <conditionalFormatting sqref="C9">
    <cfRule type="cellIs" dxfId="497" priority="26" stopIfTrue="1" operator="equal">
      <formula>0</formula>
    </cfRule>
  </conditionalFormatting>
  <conditionalFormatting sqref="D10:D21">
    <cfRule type="cellIs" dxfId="496" priority="25" stopIfTrue="1" operator="equal">
      <formula>0</formula>
    </cfRule>
  </conditionalFormatting>
  <conditionalFormatting sqref="D9">
    <cfRule type="cellIs" dxfId="495" priority="24" stopIfTrue="1" operator="equal">
      <formula>0</formula>
    </cfRule>
  </conditionalFormatting>
  <conditionalFormatting sqref="E10:E21">
    <cfRule type="cellIs" dxfId="494" priority="23" stopIfTrue="1" operator="equal">
      <formula>0</formula>
    </cfRule>
  </conditionalFormatting>
  <conditionalFormatting sqref="E9">
    <cfRule type="cellIs" dxfId="493" priority="22" stopIfTrue="1" operator="equal">
      <formula>0</formula>
    </cfRule>
  </conditionalFormatting>
  <conditionalFormatting sqref="F10:F21">
    <cfRule type="cellIs" dxfId="492" priority="21" stopIfTrue="1" operator="equal">
      <formula>0</formula>
    </cfRule>
  </conditionalFormatting>
  <conditionalFormatting sqref="F9">
    <cfRule type="cellIs" dxfId="491" priority="20" stopIfTrue="1" operator="equal">
      <formula>0</formula>
    </cfRule>
  </conditionalFormatting>
  <conditionalFormatting sqref="G10:G21">
    <cfRule type="cellIs" dxfId="490" priority="19" stopIfTrue="1" operator="equal">
      <formula>0</formula>
    </cfRule>
  </conditionalFormatting>
  <conditionalFormatting sqref="G9">
    <cfRule type="cellIs" dxfId="489" priority="18" stopIfTrue="1" operator="equal">
      <formula>0</formula>
    </cfRule>
  </conditionalFormatting>
  <conditionalFormatting sqref="H10:H21">
    <cfRule type="cellIs" dxfId="488" priority="17" stopIfTrue="1" operator="equal">
      <formula>0</formula>
    </cfRule>
  </conditionalFormatting>
  <conditionalFormatting sqref="H9">
    <cfRule type="cellIs" dxfId="487" priority="16" stopIfTrue="1" operator="equal">
      <formula>0</formula>
    </cfRule>
  </conditionalFormatting>
  <conditionalFormatting sqref="I10:I21">
    <cfRule type="cellIs" dxfId="486" priority="15" stopIfTrue="1" operator="equal">
      <formula>0</formula>
    </cfRule>
  </conditionalFormatting>
  <conditionalFormatting sqref="I9">
    <cfRule type="cellIs" dxfId="485" priority="14" stopIfTrue="1" operator="equal">
      <formula>0</formula>
    </cfRule>
  </conditionalFormatting>
  <conditionalFormatting sqref="J10:J21">
    <cfRule type="cellIs" dxfId="484" priority="13" stopIfTrue="1" operator="equal">
      <formula>0</formula>
    </cfRule>
  </conditionalFormatting>
  <conditionalFormatting sqref="J9">
    <cfRule type="cellIs" dxfId="483" priority="12" stopIfTrue="1" operator="equal">
      <formula>0</formula>
    </cfRule>
  </conditionalFormatting>
  <conditionalFormatting sqref="K10:K21">
    <cfRule type="cellIs" dxfId="482" priority="11" stopIfTrue="1" operator="equal">
      <formula>0</formula>
    </cfRule>
  </conditionalFormatting>
  <conditionalFormatting sqref="K9">
    <cfRule type="cellIs" dxfId="481" priority="10" stopIfTrue="1" operator="equal">
      <formula>0</formula>
    </cfRule>
  </conditionalFormatting>
  <conditionalFormatting sqref="L10:L21">
    <cfRule type="cellIs" dxfId="480" priority="9" stopIfTrue="1" operator="equal">
      <formula>0</formula>
    </cfRule>
  </conditionalFormatting>
  <conditionalFormatting sqref="L9">
    <cfRule type="cellIs" dxfId="479" priority="8" stopIfTrue="1" operator="equal">
      <formula>0</formula>
    </cfRule>
  </conditionalFormatting>
  <conditionalFormatting sqref="M10:M21">
    <cfRule type="cellIs" dxfId="478" priority="7" stopIfTrue="1" operator="equal">
      <formula>0</formula>
    </cfRule>
  </conditionalFormatting>
  <conditionalFormatting sqref="M9">
    <cfRule type="cellIs" dxfId="477" priority="6" stopIfTrue="1" operator="equal">
      <formula>0</formula>
    </cfRule>
  </conditionalFormatting>
  <conditionalFormatting sqref="N10:N21">
    <cfRule type="cellIs" dxfId="476" priority="5" stopIfTrue="1" operator="equal">
      <formula>0</formula>
    </cfRule>
  </conditionalFormatting>
  <conditionalFormatting sqref="N9">
    <cfRule type="cellIs" dxfId="475" priority="4" stopIfTrue="1" operator="equal">
      <formula>0</formula>
    </cfRule>
  </conditionalFormatting>
  <conditionalFormatting sqref="O10:O21">
    <cfRule type="cellIs" dxfId="474" priority="3" stopIfTrue="1" operator="equal">
      <formula>0</formula>
    </cfRule>
  </conditionalFormatting>
  <conditionalFormatting sqref="O9">
    <cfRule type="cellIs" dxfId="473" priority="2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C6E1-65AA-4FE2-ACB6-A64F1925214B}">
  <dimension ref="A1:M20"/>
  <sheetViews>
    <sheetView zoomScale="112" zoomScaleNormal="75" workbookViewId="0">
      <selection activeCell="C19" sqref="C19"/>
    </sheetView>
  </sheetViews>
  <sheetFormatPr defaultRowHeight="12" x14ac:dyDescent="0.2"/>
  <cols>
    <col min="1" max="1" width="23.85546875" style="9" bestFit="1" customWidth="1"/>
    <col min="2" max="5" width="10.5703125" style="9" customWidth="1"/>
    <col min="6" max="6" width="10.140625" style="9" customWidth="1"/>
    <col min="7" max="13" width="10.5703125" style="9" customWidth="1"/>
    <col min="14" max="16384" width="9.140625" style="9"/>
  </cols>
  <sheetData>
    <row r="1" spans="1:13" ht="12.7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ht="12.75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 t="s">
        <v>32</v>
      </c>
    </row>
    <row r="3" spans="1:13" ht="17.25" customHeight="1" x14ac:dyDescent="0.2">
      <c r="A3" s="83" t="s">
        <v>612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s="11" customFormat="1" ht="18" customHeight="1" x14ac:dyDescent="0.2">
      <c r="A4" s="123" t="s">
        <v>30</v>
      </c>
      <c r="B4" s="181" t="s">
        <v>273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</row>
    <row r="5" spans="1:13" s="11" customFormat="1" ht="18" customHeight="1" x14ac:dyDescent="0.2">
      <c r="A5" s="123"/>
      <c r="B5" s="121" t="s">
        <v>274</v>
      </c>
      <c r="C5" s="121"/>
      <c r="D5" s="193" t="s">
        <v>275</v>
      </c>
      <c r="E5" s="194"/>
      <c r="F5" s="193" t="s">
        <v>276</v>
      </c>
      <c r="G5" s="194"/>
      <c r="H5" s="193" t="s">
        <v>277</v>
      </c>
      <c r="I5" s="194"/>
      <c r="J5" s="193" t="s">
        <v>278</v>
      </c>
      <c r="K5" s="194"/>
      <c r="L5" s="193" t="s">
        <v>249</v>
      </c>
      <c r="M5" s="194"/>
    </row>
    <row r="6" spans="1:13" s="11" customFormat="1" ht="30" customHeight="1" x14ac:dyDescent="0.2">
      <c r="A6" s="123"/>
      <c r="B6" s="34" t="s">
        <v>41</v>
      </c>
      <c r="C6" s="34" t="s">
        <v>279</v>
      </c>
      <c r="D6" s="34" t="s">
        <v>41</v>
      </c>
      <c r="E6" s="34" t="s">
        <v>279</v>
      </c>
      <c r="F6" s="34" t="s">
        <v>41</v>
      </c>
      <c r="G6" s="34" t="s">
        <v>279</v>
      </c>
      <c r="H6" s="34" t="s">
        <v>41</v>
      </c>
      <c r="I6" s="34" t="s">
        <v>279</v>
      </c>
      <c r="J6" s="34" t="s">
        <v>41</v>
      </c>
      <c r="K6" s="34" t="s">
        <v>279</v>
      </c>
      <c r="L6" s="34" t="s">
        <v>41</v>
      </c>
      <c r="M6" s="34" t="s">
        <v>279</v>
      </c>
    </row>
    <row r="7" spans="1:13" s="17" customFormat="1" ht="20.45" customHeight="1" x14ac:dyDescent="0.2">
      <c r="A7" s="69" t="s">
        <v>0</v>
      </c>
      <c r="B7" s="49">
        <v>8764.6877064704895</v>
      </c>
      <c r="C7" s="49">
        <v>78061.318545818402</v>
      </c>
      <c r="D7" s="49">
        <v>3380.9838180541992</v>
      </c>
      <c r="E7" s="49">
        <v>39477.551028728507</v>
      </c>
      <c r="F7" s="49">
        <v>49.948850631713867</v>
      </c>
      <c r="G7" s="49">
        <v>129.06976699829102</v>
      </c>
      <c r="H7" s="49">
        <v>488.86908388137817</v>
      </c>
      <c r="I7" s="49">
        <v>22330.210916996002</v>
      </c>
      <c r="J7" s="49">
        <v>877.30270195007324</v>
      </c>
      <c r="K7" s="49">
        <v>17207.689534187317</v>
      </c>
      <c r="L7" s="49">
        <v>396.23573780059814</v>
      </c>
      <c r="M7" s="49">
        <v>9328.4405279159528</v>
      </c>
    </row>
    <row r="8" spans="1:13" s="17" customFormat="1" ht="20.45" customHeight="1" x14ac:dyDescent="0.2">
      <c r="A8" s="29" t="s">
        <v>1</v>
      </c>
      <c r="B8" s="51">
        <v>181800.99342930317</v>
      </c>
      <c r="C8" s="51">
        <v>1247937.2606530208</v>
      </c>
      <c r="D8" s="51">
        <v>109854.61319327354</v>
      </c>
      <c r="E8" s="51">
        <v>1057971.9342730057</v>
      </c>
      <c r="F8" s="51">
        <v>3227.3342757225037</v>
      </c>
      <c r="G8" s="51">
        <v>27297.743866443641</v>
      </c>
      <c r="H8" s="51">
        <v>4269.1431231498718</v>
      </c>
      <c r="I8" s="51">
        <v>169239.4009671211</v>
      </c>
      <c r="J8" s="51">
        <v>12614.298231840134</v>
      </c>
      <c r="K8" s="51">
        <v>69221.909047365305</v>
      </c>
      <c r="L8" s="51">
        <v>10428.12950026989</v>
      </c>
      <c r="M8" s="51">
        <v>43282.781917452841</v>
      </c>
    </row>
    <row r="9" spans="1:13" ht="20.45" customHeight="1" x14ac:dyDescent="0.2">
      <c r="A9" s="30" t="s">
        <v>2</v>
      </c>
      <c r="B9" s="53">
        <v>12728.882075309753</v>
      </c>
      <c r="C9" s="53">
        <v>78959.135865926713</v>
      </c>
      <c r="D9" s="53">
        <v>4233.9202275276184</v>
      </c>
      <c r="E9" s="53">
        <v>33514.726827144666</v>
      </c>
      <c r="F9" s="53">
        <v>243.96354866027832</v>
      </c>
      <c r="G9" s="53">
        <v>903.45004272460915</v>
      </c>
      <c r="H9" s="53">
        <v>472.22918748855591</v>
      </c>
      <c r="I9" s="53">
        <v>54222.837554454789</v>
      </c>
      <c r="J9" s="53">
        <v>1209.9985795021057</v>
      </c>
      <c r="K9" s="53">
        <v>3886.6434345245357</v>
      </c>
      <c r="L9" s="53">
        <v>768.58967661857605</v>
      </c>
      <c r="M9" s="53">
        <v>3646.8421766757965</v>
      </c>
    </row>
    <row r="10" spans="1:13" ht="20.45" customHeight="1" x14ac:dyDescent="0.2">
      <c r="A10" s="30" t="s">
        <v>3</v>
      </c>
      <c r="B10" s="53">
        <v>20961.812972426414</v>
      </c>
      <c r="C10" s="53">
        <v>121564.87179231657</v>
      </c>
      <c r="D10" s="53">
        <v>7770.3197557926178</v>
      </c>
      <c r="E10" s="53">
        <v>66499.208096981034</v>
      </c>
      <c r="F10" s="53">
        <v>286.79418849945068</v>
      </c>
      <c r="G10" s="53">
        <v>9416.5553145408649</v>
      </c>
      <c r="H10" s="53">
        <v>640.22016572952271</v>
      </c>
      <c r="I10" s="53">
        <v>24503.289422512058</v>
      </c>
      <c r="J10" s="53">
        <v>1262.3760576248169</v>
      </c>
      <c r="K10" s="53">
        <v>6898.3792614936856</v>
      </c>
      <c r="L10" s="53">
        <v>1753.9045853614807</v>
      </c>
      <c r="M10" s="53">
        <v>7072.5087561607425</v>
      </c>
    </row>
    <row r="11" spans="1:13" ht="20.45" customHeight="1" x14ac:dyDescent="0.2">
      <c r="A11" s="30" t="s">
        <v>4</v>
      </c>
      <c r="B11" s="53">
        <v>57511.761891126633</v>
      </c>
      <c r="C11" s="53">
        <v>356519.4933001991</v>
      </c>
      <c r="D11" s="53">
        <v>31562.777609109879</v>
      </c>
      <c r="E11" s="53">
        <v>250051.87017178527</v>
      </c>
      <c r="F11" s="53">
        <v>824.760986328125</v>
      </c>
      <c r="G11" s="53">
        <v>3876.1625161170959</v>
      </c>
      <c r="H11" s="53">
        <v>1413.6136045455933</v>
      </c>
      <c r="I11" s="53">
        <v>40553.376685619369</v>
      </c>
      <c r="J11" s="53">
        <v>3825.465047121048</v>
      </c>
      <c r="K11" s="53">
        <v>23023.175544023496</v>
      </c>
      <c r="L11" s="53">
        <v>3790.7967647314072</v>
      </c>
      <c r="M11" s="53">
        <v>13978.298413157474</v>
      </c>
    </row>
    <row r="12" spans="1:13" ht="20.45" customHeight="1" x14ac:dyDescent="0.2">
      <c r="A12" s="30" t="s">
        <v>5</v>
      </c>
      <c r="B12" s="53">
        <v>51015.932270765305</v>
      </c>
      <c r="C12" s="53">
        <v>338497.66211295087</v>
      </c>
      <c r="D12" s="53">
        <v>34647.8622174263</v>
      </c>
      <c r="E12" s="53">
        <v>308746.80503654457</v>
      </c>
      <c r="F12" s="53">
        <v>1107.5354528427124</v>
      </c>
      <c r="G12" s="53">
        <v>8641.3776192665118</v>
      </c>
      <c r="H12" s="53">
        <v>966.53815889358521</v>
      </c>
      <c r="I12" s="53">
        <v>9979.8048472404498</v>
      </c>
      <c r="J12" s="53">
        <v>3279.4525389671326</v>
      </c>
      <c r="K12" s="53">
        <v>18161.536531448353</v>
      </c>
      <c r="L12" s="53">
        <v>2392.3965277671814</v>
      </c>
      <c r="M12" s="53">
        <v>8608.672025680542</v>
      </c>
    </row>
    <row r="13" spans="1:13" ht="20.45" customHeight="1" x14ac:dyDescent="0.2">
      <c r="A13" s="30" t="s">
        <v>6</v>
      </c>
      <c r="B13" s="53">
        <v>28892.012942075729</v>
      </c>
      <c r="C13" s="53">
        <v>213971.32743549335</v>
      </c>
      <c r="D13" s="53">
        <v>23229.564184904099</v>
      </c>
      <c r="E13" s="53">
        <v>257010.15234923403</v>
      </c>
      <c r="F13" s="53">
        <v>550.80217266082764</v>
      </c>
      <c r="G13" s="53">
        <v>2990.4230804443355</v>
      </c>
      <c r="H13" s="53">
        <v>565.07752323150635</v>
      </c>
      <c r="I13" s="53">
        <v>32599.006158828743</v>
      </c>
      <c r="J13" s="53">
        <v>2084.8592433929443</v>
      </c>
      <c r="K13" s="53">
        <v>10838.240857124325</v>
      </c>
      <c r="L13" s="53">
        <v>1282.2129294872284</v>
      </c>
      <c r="M13" s="53">
        <v>6082.7773067951221</v>
      </c>
    </row>
    <row r="14" spans="1:13" ht="20.45" customHeight="1" x14ac:dyDescent="0.2">
      <c r="A14" s="30" t="s">
        <v>7</v>
      </c>
      <c r="B14" s="53">
        <v>7153.6516728401184</v>
      </c>
      <c r="C14" s="53">
        <v>84297.349673032862</v>
      </c>
      <c r="D14" s="53">
        <v>5432.0375468730927</v>
      </c>
      <c r="E14" s="53">
        <v>77634.19379830356</v>
      </c>
      <c r="F14" s="53">
        <v>101.24186611175537</v>
      </c>
      <c r="G14" s="53">
        <v>556.29497718811035</v>
      </c>
      <c r="H14" s="53">
        <v>140.60753726959229</v>
      </c>
      <c r="I14" s="53">
        <v>5125.0642156600952</v>
      </c>
      <c r="J14" s="53">
        <v>602.79440784454346</v>
      </c>
      <c r="K14" s="53">
        <v>3010.7028517723074</v>
      </c>
      <c r="L14" s="53">
        <v>261.25511693954468</v>
      </c>
      <c r="M14" s="53">
        <v>1987.0719976425169</v>
      </c>
    </row>
    <row r="15" spans="1:13" ht="20.45" customHeight="1" x14ac:dyDescent="0.2">
      <c r="A15" s="30" t="s">
        <v>8</v>
      </c>
      <c r="B15" s="53">
        <v>2239.7600798606873</v>
      </c>
      <c r="C15" s="53">
        <v>23725.912933826457</v>
      </c>
      <c r="D15" s="53">
        <v>1762.6941676139832</v>
      </c>
      <c r="E15" s="53">
        <v>33616.080449581146</v>
      </c>
      <c r="F15" s="53">
        <v>93.558441162109375</v>
      </c>
      <c r="G15" s="53">
        <v>764.846266746521</v>
      </c>
      <c r="H15" s="53">
        <v>25.521559238433838</v>
      </c>
      <c r="I15" s="53">
        <v>194.27295780181885</v>
      </c>
      <c r="J15" s="53">
        <v>154.75194978713989</v>
      </c>
      <c r="K15" s="53">
        <v>484.99317550659174</v>
      </c>
      <c r="L15" s="53">
        <v>136.80921983718872</v>
      </c>
      <c r="M15" s="53">
        <v>1840.5434732437136</v>
      </c>
    </row>
    <row r="16" spans="1:13" ht="20.45" customHeight="1" x14ac:dyDescent="0.2">
      <c r="A16" s="30" t="s">
        <v>9</v>
      </c>
      <c r="B16" s="53">
        <v>667.84827327728271</v>
      </c>
      <c r="C16" s="53">
        <v>7014.0506272315988</v>
      </c>
      <c r="D16" s="53">
        <v>543.12171268463135</v>
      </c>
      <c r="E16" s="53">
        <v>11098.708746910101</v>
      </c>
      <c r="F16" s="53">
        <v>7.5497384071350098</v>
      </c>
      <c r="G16" s="53">
        <v>15.09947681427002</v>
      </c>
      <c r="H16" s="53">
        <v>7.5497384071350098</v>
      </c>
      <c r="I16" s="53">
        <v>7.5497384071350098</v>
      </c>
      <c r="J16" s="53">
        <v>66.014366626739502</v>
      </c>
      <c r="K16" s="53">
        <v>267.94698333740234</v>
      </c>
      <c r="L16" s="53">
        <v>9.2946338653564453</v>
      </c>
      <c r="M16" s="53">
        <v>9.2946338653564435</v>
      </c>
    </row>
    <row r="17" spans="1:13" ht="20.45" customHeight="1" x14ac:dyDescent="0.2">
      <c r="A17" s="30" t="s">
        <v>10</v>
      </c>
      <c r="B17" s="53">
        <v>574.50439500808716</v>
      </c>
      <c r="C17" s="53">
        <v>22882.879149436951</v>
      </c>
      <c r="D17" s="53">
        <v>605.74159455299377</v>
      </c>
      <c r="E17" s="53">
        <v>18199.141218662266</v>
      </c>
      <c r="F17" s="53">
        <v>11.127881050109863</v>
      </c>
      <c r="G17" s="53">
        <v>133.53457260131836</v>
      </c>
      <c r="H17" s="53">
        <v>37.785648345947266</v>
      </c>
      <c r="I17" s="53">
        <v>2054.1993865966797</v>
      </c>
      <c r="J17" s="53">
        <v>128.58604097366333</v>
      </c>
      <c r="K17" s="53">
        <v>2650.29040813446</v>
      </c>
      <c r="L17" s="53">
        <v>23.903088569641113</v>
      </c>
      <c r="M17" s="53">
        <v>47.806177139282227</v>
      </c>
    </row>
    <row r="18" spans="1:13" ht="20.45" customHeight="1" x14ac:dyDescent="0.2">
      <c r="A18" s="30" t="s">
        <v>11</v>
      </c>
      <c r="B18" s="53">
        <v>54.82685661315918</v>
      </c>
      <c r="C18" s="53">
        <v>504.57776260375977</v>
      </c>
      <c r="D18" s="53">
        <v>66.574176788330078</v>
      </c>
      <c r="E18" s="53">
        <v>1601.0475778579712</v>
      </c>
      <c r="F18" s="53">
        <v>0</v>
      </c>
      <c r="G18" s="53"/>
      <c r="H18" s="53">
        <v>0</v>
      </c>
      <c r="I18" s="53"/>
      <c r="J18" s="53">
        <v>0</v>
      </c>
      <c r="K18" s="53"/>
      <c r="L18" s="53">
        <v>8.9669570922851563</v>
      </c>
      <c r="M18" s="53">
        <v>8.9669570922851563</v>
      </c>
    </row>
    <row r="19" spans="1:13" s="17" customFormat="1" ht="20.45" customHeight="1" x14ac:dyDescent="0.2">
      <c r="A19" s="31" t="s">
        <v>12</v>
      </c>
      <c r="B19" s="25">
        <f>B7+B8</f>
        <v>190565.68113577366</v>
      </c>
      <c r="C19" s="25">
        <f t="shared" ref="C19:M19" si="0">C7+C8</f>
        <v>1325998.5791988391</v>
      </c>
      <c r="D19" s="25">
        <f t="shared" si="0"/>
        <v>113235.59701132774</v>
      </c>
      <c r="E19" s="25">
        <f t="shared" si="0"/>
        <v>1097449.4853017342</v>
      </c>
      <c r="F19" s="25">
        <f t="shared" si="0"/>
        <v>3277.2831263542175</v>
      </c>
      <c r="G19" s="25">
        <f t="shared" si="0"/>
        <v>27426.813633441932</v>
      </c>
      <c r="H19" s="25">
        <f t="shared" si="0"/>
        <v>4758.01220703125</v>
      </c>
      <c r="I19" s="25">
        <f t="shared" si="0"/>
        <v>191569.6118841171</v>
      </c>
      <c r="J19" s="25">
        <f t="shared" si="0"/>
        <v>13491.600933790207</v>
      </c>
      <c r="K19" s="25">
        <f t="shared" si="0"/>
        <v>86429.598581552622</v>
      </c>
      <c r="L19" s="25">
        <f t="shared" si="0"/>
        <v>10824.365238070488</v>
      </c>
      <c r="M19" s="25">
        <f t="shared" si="0"/>
        <v>52611.222445368796</v>
      </c>
    </row>
    <row r="20" spans="1:13" ht="12" customHeight="1" x14ac:dyDescent="0.2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</sheetData>
  <mergeCells count="9">
    <mergeCell ref="A1:M1"/>
    <mergeCell ref="A4:A6"/>
    <mergeCell ref="B4:M4"/>
    <mergeCell ref="B5:C5"/>
    <mergeCell ref="D5:E5"/>
    <mergeCell ref="F5:G5"/>
    <mergeCell ref="H5:I5"/>
    <mergeCell ref="J5:K5"/>
    <mergeCell ref="L5:M5"/>
  </mergeCells>
  <conditionalFormatting sqref="B8:B19 C19:M19">
    <cfRule type="cellIs" dxfId="472" priority="13" stopIfTrue="1" operator="equal">
      <formula>0</formula>
    </cfRule>
  </conditionalFormatting>
  <conditionalFormatting sqref="B7:M7">
    <cfRule type="cellIs" dxfId="471" priority="12" stopIfTrue="1" operator="equal">
      <formula>0</formula>
    </cfRule>
  </conditionalFormatting>
  <conditionalFormatting sqref="C8:C18">
    <cfRule type="cellIs" dxfId="470" priority="11" stopIfTrue="1" operator="equal">
      <formula>0</formula>
    </cfRule>
  </conditionalFormatting>
  <conditionalFormatting sqref="D8:D18">
    <cfRule type="cellIs" dxfId="469" priority="10" stopIfTrue="1" operator="equal">
      <formula>0</formula>
    </cfRule>
  </conditionalFormatting>
  <conditionalFormatting sqref="E8:E18">
    <cfRule type="cellIs" dxfId="468" priority="9" stopIfTrue="1" operator="equal">
      <formula>0</formula>
    </cfRule>
  </conditionalFormatting>
  <conditionalFormatting sqref="F8:F18">
    <cfRule type="cellIs" dxfId="467" priority="8" stopIfTrue="1" operator="equal">
      <formula>0</formula>
    </cfRule>
  </conditionalFormatting>
  <conditionalFormatting sqref="G8:G18">
    <cfRule type="cellIs" dxfId="466" priority="7" stopIfTrue="1" operator="equal">
      <formula>0</formula>
    </cfRule>
  </conditionalFormatting>
  <conditionalFormatting sqref="H8:H18">
    <cfRule type="cellIs" dxfId="465" priority="6" stopIfTrue="1" operator="equal">
      <formula>0</formula>
    </cfRule>
  </conditionalFormatting>
  <conditionalFormatting sqref="I8:I18">
    <cfRule type="cellIs" dxfId="464" priority="5" stopIfTrue="1" operator="equal">
      <formula>0</formula>
    </cfRule>
  </conditionalFormatting>
  <conditionalFormatting sqref="J8:J18">
    <cfRule type="cellIs" dxfId="463" priority="4" stopIfTrue="1" operator="equal">
      <formula>0</formula>
    </cfRule>
  </conditionalFormatting>
  <conditionalFormatting sqref="K8:K18">
    <cfRule type="cellIs" dxfId="462" priority="3" stopIfTrue="1" operator="equal">
      <formula>0</formula>
    </cfRule>
  </conditionalFormatting>
  <conditionalFormatting sqref="L8:L18">
    <cfRule type="cellIs" dxfId="461" priority="2" stopIfTrue="1" operator="equal">
      <formula>0</formula>
    </cfRule>
  </conditionalFormatting>
  <conditionalFormatting sqref="M8:M18">
    <cfRule type="cellIs" dxfId="46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0764-CDC9-4E19-B328-A20D37C5228F}">
  <dimension ref="A1:E20"/>
  <sheetViews>
    <sheetView zoomScale="118" zoomScaleNormal="100" workbookViewId="0">
      <selection activeCell="C19" sqref="C19"/>
    </sheetView>
  </sheetViews>
  <sheetFormatPr defaultRowHeight="12.75" x14ac:dyDescent="0.2"/>
  <cols>
    <col min="1" max="1" width="25.85546875" style="8" customWidth="1"/>
    <col min="2" max="2" width="13.5703125" style="8" customWidth="1"/>
    <col min="3" max="5" width="15.42578125" style="8" customWidth="1"/>
    <col min="6" max="16384" width="9.140625" style="8"/>
  </cols>
  <sheetData>
    <row r="1" spans="1:5" x14ac:dyDescent="0.2">
      <c r="A1" s="119" t="s">
        <v>34</v>
      </c>
      <c r="B1" s="119"/>
      <c r="C1" s="119"/>
      <c r="D1" s="119"/>
      <c r="E1" s="119"/>
    </row>
    <row r="2" spans="1:5" x14ac:dyDescent="0.2">
      <c r="A2" s="27"/>
      <c r="B2" s="27"/>
      <c r="C2" s="28"/>
      <c r="D2" s="28"/>
      <c r="E2" s="28" t="s">
        <v>32</v>
      </c>
    </row>
    <row r="3" spans="1:5" x14ac:dyDescent="0.2">
      <c r="A3" s="27" t="s">
        <v>291</v>
      </c>
      <c r="B3" s="27"/>
      <c r="C3" s="27"/>
      <c r="D3" s="27"/>
      <c r="E3" s="27"/>
    </row>
    <row r="4" spans="1:5" s="16" customFormat="1" x14ac:dyDescent="0.2">
      <c r="A4" s="123" t="s">
        <v>30</v>
      </c>
      <c r="B4" s="181" t="s">
        <v>527</v>
      </c>
      <c r="C4" s="181"/>
      <c r="D4" s="181"/>
      <c r="E4" s="181"/>
    </row>
    <row r="5" spans="1:5" s="16" customFormat="1" ht="12" customHeight="1" x14ac:dyDescent="0.2">
      <c r="A5" s="123"/>
      <c r="B5" s="39" t="s">
        <v>47</v>
      </c>
      <c r="C5" s="121" t="s">
        <v>266</v>
      </c>
      <c r="D5" s="121"/>
      <c r="E5" s="121"/>
    </row>
    <row r="6" spans="1:5" s="16" customFormat="1" ht="26.45" customHeight="1" x14ac:dyDescent="0.2">
      <c r="A6" s="123"/>
      <c r="B6" s="91" t="s">
        <v>265</v>
      </c>
      <c r="C6" s="34" t="s">
        <v>260</v>
      </c>
      <c r="D6" s="34" t="s">
        <v>262</v>
      </c>
      <c r="E6" s="34" t="s">
        <v>263</v>
      </c>
    </row>
    <row r="7" spans="1:5" s="6" customFormat="1" ht="20.45" customHeight="1" x14ac:dyDescent="0.2">
      <c r="A7" s="69" t="s">
        <v>0</v>
      </c>
      <c r="B7" s="49">
        <f>C7+D7+E7</f>
        <v>48918.526348233223</v>
      </c>
      <c r="C7" s="49">
        <v>16661.430437088013</v>
      </c>
      <c r="D7" s="49">
        <v>19012.482021450996</v>
      </c>
      <c r="E7" s="49">
        <v>13244.613889694214</v>
      </c>
    </row>
    <row r="8" spans="1:5" s="6" customFormat="1" ht="20.45" customHeight="1" x14ac:dyDescent="0.2">
      <c r="A8" s="29" t="s">
        <v>1</v>
      </c>
      <c r="B8" s="51">
        <f t="shared" ref="B8:B18" si="0">C8+D8+E8</f>
        <v>1868099.3346021175</v>
      </c>
      <c r="C8" s="51">
        <v>754406.84071683884</v>
      </c>
      <c r="D8" s="51">
        <v>924579.33604073524</v>
      </c>
      <c r="E8" s="51">
        <v>189113.15784454346</v>
      </c>
    </row>
    <row r="9" spans="1:5" ht="20.45" customHeight="1" x14ac:dyDescent="0.2">
      <c r="A9" s="30" t="s">
        <v>2</v>
      </c>
      <c r="B9" s="53">
        <f t="shared" si="0"/>
        <v>160120.97286081314</v>
      </c>
      <c r="C9" s="53">
        <v>56538.906985878944</v>
      </c>
      <c r="D9" s="53">
        <v>70044.427244901657</v>
      </c>
      <c r="E9" s="53">
        <v>33537.638630032539</v>
      </c>
    </row>
    <row r="10" spans="1:5" ht="20.45" customHeight="1" x14ac:dyDescent="0.2">
      <c r="A10" s="30" t="s">
        <v>3</v>
      </c>
      <c r="B10" s="53">
        <f t="shared" si="0"/>
        <v>283135.92825424671</v>
      </c>
      <c r="C10" s="53">
        <v>110321.79554128647</v>
      </c>
      <c r="D10" s="53">
        <v>138067.24252724648</v>
      </c>
      <c r="E10" s="53">
        <v>34746.890185713768</v>
      </c>
    </row>
    <row r="11" spans="1:5" ht="20.45" customHeight="1" x14ac:dyDescent="0.2">
      <c r="A11" s="30" t="s">
        <v>4</v>
      </c>
      <c r="B11" s="53">
        <f t="shared" si="0"/>
        <v>684075.13783168793</v>
      </c>
      <c r="C11" s="53">
        <v>274985.23598694801</v>
      </c>
      <c r="D11" s="53">
        <v>342279.05440151691</v>
      </c>
      <c r="E11" s="53">
        <v>66810.847443223</v>
      </c>
    </row>
    <row r="12" spans="1:5" ht="20.45" customHeight="1" x14ac:dyDescent="0.2">
      <c r="A12" s="30" t="s">
        <v>5</v>
      </c>
      <c r="B12" s="53">
        <f t="shared" si="0"/>
        <v>472356.63191211224</v>
      </c>
      <c r="C12" s="53">
        <v>198797.03470206261</v>
      </c>
      <c r="D12" s="53">
        <v>237622.59918141365</v>
      </c>
      <c r="E12" s="53">
        <v>35936.998028635979</v>
      </c>
    </row>
    <row r="13" spans="1:5" ht="20.45" customHeight="1" x14ac:dyDescent="0.2">
      <c r="A13" s="30" t="s">
        <v>6</v>
      </c>
      <c r="B13" s="53">
        <f t="shared" si="0"/>
        <v>211962.14993238449</v>
      </c>
      <c r="C13" s="53">
        <v>90756.306318163872</v>
      </c>
      <c r="D13" s="53">
        <v>107028.6796309948</v>
      </c>
      <c r="E13" s="53">
        <v>14177.163983225822</v>
      </c>
    </row>
    <row r="14" spans="1:5" ht="20.45" customHeight="1" x14ac:dyDescent="0.2">
      <c r="A14" s="30" t="s">
        <v>7</v>
      </c>
      <c r="B14" s="53">
        <f t="shared" si="0"/>
        <v>38813.235405087471</v>
      </c>
      <c r="C14" s="53">
        <v>16182.955824613571</v>
      </c>
      <c r="D14" s="53">
        <v>20141.071069836617</v>
      </c>
      <c r="E14" s="53">
        <v>2489.2085106372833</v>
      </c>
    </row>
    <row r="15" spans="1:5" ht="20.45" customHeight="1" x14ac:dyDescent="0.2">
      <c r="A15" s="30" t="s">
        <v>8</v>
      </c>
      <c r="B15" s="53">
        <f t="shared" si="0"/>
        <v>11458.40880215168</v>
      </c>
      <c r="C15" s="53">
        <v>4483.3700942993164</v>
      </c>
      <c r="D15" s="53">
        <v>6102.0463669300079</v>
      </c>
      <c r="E15" s="53">
        <v>872.99234092235565</v>
      </c>
    </row>
    <row r="16" spans="1:5" ht="20.45" customHeight="1" x14ac:dyDescent="0.2">
      <c r="A16" s="30" t="s">
        <v>9</v>
      </c>
      <c r="B16" s="53">
        <f t="shared" si="0"/>
        <v>3234.3355054855347</v>
      </c>
      <c r="C16" s="53">
        <v>1208.8108468055725</v>
      </c>
      <c r="D16" s="53">
        <v>1646.330979347229</v>
      </c>
      <c r="E16" s="53">
        <v>379.19367933273315</v>
      </c>
    </row>
    <row r="17" spans="1:5" ht="20.45" customHeight="1" x14ac:dyDescent="0.2">
      <c r="A17" s="30" t="s">
        <v>10</v>
      </c>
      <c r="B17" s="53">
        <f t="shared" si="0"/>
        <v>2583.1842894554138</v>
      </c>
      <c r="C17" s="53">
        <v>999.47204184532166</v>
      </c>
      <c r="D17" s="53">
        <v>1450.3168890476227</v>
      </c>
      <c r="E17" s="53">
        <v>133.39535856246948</v>
      </c>
    </row>
    <row r="18" spans="1:5" ht="20.45" customHeight="1" x14ac:dyDescent="0.2">
      <c r="A18" s="30" t="s">
        <v>11</v>
      </c>
      <c r="B18" s="53">
        <f t="shared" si="0"/>
        <v>359.34980869293213</v>
      </c>
      <c r="C18" s="53">
        <v>132.95237493515015</v>
      </c>
      <c r="D18" s="53">
        <v>197.56774950027466</v>
      </c>
      <c r="E18" s="53">
        <v>28.829684257507324</v>
      </c>
    </row>
    <row r="19" spans="1:5" s="6" customFormat="1" ht="20.45" customHeight="1" x14ac:dyDescent="0.2">
      <c r="A19" s="31" t="s">
        <v>12</v>
      </c>
      <c r="B19" s="25">
        <f>B7+B8</f>
        <v>1917017.8609503508</v>
      </c>
      <c r="C19" s="25">
        <f>C7+C8</f>
        <v>771068.27115392685</v>
      </c>
      <c r="D19" s="25">
        <f>D7+D8</f>
        <v>943591.81806218624</v>
      </c>
      <c r="E19" s="25">
        <f>E7+E8</f>
        <v>202357.77173423767</v>
      </c>
    </row>
    <row r="20" spans="1:5" ht="12" customHeight="1" x14ac:dyDescent="0.2"/>
  </sheetData>
  <mergeCells count="4">
    <mergeCell ref="A1:E1"/>
    <mergeCell ref="A4:A6"/>
    <mergeCell ref="B4:E4"/>
    <mergeCell ref="C5:E5"/>
  </mergeCells>
  <conditionalFormatting sqref="B7:E19">
    <cfRule type="cellIs" dxfId="45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E444-28EF-48D6-98CB-4D4913E463C0}">
  <sheetPr codeName="Sheet63"/>
  <dimension ref="A1:O20"/>
  <sheetViews>
    <sheetView zoomScale="95" zoomScaleNormal="155" workbookViewId="0">
      <selection activeCell="A4" sqref="A4:A6"/>
    </sheetView>
  </sheetViews>
  <sheetFormatPr defaultColWidth="8.85546875" defaultRowHeight="12.75" x14ac:dyDescent="0.2"/>
  <cols>
    <col min="1" max="1" width="23.85546875" style="18" bestFit="1" customWidth="1"/>
    <col min="2" max="2" width="10.5703125" style="18" customWidth="1"/>
    <col min="3" max="3" width="11" style="18" customWidth="1"/>
    <col min="4" max="4" width="11.85546875" style="18" customWidth="1"/>
    <col min="5" max="5" width="9.5703125" style="18" customWidth="1"/>
    <col min="6" max="6" width="11.85546875" style="18" customWidth="1"/>
    <col min="7" max="7" width="11.140625" style="18" customWidth="1"/>
    <col min="8" max="8" width="11.85546875" style="18" customWidth="1"/>
    <col min="9" max="9" width="10.5703125" style="18" customWidth="1"/>
    <col min="10" max="10" width="11.85546875" style="18" customWidth="1"/>
    <col min="11" max="11" width="9.140625" style="18" customWidth="1"/>
    <col min="12" max="12" width="10.140625" style="18" customWidth="1"/>
    <col min="13" max="13" width="10.85546875" style="18" customWidth="1"/>
    <col min="14" max="15" width="11.85546875" style="18" customWidth="1"/>
    <col min="16" max="16384" width="8.85546875" style="18"/>
  </cols>
  <sheetData>
    <row r="1" spans="1:15" x14ac:dyDescent="0.2">
      <c r="A1" s="188" t="s">
        <v>34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2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4"/>
      <c r="N2" s="84"/>
      <c r="O2" s="85" t="s">
        <v>32</v>
      </c>
    </row>
    <row r="3" spans="1:15" ht="16.5" customHeight="1" x14ac:dyDescent="0.2">
      <c r="A3" s="86" t="s">
        <v>440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s="20" customFormat="1" ht="21" customHeight="1" x14ac:dyDescent="0.2">
      <c r="A4" s="190" t="s">
        <v>30</v>
      </c>
      <c r="B4" s="195" t="s">
        <v>295</v>
      </c>
      <c r="C4" s="195"/>
      <c r="D4" s="195"/>
      <c r="E4" s="195"/>
      <c r="F4" s="195"/>
      <c r="G4" s="195"/>
      <c r="H4" s="195"/>
      <c r="I4" s="195" t="s">
        <v>294</v>
      </c>
      <c r="J4" s="195"/>
      <c r="K4" s="195"/>
      <c r="L4" s="195"/>
      <c r="M4" s="195"/>
      <c r="N4" s="195"/>
      <c r="O4" s="195"/>
    </row>
    <row r="5" spans="1:15" s="20" customFormat="1" ht="21" customHeight="1" x14ac:dyDescent="0.2">
      <c r="A5" s="190"/>
      <c r="B5" s="187" t="s">
        <v>293</v>
      </c>
      <c r="C5" s="195" t="s">
        <v>438</v>
      </c>
      <c r="D5" s="195"/>
      <c r="E5" s="195"/>
      <c r="F5" s="195" t="s">
        <v>439</v>
      </c>
      <c r="G5" s="195"/>
      <c r="H5" s="195"/>
      <c r="I5" s="187" t="s">
        <v>293</v>
      </c>
      <c r="J5" s="195" t="s">
        <v>438</v>
      </c>
      <c r="K5" s="195"/>
      <c r="L5" s="195"/>
      <c r="M5" s="195" t="s">
        <v>439</v>
      </c>
      <c r="N5" s="195"/>
      <c r="O5" s="195"/>
    </row>
    <row r="6" spans="1:15" s="20" customFormat="1" ht="40.700000000000003" customHeight="1" x14ac:dyDescent="0.2">
      <c r="A6" s="190"/>
      <c r="B6" s="187"/>
      <c r="C6" s="87" t="s">
        <v>47</v>
      </c>
      <c r="D6" s="87" t="s">
        <v>38</v>
      </c>
      <c r="E6" s="87" t="s">
        <v>83</v>
      </c>
      <c r="F6" s="87" t="s">
        <v>296</v>
      </c>
      <c r="G6" s="87" t="s">
        <v>297</v>
      </c>
      <c r="H6" s="87" t="s">
        <v>298</v>
      </c>
      <c r="I6" s="187"/>
      <c r="J6" s="87" t="s">
        <v>47</v>
      </c>
      <c r="K6" s="87" t="s">
        <v>38</v>
      </c>
      <c r="L6" s="87" t="s">
        <v>83</v>
      </c>
      <c r="M6" s="87" t="s">
        <v>296</v>
      </c>
      <c r="N6" s="87" t="s">
        <v>297</v>
      </c>
      <c r="O6" s="87" t="s">
        <v>298</v>
      </c>
    </row>
    <row r="7" spans="1:15" s="19" customFormat="1" ht="20.45" customHeight="1" x14ac:dyDescent="0.2">
      <c r="A7" s="69" t="s">
        <v>0</v>
      </c>
      <c r="B7" s="49">
        <v>80269.149567723274</v>
      </c>
      <c r="C7" s="49">
        <v>92311.908230185174</v>
      </c>
      <c r="D7" s="49">
        <v>89831.480401158129</v>
      </c>
      <c r="E7" s="49">
        <v>2480.42782902717</v>
      </c>
      <c r="F7" s="49">
        <v>26580.666386008277</v>
      </c>
      <c r="G7" s="49">
        <v>49130.296107173053</v>
      </c>
      <c r="H7" s="49">
        <v>16600.945737004226</v>
      </c>
      <c r="I7" s="49">
        <v>28410.211935758591</v>
      </c>
      <c r="J7" s="49">
        <v>32823.123744487762</v>
      </c>
      <c r="K7" s="49">
        <v>32146.893500685794</v>
      </c>
      <c r="L7" s="49">
        <v>676.23024380207448</v>
      </c>
      <c r="M7" s="49">
        <v>12361.222436547316</v>
      </c>
      <c r="N7" s="49">
        <v>16060.86072480676</v>
      </c>
      <c r="O7" s="49">
        <v>4401.0405831337239</v>
      </c>
    </row>
    <row r="8" spans="1:15" s="19" customFormat="1" ht="20.45" customHeight="1" x14ac:dyDescent="0.2">
      <c r="A8" s="29" t="s">
        <v>1</v>
      </c>
      <c r="B8" s="51">
        <v>2526372.6774709225</v>
      </c>
      <c r="C8" s="51">
        <v>3152762.1598108136</v>
      </c>
      <c r="D8" s="51">
        <v>3107281.8274446134</v>
      </c>
      <c r="E8" s="51">
        <v>45480.332366108174</v>
      </c>
      <c r="F8" s="51">
        <v>872825.09133004677</v>
      </c>
      <c r="G8" s="51">
        <v>1735993.5096596496</v>
      </c>
      <c r="H8" s="51">
        <v>543943.5588210891</v>
      </c>
      <c r="I8" s="51">
        <v>1035518.1065741777</v>
      </c>
      <c r="J8" s="51">
        <v>1112093.6958335605</v>
      </c>
      <c r="K8" s="51">
        <v>1100968.1339141238</v>
      </c>
      <c r="L8" s="51">
        <v>11125.561919450703</v>
      </c>
      <c r="M8" s="51">
        <v>342174.78363752848</v>
      </c>
      <c r="N8" s="51">
        <v>602942.64247774112</v>
      </c>
      <c r="O8" s="51">
        <v>166976.26971829039</v>
      </c>
    </row>
    <row r="9" spans="1:15" ht="20.45" customHeight="1" x14ac:dyDescent="0.2">
      <c r="A9" s="30" t="s">
        <v>2</v>
      </c>
      <c r="B9" s="53">
        <v>181498.95168113708</v>
      </c>
      <c r="C9" s="53">
        <v>202043.24045157427</v>
      </c>
      <c r="D9" s="53">
        <v>197986.49585211335</v>
      </c>
      <c r="E9" s="53">
        <v>4056.7445994615464</v>
      </c>
      <c r="F9" s="53">
        <v>54920.815568804945</v>
      </c>
      <c r="G9" s="53">
        <v>107709.85259139468</v>
      </c>
      <c r="H9" s="53">
        <v>39412.57229137433</v>
      </c>
      <c r="I9" s="53">
        <v>85908.271391510963</v>
      </c>
      <c r="J9" s="53">
        <v>91062.570583224136</v>
      </c>
      <c r="K9" s="53">
        <v>89631.343397736564</v>
      </c>
      <c r="L9" s="53">
        <v>1431.2271854877379</v>
      </c>
      <c r="M9" s="53">
        <v>32241.65965569008</v>
      </c>
      <c r="N9" s="53">
        <v>45480.105082750189</v>
      </c>
      <c r="O9" s="53">
        <v>13340.805844783819</v>
      </c>
    </row>
    <row r="10" spans="1:15" ht="20.45" customHeight="1" x14ac:dyDescent="0.2">
      <c r="A10" s="30" t="s">
        <v>3</v>
      </c>
      <c r="B10" s="53">
        <v>351720.55974364281</v>
      </c>
      <c r="C10" s="53">
        <v>406645.6287734512</v>
      </c>
      <c r="D10" s="53">
        <v>399807.53140163404</v>
      </c>
      <c r="E10" s="53">
        <v>6838.0973718167006</v>
      </c>
      <c r="F10" s="53">
        <v>111447.15807497436</v>
      </c>
      <c r="G10" s="53">
        <v>219555.608892441</v>
      </c>
      <c r="H10" s="53">
        <v>75642.86180603542</v>
      </c>
      <c r="I10" s="53">
        <v>141707.70981752872</v>
      </c>
      <c r="J10" s="53">
        <v>149311.4701354503</v>
      </c>
      <c r="K10" s="53">
        <v>147681.02238631135</v>
      </c>
      <c r="L10" s="53">
        <v>1630.4477491378807</v>
      </c>
      <c r="M10" s="53">
        <v>48424.155887961409</v>
      </c>
      <c r="N10" s="53">
        <v>77826.435580849313</v>
      </c>
      <c r="O10" s="53">
        <v>23060.878666639343</v>
      </c>
    </row>
    <row r="11" spans="1:15" ht="20.45" customHeight="1" x14ac:dyDescent="0.2">
      <c r="A11" s="30" t="s">
        <v>4</v>
      </c>
      <c r="B11" s="53">
        <v>912728.90506565571</v>
      </c>
      <c r="C11" s="53">
        <v>1112448.7324769392</v>
      </c>
      <c r="D11" s="53">
        <v>1095891.4472935202</v>
      </c>
      <c r="E11" s="53">
        <v>16557.285183429874</v>
      </c>
      <c r="F11" s="53">
        <v>311450.39601362206</v>
      </c>
      <c r="G11" s="53">
        <v>610176.09206914902</v>
      </c>
      <c r="H11" s="53">
        <v>190822.24439418691</v>
      </c>
      <c r="I11" s="53">
        <v>369490.47842621803</v>
      </c>
      <c r="J11" s="53">
        <v>393030.94789385551</v>
      </c>
      <c r="K11" s="53">
        <v>389107.16590964928</v>
      </c>
      <c r="L11" s="53">
        <v>3923.7819842100002</v>
      </c>
      <c r="M11" s="53">
        <v>123082.3232982167</v>
      </c>
      <c r="N11" s="53">
        <v>211036.76017940071</v>
      </c>
      <c r="O11" s="53">
        <v>58911.86441624217</v>
      </c>
    </row>
    <row r="12" spans="1:15" ht="20.45" customHeight="1" x14ac:dyDescent="0.2">
      <c r="A12" s="30" t="s">
        <v>5</v>
      </c>
      <c r="B12" s="53">
        <v>670525.81789243221</v>
      </c>
      <c r="C12" s="53">
        <v>864766.39331840759</v>
      </c>
      <c r="D12" s="53">
        <v>853356.63570475858</v>
      </c>
      <c r="E12" s="53">
        <v>11409.757613658923</v>
      </c>
      <c r="F12" s="53">
        <v>236477.94381427573</v>
      </c>
      <c r="G12" s="53">
        <v>483812.77905642695</v>
      </c>
      <c r="H12" s="53">
        <v>144475.6704477061</v>
      </c>
      <c r="I12" s="53">
        <v>272832.56256055832</v>
      </c>
      <c r="J12" s="53">
        <v>294126.75562024215</v>
      </c>
      <c r="K12" s="53">
        <v>291501.93200217967</v>
      </c>
      <c r="L12" s="53">
        <v>2624.8236180544163</v>
      </c>
      <c r="M12" s="53">
        <v>85645.099802254626</v>
      </c>
      <c r="N12" s="53">
        <v>163973.04855823508</v>
      </c>
      <c r="O12" s="53">
        <v>44508.607259751232</v>
      </c>
    </row>
    <row r="13" spans="1:15" ht="20.45" customHeight="1" x14ac:dyDescent="0.2">
      <c r="A13" s="30" t="s">
        <v>6</v>
      </c>
      <c r="B13" s="53">
        <v>318116.17604064941</v>
      </c>
      <c r="C13" s="53">
        <v>435910.27677023329</v>
      </c>
      <c r="D13" s="53">
        <v>430644.9106832706</v>
      </c>
      <c r="E13" s="53">
        <v>5265.366086959858</v>
      </c>
      <c r="F13" s="53">
        <v>119899.44953310436</v>
      </c>
      <c r="G13" s="53">
        <v>242978.37457537744</v>
      </c>
      <c r="H13" s="53">
        <v>73032.452661753225</v>
      </c>
      <c r="I13" s="53">
        <v>129446.65090417862</v>
      </c>
      <c r="J13" s="53">
        <v>142602.76742720621</v>
      </c>
      <c r="K13" s="53">
        <v>141474.17425799387</v>
      </c>
      <c r="L13" s="53">
        <v>1128.5931692123388</v>
      </c>
      <c r="M13" s="53">
        <v>40763.585895538119</v>
      </c>
      <c r="N13" s="53">
        <v>80479.135978221893</v>
      </c>
      <c r="O13" s="53">
        <v>21360.045553445772</v>
      </c>
    </row>
    <row r="14" spans="1:15" ht="20.45" customHeight="1" x14ac:dyDescent="0.2">
      <c r="A14" s="30" t="s">
        <v>7</v>
      </c>
      <c r="B14" s="53">
        <v>61921.747162699699</v>
      </c>
      <c r="C14" s="53">
        <v>87337.481297969891</v>
      </c>
      <c r="D14" s="53">
        <v>86274.730425595946</v>
      </c>
      <c r="E14" s="53">
        <v>1062.7508723735818</v>
      </c>
      <c r="F14" s="53">
        <v>24142.078923821475</v>
      </c>
      <c r="G14" s="53">
        <v>49366.378679871414</v>
      </c>
      <c r="H14" s="53">
        <v>13829.023694276859</v>
      </c>
      <c r="I14" s="53">
        <v>24720.185728311539</v>
      </c>
      <c r="J14" s="53">
        <v>28173.660871624987</v>
      </c>
      <c r="K14" s="53">
        <v>27854.992769360451</v>
      </c>
      <c r="L14" s="53">
        <v>318.66810226440469</v>
      </c>
      <c r="M14" s="53">
        <v>7385.9945929050364</v>
      </c>
      <c r="N14" s="53">
        <v>16772.803386092241</v>
      </c>
      <c r="O14" s="53">
        <v>4014.8628926277061</v>
      </c>
    </row>
    <row r="15" spans="1:15" ht="20.45" customHeight="1" x14ac:dyDescent="0.2">
      <c r="A15" s="30" t="s">
        <v>8</v>
      </c>
      <c r="B15" s="53">
        <v>19007.244272351265</v>
      </c>
      <c r="C15" s="53">
        <v>27662.928104996692</v>
      </c>
      <c r="D15" s="53">
        <v>27455.304085850756</v>
      </c>
      <c r="E15" s="53">
        <v>207.62401914596563</v>
      </c>
      <c r="F15" s="53">
        <v>8819.4018989801334</v>
      </c>
      <c r="G15" s="53">
        <v>14545.310160160063</v>
      </c>
      <c r="H15" s="53">
        <v>4298.2160458564767</v>
      </c>
      <c r="I15" s="53">
        <v>7569.24291908741</v>
      </c>
      <c r="J15" s="53">
        <v>8904.4039541482944</v>
      </c>
      <c r="K15" s="53">
        <v>8860.7850891351936</v>
      </c>
      <c r="L15" s="53">
        <v>43.61886501312253</v>
      </c>
      <c r="M15" s="53">
        <v>2783.6789567470582</v>
      </c>
      <c r="N15" s="53">
        <v>4966.8233283758145</v>
      </c>
      <c r="O15" s="53">
        <v>1153.90166902542</v>
      </c>
    </row>
    <row r="16" spans="1:15" ht="20.45" customHeight="1" x14ac:dyDescent="0.2">
      <c r="A16" s="30" t="s">
        <v>9</v>
      </c>
      <c r="B16" s="53">
        <v>5509.3490974903107</v>
      </c>
      <c r="C16" s="53">
        <v>8154.0800268650073</v>
      </c>
      <c r="D16" s="53">
        <v>8143.0447590351096</v>
      </c>
      <c r="E16" s="53">
        <v>11.035267829895009</v>
      </c>
      <c r="F16" s="53">
        <v>2716.55323600769</v>
      </c>
      <c r="G16" s="53">
        <v>4112.0215570926648</v>
      </c>
      <c r="H16" s="53">
        <v>1325.5052337646475</v>
      </c>
      <c r="I16" s="53">
        <v>2018.0817940235138</v>
      </c>
      <c r="J16" s="53">
        <v>2457.6756017208108</v>
      </c>
      <c r="K16" s="53">
        <v>2457.6756017208118</v>
      </c>
      <c r="L16" s="53">
        <v>0</v>
      </c>
      <c r="M16" s="53">
        <v>869.46482944488434</v>
      </c>
      <c r="N16" s="53">
        <v>1148.6153938770285</v>
      </c>
      <c r="O16" s="53">
        <v>439.59537839889572</v>
      </c>
    </row>
    <row r="17" spans="1:15" ht="20.45" customHeight="1" x14ac:dyDescent="0.2">
      <c r="A17" s="30" t="s">
        <v>10</v>
      </c>
      <c r="B17" s="53">
        <v>4695.6307995319366</v>
      </c>
      <c r="C17" s="53">
        <v>6855.0960433483133</v>
      </c>
      <c r="D17" s="53">
        <v>6796.7701451778439</v>
      </c>
      <c r="E17" s="53">
        <v>58.325898170471135</v>
      </c>
      <c r="F17" s="53">
        <v>2465.6952693462381</v>
      </c>
      <c r="G17" s="53">
        <v>3326.3703551292447</v>
      </c>
      <c r="H17" s="53">
        <v>1063.0304188728351</v>
      </c>
      <c r="I17" s="53">
        <v>1644.6377167701721</v>
      </c>
      <c r="J17" s="53">
        <v>2166.8460316658015</v>
      </c>
      <c r="K17" s="53">
        <v>2155.7902388572684</v>
      </c>
      <c r="L17" s="53">
        <v>11.055792808532715</v>
      </c>
      <c r="M17" s="53">
        <v>916.44197177887054</v>
      </c>
      <c r="N17" s="53">
        <v>1080.6635489463815</v>
      </c>
      <c r="O17" s="53">
        <v>169.74051094055162</v>
      </c>
    </row>
    <row r="18" spans="1:15" ht="20.45" customHeight="1" x14ac:dyDescent="0.2">
      <c r="A18" s="30" t="s">
        <v>11</v>
      </c>
      <c r="B18" s="53">
        <v>648.29571533203125</v>
      </c>
      <c r="C18" s="53">
        <v>938.30254697799683</v>
      </c>
      <c r="D18" s="53">
        <v>924.9570937156675</v>
      </c>
      <c r="E18" s="53">
        <v>13.3454532623291</v>
      </c>
      <c r="F18" s="53">
        <v>485.59899711608887</v>
      </c>
      <c r="G18" s="53">
        <v>410.72172260284407</v>
      </c>
      <c r="H18" s="53">
        <v>41.981827259063714</v>
      </c>
      <c r="I18" s="53">
        <v>180.285315990448</v>
      </c>
      <c r="J18" s="53">
        <v>256.5977144241333</v>
      </c>
      <c r="K18" s="53">
        <v>243.25226116180411</v>
      </c>
      <c r="L18" s="53">
        <v>13.3454532623291</v>
      </c>
      <c r="M18" s="53">
        <v>62.378746986389167</v>
      </c>
      <c r="N18" s="53">
        <v>178.25144100189212</v>
      </c>
      <c r="O18" s="53">
        <v>15.967526435852047</v>
      </c>
    </row>
    <row r="19" spans="1:15" s="19" customFormat="1" ht="20.45" customHeight="1" x14ac:dyDescent="0.2">
      <c r="A19" s="31" t="s">
        <v>12</v>
      </c>
      <c r="B19" s="25">
        <f>B7+B8</f>
        <v>2606641.8270386457</v>
      </c>
      <c r="C19" s="25">
        <f t="shared" ref="C19:O19" si="0">C7+C8</f>
        <v>3245074.0680409987</v>
      </c>
      <c r="D19" s="25">
        <f t="shared" si="0"/>
        <v>3197113.3078457718</v>
      </c>
      <c r="E19" s="25">
        <f t="shared" si="0"/>
        <v>47960.760195135343</v>
      </c>
      <c r="F19" s="25">
        <f t="shared" si="0"/>
        <v>899405.75771605503</v>
      </c>
      <c r="G19" s="25">
        <f t="shared" si="0"/>
        <v>1785123.8057668225</v>
      </c>
      <c r="H19" s="25">
        <f t="shared" si="0"/>
        <v>560544.50455809338</v>
      </c>
      <c r="I19" s="25">
        <f t="shared" si="0"/>
        <v>1063928.3185099363</v>
      </c>
      <c r="J19" s="25">
        <f t="shared" si="0"/>
        <v>1144916.8195780483</v>
      </c>
      <c r="K19" s="25">
        <f t="shared" si="0"/>
        <v>1133115.0274148094</v>
      </c>
      <c r="L19" s="25">
        <f t="shared" si="0"/>
        <v>11801.792163252778</v>
      </c>
      <c r="M19" s="25">
        <f t="shared" si="0"/>
        <v>354536.00607407582</v>
      </c>
      <c r="N19" s="25">
        <f t="shared" si="0"/>
        <v>619003.5032025479</v>
      </c>
      <c r="O19" s="25">
        <f t="shared" si="0"/>
        <v>171377.31030142412</v>
      </c>
    </row>
    <row r="20" spans="1:15" ht="12" customHeight="1" x14ac:dyDescent="0.2">
      <c r="A20" s="63" t="s">
        <v>551</v>
      </c>
    </row>
  </sheetData>
  <mergeCells count="10">
    <mergeCell ref="A4:A6"/>
    <mergeCell ref="A1:O1"/>
    <mergeCell ref="B4:H4"/>
    <mergeCell ref="I4:O4"/>
    <mergeCell ref="C5:E5"/>
    <mergeCell ref="F5:H5"/>
    <mergeCell ref="J5:L5"/>
    <mergeCell ref="M5:O5"/>
    <mergeCell ref="B5:B6"/>
    <mergeCell ref="I5:I6"/>
  </mergeCells>
  <conditionalFormatting sqref="B7:B19">
    <cfRule type="cellIs" dxfId="458" priority="14" stopIfTrue="1" operator="equal">
      <formula>0</formula>
    </cfRule>
  </conditionalFormatting>
  <conditionalFormatting sqref="C7:C19">
    <cfRule type="cellIs" dxfId="457" priority="13" stopIfTrue="1" operator="equal">
      <formula>0</formula>
    </cfRule>
  </conditionalFormatting>
  <conditionalFormatting sqref="D7:D19">
    <cfRule type="cellIs" dxfId="456" priority="12" stopIfTrue="1" operator="equal">
      <formula>0</formula>
    </cfRule>
  </conditionalFormatting>
  <conditionalFormatting sqref="E7:E19">
    <cfRule type="cellIs" dxfId="455" priority="11" stopIfTrue="1" operator="equal">
      <formula>0</formula>
    </cfRule>
  </conditionalFormatting>
  <conditionalFormatting sqref="F7:F19">
    <cfRule type="cellIs" dxfId="454" priority="10" stopIfTrue="1" operator="equal">
      <formula>0</formula>
    </cfRule>
  </conditionalFormatting>
  <conditionalFormatting sqref="G7:G19">
    <cfRule type="cellIs" dxfId="453" priority="9" stopIfTrue="1" operator="equal">
      <formula>0</formula>
    </cfRule>
  </conditionalFormatting>
  <conditionalFormatting sqref="H7:H19">
    <cfRule type="cellIs" dxfId="452" priority="8" stopIfTrue="1" operator="equal">
      <formula>0</formula>
    </cfRule>
  </conditionalFormatting>
  <conditionalFormatting sqref="I7:I19">
    <cfRule type="cellIs" dxfId="451" priority="7" stopIfTrue="1" operator="equal">
      <formula>0</formula>
    </cfRule>
  </conditionalFormatting>
  <conditionalFormatting sqref="J7:J19">
    <cfRule type="cellIs" dxfId="450" priority="6" stopIfTrue="1" operator="equal">
      <formula>0</formula>
    </cfRule>
  </conditionalFormatting>
  <conditionalFormatting sqref="K7:K19">
    <cfRule type="cellIs" dxfId="449" priority="5" stopIfTrue="1" operator="equal">
      <formula>0</formula>
    </cfRule>
  </conditionalFormatting>
  <conditionalFormatting sqref="L7:L19">
    <cfRule type="cellIs" dxfId="448" priority="4" stopIfTrue="1" operator="equal">
      <formula>0</formula>
    </cfRule>
  </conditionalFormatting>
  <conditionalFormatting sqref="M7:M19">
    <cfRule type="cellIs" dxfId="447" priority="3" stopIfTrue="1" operator="equal">
      <formula>0</formula>
    </cfRule>
  </conditionalFormatting>
  <conditionalFormatting sqref="N7:N19">
    <cfRule type="cellIs" dxfId="446" priority="2" stopIfTrue="1" operator="equal">
      <formula>0</formula>
    </cfRule>
  </conditionalFormatting>
  <conditionalFormatting sqref="O7:O19">
    <cfRule type="cellIs" dxfId="445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75" firstPageNumber="63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A679-A70C-46F8-B970-1A359B5564BF}">
  <sheetPr codeName="Sheet65"/>
  <dimension ref="A1:O20"/>
  <sheetViews>
    <sheetView zoomScale="81" zoomScaleNormal="94" workbookViewId="0">
      <selection activeCell="C19" sqref="C19"/>
    </sheetView>
  </sheetViews>
  <sheetFormatPr defaultColWidth="8.85546875" defaultRowHeight="12.75" x14ac:dyDescent="0.2"/>
  <cols>
    <col min="1" max="1" width="23.85546875" style="18" bestFit="1" customWidth="1"/>
    <col min="2" max="2" width="10.140625" style="18" customWidth="1"/>
    <col min="3" max="3" width="9.5703125" style="18" customWidth="1"/>
    <col min="4" max="4" width="10" style="18" customWidth="1"/>
    <col min="5" max="5" width="8.42578125" style="18" customWidth="1"/>
    <col min="6" max="6" width="11.85546875" style="18" customWidth="1"/>
    <col min="7" max="7" width="11.140625" style="18" customWidth="1"/>
    <col min="8" max="8" width="11.85546875" style="18" customWidth="1"/>
    <col min="9" max="9" width="9.5703125" style="18" customWidth="1"/>
    <col min="10" max="10" width="9.85546875" style="18" customWidth="1"/>
    <col min="11" max="11" width="10.140625" style="18" customWidth="1"/>
    <col min="12" max="12" width="8.140625" style="18" customWidth="1"/>
    <col min="13" max="13" width="10.85546875" style="18" customWidth="1"/>
    <col min="14" max="14" width="9.85546875" style="18" customWidth="1"/>
    <col min="15" max="15" width="12.140625" style="18" customWidth="1"/>
    <col min="16" max="16384" width="8.85546875" style="18"/>
  </cols>
  <sheetData>
    <row r="1" spans="1:15" x14ac:dyDescent="0.2">
      <c r="A1" s="188" t="s">
        <v>34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2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4"/>
      <c r="N2" s="84"/>
      <c r="O2" s="85" t="s">
        <v>32</v>
      </c>
    </row>
    <row r="3" spans="1:15" ht="16.5" customHeight="1" x14ac:dyDescent="0.2">
      <c r="A3" s="86" t="s">
        <v>441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s="20" customFormat="1" ht="21" customHeight="1" x14ac:dyDescent="0.2">
      <c r="A4" s="190" t="s">
        <v>30</v>
      </c>
      <c r="B4" s="195" t="s">
        <v>614</v>
      </c>
      <c r="C4" s="195"/>
      <c r="D4" s="195"/>
      <c r="E4" s="195"/>
      <c r="F4" s="195"/>
      <c r="G4" s="195"/>
      <c r="H4" s="195"/>
      <c r="I4" s="195" t="s">
        <v>299</v>
      </c>
      <c r="J4" s="195"/>
      <c r="K4" s="195"/>
      <c r="L4" s="195"/>
      <c r="M4" s="195"/>
      <c r="N4" s="195"/>
      <c r="O4" s="195"/>
    </row>
    <row r="5" spans="1:15" s="20" customFormat="1" ht="16.5" customHeight="1" x14ac:dyDescent="0.2">
      <c r="A5" s="190"/>
      <c r="B5" s="187" t="s">
        <v>293</v>
      </c>
      <c r="C5" s="195" t="s">
        <v>438</v>
      </c>
      <c r="D5" s="195"/>
      <c r="E5" s="195"/>
      <c r="F5" s="195" t="s">
        <v>439</v>
      </c>
      <c r="G5" s="195"/>
      <c r="H5" s="195"/>
      <c r="I5" s="187" t="s">
        <v>293</v>
      </c>
      <c r="J5" s="195" t="s">
        <v>438</v>
      </c>
      <c r="K5" s="195"/>
      <c r="L5" s="195"/>
      <c r="M5" s="195" t="s">
        <v>439</v>
      </c>
      <c r="N5" s="195"/>
      <c r="O5" s="195"/>
    </row>
    <row r="6" spans="1:15" s="20" customFormat="1" ht="40.700000000000003" customHeight="1" x14ac:dyDescent="0.2">
      <c r="A6" s="190"/>
      <c r="B6" s="187"/>
      <c r="C6" s="87" t="s">
        <v>47</v>
      </c>
      <c r="D6" s="87" t="s">
        <v>38</v>
      </c>
      <c r="E6" s="87" t="s">
        <v>83</v>
      </c>
      <c r="F6" s="87" t="s">
        <v>296</v>
      </c>
      <c r="G6" s="87" t="s">
        <v>297</v>
      </c>
      <c r="H6" s="87" t="s">
        <v>298</v>
      </c>
      <c r="I6" s="187"/>
      <c r="J6" s="87" t="s">
        <v>47</v>
      </c>
      <c r="K6" s="87" t="s">
        <v>38</v>
      </c>
      <c r="L6" s="87" t="s">
        <v>83</v>
      </c>
      <c r="M6" s="87" t="s">
        <v>296</v>
      </c>
      <c r="N6" s="87" t="s">
        <v>297</v>
      </c>
      <c r="O6" s="87" t="s">
        <v>298</v>
      </c>
    </row>
    <row r="7" spans="1:15" s="19" customFormat="1" ht="20.45" customHeight="1" x14ac:dyDescent="0.2">
      <c r="A7" s="69" t="s">
        <v>0</v>
      </c>
      <c r="B7" s="49">
        <v>1864.7173295021057</v>
      </c>
      <c r="C7" s="49">
        <v>2001.6317572593691</v>
      </c>
      <c r="D7" s="49">
        <v>1953.8877935409557</v>
      </c>
      <c r="E7" s="49">
        <v>47.743963718414292</v>
      </c>
      <c r="F7" s="49">
        <v>776.23634052276475</v>
      </c>
      <c r="G7" s="49">
        <v>1116.234697818757</v>
      </c>
      <c r="H7" s="49">
        <v>109.16071891784711</v>
      </c>
      <c r="I7" s="49">
        <v>1743.7076830863953</v>
      </c>
      <c r="J7" s="49">
        <v>2012.752258777618</v>
      </c>
      <c r="K7" s="49">
        <v>1910.0076737403854</v>
      </c>
      <c r="L7" s="49">
        <v>102.7445850372315</v>
      </c>
      <c r="M7" s="49">
        <v>866.32086753845545</v>
      </c>
      <c r="N7" s="49">
        <v>864.11196327209393</v>
      </c>
      <c r="O7" s="49">
        <v>282.31942796707114</v>
      </c>
    </row>
    <row r="8" spans="1:15" s="19" customFormat="1" ht="20.45" customHeight="1" x14ac:dyDescent="0.2">
      <c r="A8" s="29" t="s">
        <v>1</v>
      </c>
      <c r="B8" s="51">
        <v>284102.19058513641</v>
      </c>
      <c r="C8" s="51">
        <v>312180.79037976376</v>
      </c>
      <c r="D8" s="51">
        <v>306939.85429811024</v>
      </c>
      <c r="E8" s="51">
        <v>5240.9360816478957</v>
      </c>
      <c r="F8" s="51">
        <v>172824.55781352596</v>
      </c>
      <c r="G8" s="51">
        <v>117532.43714046256</v>
      </c>
      <c r="H8" s="51">
        <v>21823.79542577266</v>
      </c>
      <c r="I8" s="51">
        <v>78395.806175947189</v>
      </c>
      <c r="J8" s="51">
        <v>88827.400733471179</v>
      </c>
      <c r="K8" s="51">
        <v>87035.615692020292</v>
      </c>
      <c r="L8" s="51">
        <v>1791.7850414514412</v>
      </c>
      <c r="M8" s="51">
        <v>33146.5030783408</v>
      </c>
      <c r="N8" s="51">
        <v>41744.17557275312</v>
      </c>
      <c r="O8" s="51">
        <v>13936.722082376247</v>
      </c>
    </row>
    <row r="9" spans="1:15" ht="20.45" customHeight="1" x14ac:dyDescent="0.2">
      <c r="A9" s="30" t="s">
        <v>2</v>
      </c>
      <c r="B9" s="53">
        <v>12222.815519571304</v>
      </c>
      <c r="C9" s="53">
        <v>12551.951634168598</v>
      </c>
      <c r="D9" s="53">
        <v>12186.460715532301</v>
      </c>
      <c r="E9" s="53">
        <v>365.49091863632265</v>
      </c>
      <c r="F9" s="53">
        <v>7584.7542512416767</v>
      </c>
      <c r="G9" s="53">
        <v>4042.4182324409549</v>
      </c>
      <c r="H9" s="53">
        <v>924.77915048599459</v>
      </c>
      <c r="I9" s="53">
        <v>4753.0507278442383</v>
      </c>
      <c r="J9" s="53">
        <v>5163.2156352996853</v>
      </c>
      <c r="K9" s="53">
        <v>5128.3745746612831</v>
      </c>
      <c r="L9" s="53">
        <v>34.841060638427713</v>
      </c>
      <c r="M9" s="53">
        <v>1848.332431316373</v>
      </c>
      <c r="N9" s="53">
        <v>2459.2148051261861</v>
      </c>
      <c r="O9" s="53">
        <v>855.66839885711954</v>
      </c>
    </row>
    <row r="10" spans="1:15" ht="20.45" customHeight="1" x14ac:dyDescent="0.2">
      <c r="A10" s="30" t="s">
        <v>3</v>
      </c>
      <c r="B10" s="53">
        <v>28705.861216545105</v>
      </c>
      <c r="C10" s="53">
        <v>29684.004198551193</v>
      </c>
      <c r="D10" s="53">
        <v>29108.463767528658</v>
      </c>
      <c r="E10" s="53">
        <v>575.54043102264291</v>
      </c>
      <c r="F10" s="53">
        <v>16142.892821312074</v>
      </c>
      <c r="G10" s="53">
        <v>11249.169052839319</v>
      </c>
      <c r="H10" s="53">
        <v>2291.9423243999477</v>
      </c>
      <c r="I10" s="53">
        <v>8072.3720487356186</v>
      </c>
      <c r="J10" s="53">
        <v>8826.8643473386874</v>
      </c>
      <c r="K10" s="53">
        <v>8500.7679555417672</v>
      </c>
      <c r="L10" s="53">
        <v>326.09639179707131</v>
      </c>
      <c r="M10" s="53">
        <v>3209.8148133754357</v>
      </c>
      <c r="N10" s="53">
        <v>4143.6420756578545</v>
      </c>
      <c r="O10" s="53">
        <v>1473.407458305355</v>
      </c>
    </row>
    <row r="11" spans="1:15" ht="20.45" customHeight="1" x14ac:dyDescent="0.2">
      <c r="A11" s="30" t="s">
        <v>4</v>
      </c>
      <c r="B11" s="53">
        <v>91369.53319478035</v>
      </c>
      <c r="C11" s="53">
        <v>96300.01035237305</v>
      </c>
      <c r="D11" s="53">
        <v>94586.580659866537</v>
      </c>
      <c r="E11" s="53">
        <v>1713.4296925067881</v>
      </c>
      <c r="F11" s="53">
        <v>53524.435289621797</v>
      </c>
      <c r="G11" s="53">
        <v>35457.849654913007</v>
      </c>
      <c r="H11" s="53">
        <v>7317.7254078388605</v>
      </c>
      <c r="I11" s="53">
        <v>22847.706153392792</v>
      </c>
      <c r="J11" s="53">
        <v>25279.817220211084</v>
      </c>
      <c r="K11" s="53">
        <v>24719.818001747004</v>
      </c>
      <c r="L11" s="53">
        <v>559.99921846389759</v>
      </c>
      <c r="M11" s="53">
        <v>9671.8972086906833</v>
      </c>
      <c r="N11" s="53">
        <v>11427.893148899117</v>
      </c>
      <c r="O11" s="53">
        <v>4180.0268626213428</v>
      </c>
    </row>
    <row r="12" spans="1:15" ht="20.45" customHeight="1" x14ac:dyDescent="0.2">
      <c r="A12" s="30" t="s">
        <v>5</v>
      </c>
      <c r="B12" s="53">
        <v>84196.97910797596</v>
      </c>
      <c r="C12" s="53">
        <v>93402.351526021375</v>
      </c>
      <c r="D12" s="53">
        <v>91817.313877821551</v>
      </c>
      <c r="E12" s="53">
        <v>1585.0376482009965</v>
      </c>
      <c r="F12" s="53">
        <v>51532.948628783255</v>
      </c>
      <c r="G12" s="53">
        <v>35790.852615356482</v>
      </c>
      <c r="H12" s="53">
        <v>6078.5502818823343</v>
      </c>
      <c r="I12" s="53">
        <v>21343.84649336338</v>
      </c>
      <c r="J12" s="53">
        <v>23895.534413456953</v>
      </c>
      <c r="K12" s="53">
        <v>23356.199176430579</v>
      </c>
      <c r="L12" s="53">
        <v>539.33523702621733</v>
      </c>
      <c r="M12" s="53">
        <v>8593.2934893370675</v>
      </c>
      <c r="N12" s="53">
        <v>11475.080422401377</v>
      </c>
      <c r="O12" s="53">
        <v>3827.1605017185097</v>
      </c>
    </row>
    <row r="13" spans="1:15" ht="20.45" customHeight="1" x14ac:dyDescent="0.2">
      <c r="A13" s="30" t="s">
        <v>6</v>
      </c>
      <c r="B13" s="53">
        <v>48276.235992789268</v>
      </c>
      <c r="C13" s="53">
        <v>55852.249187469621</v>
      </c>
      <c r="D13" s="53">
        <v>55145.738011360103</v>
      </c>
      <c r="E13" s="53">
        <v>706.51117610931249</v>
      </c>
      <c r="F13" s="53">
        <v>30354.402684688608</v>
      </c>
      <c r="G13" s="53">
        <v>22210.863598346587</v>
      </c>
      <c r="H13" s="53">
        <v>3286.9829044342446</v>
      </c>
      <c r="I13" s="53">
        <v>14433.811292886734</v>
      </c>
      <c r="J13" s="53">
        <v>16810.044204711918</v>
      </c>
      <c r="K13" s="53">
        <v>16567.402965068894</v>
      </c>
      <c r="L13" s="53">
        <v>242.64123964309778</v>
      </c>
      <c r="M13" s="53">
        <v>6257.7423341274507</v>
      </c>
      <c r="N13" s="53">
        <v>8094.322554349942</v>
      </c>
      <c r="O13" s="53">
        <v>2457.9793162345863</v>
      </c>
    </row>
    <row r="14" spans="1:15" ht="20.45" customHeight="1" x14ac:dyDescent="0.2">
      <c r="A14" s="30" t="s">
        <v>7</v>
      </c>
      <c r="B14" s="53">
        <v>11991.199839830399</v>
      </c>
      <c r="C14" s="53">
        <v>14492.351104497902</v>
      </c>
      <c r="D14" s="53">
        <v>14323.911023855189</v>
      </c>
      <c r="E14" s="53">
        <v>168.44008064270014</v>
      </c>
      <c r="F14" s="53">
        <v>7907.4765758514577</v>
      </c>
      <c r="G14" s="53">
        <v>5481.0071871280552</v>
      </c>
      <c r="H14" s="53">
        <v>1103.8673415184016</v>
      </c>
      <c r="I14" s="53">
        <v>3998.0449585914612</v>
      </c>
      <c r="J14" s="53">
        <v>4880.1356806755066</v>
      </c>
      <c r="K14" s="53">
        <v>4807.2463879585239</v>
      </c>
      <c r="L14" s="53">
        <v>72.88929271697998</v>
      </c>
      <c r="M14" s="53">
        <v>1727.9961595535283</v>
      </c>
      <c r="N14" s="53">
        <v>2446.9076466560373</v>
      </c>
      <c r="O14" s="53">
        <v>705.23187446593954</v>
      </c>
    </row>
    <row r="15" spans="1:15" ht="20.45" customHeight="1" x14ac:dyDescent="0.2">
      <c r="A15" s="30" t="s">
        <v>8</v>
      </c>
      <c r="B15" s="53">
        <v>3990.4857103824615</v>
      </c>
      <c r="C15" s="53">
        <v>5137.1493246555347</v>
      </c>
      <c r="D15" s="53">
        <v>5092.4941904544921</v>
      </c>
      <c r="E15" s="53">
        <v>44.655134201049727</v>
      </c>
      <c r="F15" s="53">
        <v>2910.0167536735498</v>
      </c>
      <c r="G15" s="53">
        <v>1809.3962113857212</v>
      </c>
      <c r="H15" s="53">
        <v>417.73635959625159</v>
      </c>
      <c r="I15" s="53">
        <v>1481.7144765853882</v>
      </c>
      <c r="J15" s="53">
        <v>1885.0174975395196</v>
      </c>
      <c r="K15" s="53">
        <v>1885.0174975395173</v>
      </c>
      <c r="L15" s="53">
        <v>0</v>
      </c>
      <c r="M15" s="53">
        <v>851.10539674758695</v>
      </c>
      <c r="N15" s="53">
        <v>835.93501949310394</v>
      </c>
      <c r="O15" s="53">
        <v>197.97708129882801</v>
      </c>
    </row>
    <row r="16" spans="1:15" ht="20.45" customHeight="1" x14ac:dyDescent="0.2">
      <c r="A16" s="30" t="s">
        <v>9</v>
      </c>
      <c r="B16" s="53">
        <v>1401.1875896453857</v>
      </c>
      <c r="C16" s="53">
        <v>2025.8839063644405</v>
      </c>
      <c r="D16" s="53">
        <v>2014.6780786514259</v>
      </c>
      <c r="E16" s="53">
        <v>11.205827713012701</v>
      </c>
      <c r="F16" s="53">
        <v>1068.2074112892158</v>
      </c>
      <c r="G16" s="53">
        <v>765.61779928207341</v>
      </c>
      <c r="H16" s="53">
        <v>192.05869579315183</v>
      </c>
      <c r="I16" s="53">
        <v>717.99542856216431</v>
      </c>
      <c r="J16" s="53">
        <v>971.9459266662592</v>
      </c>
      <c r="K16" s="53">
        <v>971.94592666625988</v>
      </c>
      <c r="L16" s="53">
        <v>0</v>
      </c>
      <c r="M16" s="53">
        <v>363.78724908828713</v>
      </c>
      <c r="N16" s="53">
        <v>465.78715944290127</v>
      </c>
      <c r="O16" s="53">
        <v>142.37151813507069</v>
      </c>
    </row>
    <row r="17" spans="1:15" ht="20.45" customHeight="1" x14ac:dyDescent="0.2">
      <c r="A17" s="30" t="s">
        <v>10</v>
      </c>
      <c r="B17" s="53">
        <v>1623.5435523986816</v>
      </c>
      <c r="C17" s="53">
        <v>2354.2750611305232</v>
      </c>
      <c r="D17" s="53">
        <v>2283.6498885154724</v>
      </c>
      <c r="E17" s="53">
        <v>70.625172615051341</v>
      </c>
      <c r="F17" s="53">
        <v>1504.4270052909837</v>
      </c>
      <c r="G17" s="53">
        <v>639.69509601592983</v>
      </c>
      <c r="H17" s="53">
        <v>210.1529598236082</v>
      </c>
      <c r="I17" s="53">
        <v>600.12358570098877</v>
      </c>
      <c r="J17" s="53">
        <v>896.06583404541004</v>
      </c>
      <c r="K17" s="53">
        <v>880.08323287963867</v>
      </c>
      <c r="L17" s="53">
        <v>15.982601165771472</v>
      </c>
      <c r="M17" s="53">
        <v>536.39208936691296</v>
      </c>
      <c r="N17" s="53">
        <v>273.70696878433233</v>
      </c>
      <c r="O17" s="53">
        <v>85.966775894165025</v>
      </c>
    </row>
    <row r="18" spans="1:15" ht="20.45" customHeight="1" x14ac:dyDescent="0.2">
      <c r="A18" s="30" t="s">
        <v>11</v>
      </c>
      <c r="B18" s="53">
        <v>324.34886121749878</v>
      </c>
      <c r="C18" s="53">
        <v>380.56408452987665</v>
      </c>
      <c r="D18" s="53">
        <v>380.56408452987682</v>
      </c>
      <c r="E18" s="53">
        <v>0</v>
      </c>
      <c r="F18" s="53">
        <v>294.99639177322393</v>
      </c>
      <c r="G18" s="53">
        <v>85.567692756652846</v>
      </c>
      <c r="H18" s="53">
        <v>0</v>
      </c>
      <c r="I18" s="53">
        <v>147.14101028442383</v>
      </c>
      <c r="J18" s="53">
        <v>218.75997352600098</v>
      </c>
      <c r="K18" s="53">
        <v>218.75997352600095</v>
      </c>
      <c r="L18" s="53">
        <v>0</v>
      </c>
      <c r="M18" s="53">
        <v>86.141906738281307</v>
      </c>
      <c r="N18" s="53">
        <v>121.68577194213866</v>
      </c>
      <c r="O18" s="53">
        <v>10.932294845581055</v>
      </c>
    </row>
    <row r="19" spans="1:15" s="19" customFormat="1" ht="20.45" customHeight="1" x14ac:dyDescent="0.2">
      <c r="A19" s="31" t="s">
        <v>12</v>
      </c>
      <c r="B19" s="25">
        <f>B7+B8</f>
        <v>285966.90791463852</v>
      </c>
      <c r="C19" s="25">
        <f t="shared" ref="C19:O19" si="0">C7+C8</f>
        <v>314182.42213702312</v>
      </c>
      <c r="D19" s="25">
        <f t="shared" si="0"/>
        <v>308893.74209165119</v>
      </c>
      <c r="E19" s="25">
        <f t="shared" si="0"/>
        <v>5288.68004536631</v>
      </c>
      <c r="F19" s="25">
        <f t="shared" si="0"/>
        <v>173600.79415404872</v>
      </c>
      <c r="G19" s="25">
        <f t="shared" si="0"/>
        <v>118648.67183828131</v>
      </c>
      <c r="H19" s="25">
        <f t="shared" si="0"/>
        <v>21932.956144690506</v>
      </c>
      <c r="I19" s="25">
        <f t="shared" si="0"/>
        <v>80139.513859033585</v>
      </c>
      <c r="J19" s="25">
        <f t="shared" si="0"/>
        <v>90840.152992248797</v>
      </c>
      <c r="K19" s="25">
        <f t="shared" si="0"/>
        <v>88945.623365760679</v>
      </c>
      <c r="L19" s="25">
        <f t="shared" si="0"/>
        <v>1894.5296264886726</v>
      </c>
      <c r="M19" s="25">
        <f t="shared" si="0"/>
        <v>34012.823945879252</v>
      </c>
      <c r="N19" s="25">
        <f t="shared" si="0"/>
        <v>42608.287536025215</v>
      </c>
      <c r="O19" s="25">
        <f t="shared" si="0"/>
        <v>14219.041510343319</v>
      </c>
    </row>
    <row r="20" spans="1:15" ht="12" customHeight="1" x14ac:dyDescent="0.2"/>
  </sheetData>
  <mergeCells count="10">
    <mergeCell ref="A1:O1"/>
    <mergeCell ref="A4:A6"/>
    <mergeCell ref="B4:H4"/>
    <mergeCell ref="I4:O4"/>
    <mergeCell ref="B5:B6"/>
    <mergeCell ref="C5:E5"/>
    <mergeCell ref="F5:H5"/>
    <mergeCell ref="I5:I6"/>
    <mergeCell ref="J5:L5"/>
    <mergeCell ref="M5:O5"/>
  </mergeCells>
  <conditionalFormatting sqref="B7:B19">
    <cfRule type="cellIs" dxfId="444" priority="14" stopIfTrue="1" operator="equal">
      <formula>0</formula>
    </cfRule>
  </conditionalFormatting>
  <conditionalFormatting sqref="C7:C19">
    <cfRule type="cellIs" dxfId="443" priority="13" stopIfTrue="1" operator="equal">
      <formula>0</formula>
    </cfRule>
  </conditionalFormatting>
  <conditionalFormatting sqref="D7:D19">
    <cfRule type="cellIs" dxfId="442" priority="12" stopIfTrue="1" operator="equal">
      <formula>0</formula>
    </cfRule>
  </conditionalFormatting>
  <conditionalFormatting sqref="E7:E19">
    <cfRule type="cellIs" dxfId="441" priority="11" stopIfTrue="1" operator="equal">
      <formula>0</formula>
    </cfRule>
  </conditionalFormatting>
  <conditionalFormatting sqref="F7:F19">
    <cfRule type="cellIs" dxfId="440" priority="10" stopIfTrue="1" operator="equal">
      <formula>0</formula>
    </cfRule>
  </conditionalFormatting>
  <conditionalFormatting sqref="G7:G19">
    <cfRule type="cellIs" dxfId="439" priority="9" stopIfTrue="1" operator="equal">
      <formula>0</formula>
    </cfRule>
  </conditionalFormatting>
  <conditionalFormatting sqref="H7:H19">
    <cfRule type="cellIs" dxfId="438" priority="8" stopIfTrue="1" operator="equal">
      <formula>0</formula>
    </cfRule>
  </conditionalFormatting>
  <conditionalFormatting sqref="I7:I19">
    <cfRule type="cellIs" dxfId="437" priority="7" stopIfTrue="1" operator="equal">
      <formula>0</formula>
    </cfRule>
  </conditionalFormatting>
  <conditionalFormatting sqref="J7:J19">
    <cfRule type="cellIs" dxfId="436" priority="6" stopIfTrue="1" operator="equal">
      <formula>0</formula>
    </cfRule>
  </conditionalFormatting>
  <conditionalFormatting sqref="K7:K19">
    <cfRule type="cellIs" dxfId="435" priority="5" stopIfTrue="1" operator="equal">
      <formula>0</formula>
    </cfRule>
  </conditionalFormatting>
  <conditionalFormatting sqref="L7:L19">
    <cfRule type="cellIs" dxfId="434" priority="4" stopIfTrue="1" operator="equal">
      <formula>0</formula>
    </cfRule>
  </conditionalFormatting>
  <conditionalFormatting sqref="M7:M19">
    <cfRule type="cellIs" dxfId="433" priority="3" stopIfTrue="1" operator="equal">
      <formula>0</formula>
    </cfRule>
  </conditionalFormatting>
  <conditionalFormatting sqref="N7:N19">
    <cfRule type="cellIs" dxfId="432" priority="2" stopIfTrue="1" operator="equal">
      <formula>0</formula>
    </cfRule>
  </conditionalFormatting>
  <conditionalFormatting sqref="O7:O19">
    <cfRule type="cellIs" dxfId="431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0" firstPageNumber="63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3251-D7BE-4B72-AE33-F32765616C3D}">
  <dimension ref="A1:M20"/>
  <sheetViews>
    <sheetView zoomScale="94" zoomScaleNormal="122" workbookViewId="0">
      <selection sqref="A1:M1"/>
    </sheetView>
  </sheetViews>
  <sheetFormatPr defaultRowHeight="12.75" x14ac:dyDescent="0.2"/>
  <cols>
    <col min="1" max="1" width="26.140625" customWidth="1"/>
    <col min="2" max="2" width="9.42578125" customWidth="1"/>
    <col min="3" max="3" width="11.42578125" customWidth="1"/>
    <col min="4" max="13" width="10.5703125" customWidth="1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 t="s">
        <v>32</v>
      </c>
    </row>
    <row r="3" spans="1:13" x14ac:dyDescent="0.2">
      <c r="A3" s="27" t="s">
        <v>308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s="7" customFormat="1" x14ac:dyDescent="0.2">
      <c r="A4" s="123" t="s">
        <v>30</v>
      </c>
      <c r="B4" s="122" t="s">
        <v>47</v>
      </c>
      <c r="C4" s="122"/>
      <c r="D4" s="122" t="s">
        <v>555</v>
      </c>
      <c r="E4" s="122"/>
      <c r="F4" s="122"/>
      <c r="G4" s="122"/>
      <c r="H4" s="122"/>
      <c r="I4" s="122" t="s">
        <v>300</v>
      </c>
      <c r="J4" s="122"/>
      <c r="K4" s="122"/>
      <c r="L4" s="122"/>
      <c r="M4" s="122"/>
    </row>
    <row r="5" spans="1:13" s="7" customFormat="1" ht="25.35" customHeight="1" x14ac:dyDescent="0.2">
      <c r="A5" s="123"/>
      <c r="B5" s="121" t="s">
        <v>41</v>
      </c>
      <c r="C5" s="121" t="s">
        <v>21</v>
      </c>
      <c r="D5" s="121" t="s">
        <v>556</v>
      </c>
      <c r="E5" s="141" t="s">
        <v>574</v>
      </c>
      <c r="F5" s="141"/>
      <c r="G5" s="141"/>
      <c r="H5" s="141"/>
      <c r="I5" s="121" t="s">
        <v>293</v>
      </c>
      <c r="J5" s="141" t="s">
        <v>575</v>
      </c>
      <c r="K5" s="141"/>
      <c r="L5" s="141"/>
      <c r="M5" s="141"/>
    </row>
    <row r="6" spans="1:13" s="7" customFormat="1" ht="32.450000000000003" customHeight="1" x14ac:dyDescent="0.2">
      <c r="A6" s="123"/>
      <c r="B6" s="121"/>
      <c r="C6" s="121"/>
      <c r="D6" s="121"/>
      <c r="E6" s="34" t="s">
        <v>47</v>
      </c>
      <c r="F6" s="34" t="s">
        <v>38</v>
      </c>
      <c r="G6" s="34" t="s">
        <v>309</v>
      </c>
      <c r="H6" s="34" t="s">
        <v>310</v>
      </c>
      <c r="I6" s="121"/>
      <c r="J6" s="34" t="s">
        <v>47</v>
      </c>
      <c r="K6" s="34" t="s">
        <v>38</v>
      </c>
      <c r="L6" s="34" t="s">
        <v>309</v>
      </c>
      <c r="M6" s="34" t="s">
        <v>310</v>
      </c>
    </row>
    <row r="7" spans="1:13" s="6" customFormat="1" ht="20.45" customHeight="1" x14ac:dyDescent="0.2">
      <c r="A7" s="69" t="s">
        <v>0</v>
      </c>
      <c r="B7" s="49">
        <v>131504.2034342289</v>
      </c>
      <c r="C7" s="50">
        <v>8412.8188185624476</v>
      </c>
      <c r="D7" s="49">
        <v>5787.8138954639362</v>
      </c>
      <c r="E7" s="49">
        <v>4562.7102513313293</v>
      </c>
      <c r="F7" s="49">
        <v>4353.9281210899371</v>
      </c>
      <c r="G7" s="49">
        <v>17.807660102844228</v>
      </c>
      <c r="H7" s="49">
        <v>190.97447013854975</v>
      </c>
      <c r="I7" s="49">
        <v>2447.0805268287709</v>
      </c>
      <c r="J7" s="49">
        <v>276.8974552154541</v>
      </c>
      <c r="K7" s="49">
        <v>126.95482254028319</v>
      </c>
      <c r="L7" s="49">
        <v>35.6393690109253</v>
      </c>
      <c r="M7" s="49">
        <v>114.30326366424563</v>
      </c>
    </row>
    <row r="8" spans="1:13" s="6" customFormat="1" ht="20.45" customHeight="1" x14ac:dyDescent="0.2">
      <c r="A8" s="29" t="s">
        <v>1</v>
      </c>
      <c r="B8" s="51">
        <v>3999284.9654890299</v>
      </c>
      <c r="C8" s="52">
        <v>2209997.0992301041</v>
      </c>
      <c r="D8" s="51">
        <v>697009.97392965807</v>
      </c>
      <c r="E8" s="51">
        <v>505261.84148407262</v>
      </c>
      <c r="F8" s="51">
        <v>474598.33177256415</v>
      </c>
      <c r="G8" s="51">
        <v>6212.0966629981685</v>
      </c>
      <c r="H8" s="51">
        <v>24451.413048505754</v>
      </c>
      <c r="I8" s="51">
        <v>468812.69510090956</v>
      </c>
      <c r="J8" s="51">
        <v>117714.51429331301</v>
      </c>
      <c r="K8" s="51">
        <v>75336.42342388627</v>
      </c>
      <c r="L8" s="51">
        <v>17472.397486925205</v>
      </c>
      <c r="M8" s="51">
        <v>24905.693382501559</v>
      </c>
    </row>
    <row r="9" spans="1:13" ht="20.45" customHeight="1" x14ac:dyDescent="0.2">
      <c r="A9" s="30" t="s">
        <v>2</v>
      </c>
      <c r="B9" s="53">
        <v>425217.50214135647</v>
      </c>
      <c r="C9" s="54">
        <v>25509.30681455832</v>
      </c>
      <c r="D9" s="53">
        <v>48354.70996737494</v>
      </c>
      <c r="E9" s="53">
        <v>22762.141979932749</v>
      </c>
      <c r="F9" s="53">
        <v>19121.481081247344</v>
      </c>
      <c r="G9" s="53">
        <v>495.99113607406616</v>
      </c>
      <c r="H9" s="53">
        <v>3144.6697626113864</v>
      </c>
      <c r="I9" s="53">
        <v>40546.198512077106</v>
      </c>
      <c r="J9" s="53">
        <v>3877.1345429420467</v>
      </c>
      <c r="K9" s="53">
        <v>1450.0308427810662</v>
      </c>
      <c r="L9" s="53">
        <v>438.38631534576405</v>
      </c>
      <c r="M9" s="53">
        <v>1988.7173848152158</v>
      </c>
    </row>
    <row r="10" spans="1:13" ht="20.45" customHeight="1" x14ac:dyDescent="0.2">
      <c r="A10" s="30" t="s">
        <v>3</v>
      </c>
      <c r="B10" s="53">
        <v>648449.97284579277</v>
      </c>
      <c r="C10" s="54">
        <v>96299.252528078199</v>
      </c>
      <c r="D10" s="53">
        <v>92715.143459795669</v>
      </c>
      <c r="E10" s="53">
        <v>51472.495790004949</v>
      </c>
      <c r="F10" s="53">
        <v>45564.194271087632</v>
      </c>
      <c r="G10" s="53">
        <v>1176.7874650955191</v>
      </c>
      <c r="H10" s="53">
        <v>4731.5140538215574</v>
      </c>
      <c r="I10" s="53">
        <v>72471.551666736792</v>
      </c>
      <c r="J10" s="53">
        <v>10961.243237018585</v>
      </c>
      <c r="K10" s="53">
        <v>4828.3694114685022</v>
      </c>
      <c r="L10" s="53">
        <v>1811.5109610557538</v>
      </c>
      <c r="M10" s="53">
        <v>4321.3628644943255</v>
      </c>
    </row>
    <row r="11" spans="1:13" ht="20.45" customHeight="1" x14ac:dyDescent="0.2">
      <c r="A11" s="30" t="s">
        <v>4</v>
      </c>
      <c r="B11" s="53">
        <v>1430113.6145436764</v>
      </c>
      <c r="C11" s="54">
        <v>478190.54056723299</v>
      </c>
      <c r="D11" s="53">
        <v>234113.24670600955</v>
      </c>
      <c r="E11" s="53">
        <v>156105.84561872503</v>
      </c>
      <c r="F11" s="53">
        <v>144723.30995845766</v>
      </c>
      <c r="G11" s="53">
        <v>2262.1721391677834</v>
      </c>
      <c r="H11" s="53">
        <v>9120.3635210990942</v>
      </c>
      <c r="I11" s="53">
        <v>164863.22177767943</v>
      </c>
      <c r="J11" s="53">
        <v>36524.112843513481</v>
      </c>
      <c r="K11" s="53">
        <v>20877.227168560014</v>
      </c>
      <c r="L11" s="53">
        <v>6447.8793244361896</v>
      </c>
      <c r="M11" s="53">
        <v>9199.006350517282</v>
      </c>
    </row>
    <row r="12" spans="1:13" ht="20.45" customHeight="1" x14ac:dyDescent="0.2">
      <c r="A12" s="30" t="s">
        <v>5</v>
      </c>
      <c r="B12" s="53">
        <v>945303.95051133633</v>
      </c>
      <c r="C12" s="54">
        <v>660203.18678223237</v>
      </c>
      <c r="D12" s="53">
        <v>191484.50719547295</v>
      </c>
      <c r="E12" s="53">
        <v>152359.77153921095</v>
      </c>
      <c r="F12" s="53">
        <v>145790.22286796468</v>
      </c>
      <c r="G12" s="53">
        <v>1442.0463752746534</v>
      </c>
      <c r="H12" s="53">
        <v>5127.5022959709268</v>
      </c>
      <c r="I12" s="53">
        <v>115733.83228194699</v>
      </c>
      <c r="J12" s="53">
        <v>35033.347313284867</v>
      </c>
      <c r="K12" s="53">
        <v>23559.793317675547</v>
      </c>
      <c r="L12" s="53">
        <v>5380.6812086105301</v>
      </c>
      <c r="M12" s="53">
        <v>6092.8727869987506</v>
      </c>
    </row>
    <row r="13" spans="1:13" ht="20.45" customHeight="1" x14ac:dyDescent="0.2">
      <c r="A13" s="30" t="s">
        <v>6</v>
      </c>
      <c r="B13" s="53">
        <v>427038.72920608521</v>
      </c>
      <c r="C13" s="54">
        <v>576346.75972670107</v>
      </c>
      <c r="D13" s="53">
        <v>100635.57611775408</v>
      </c>
      <c r="E13" s="53">
        <v>93093.606789827201</v>
      </c>
      <c r="F13" s="53">
        <v>90516.719165563612</v>
      </c>
      <c r="G13" s="53">
        <v>678.27880525588557</v>
      </c>
      <c r="H13" s="53">
        <v>1898.6088190078776</v>
      </c>
      <c r="I13" s="53">
        <v>57489.003421783222</v>
      </c>
      <c r="J13" s="53">
        <v>22488.816815376282</v>
      </c>
      <c r="K13" s="53">
        <v>17062.624711751934</v>
      </c>
      <c r="L13" s="53">
        <v>2885.4062902927421</v>
      </c>
      <c r="M13" s="53">
        <v>2540.7858133316076</v>
      </c>
    </row>
    <row r="14" spans="1:13" ht="20.45" customHeight="1" x14ac:dyDescent="0.2">
      <c r="A14" s="30" t="s">
        <v>7</v>
      </c>
      <c r="B14" s="53">
        <v>81947.948482036591</v>
      </c>
      <c r="C14" s="54">
        <v>194230.78163649273</v>
      </c>
      <c r="D14" s="53">
        <v>19849.397923946402</v>
      </c>
      <c r="E14" s="53">
        <v>18845.890575408928</v>
      </c>
      <c r="F14" s="53">
        <v>18428.619355678562</v>
      </c>
      <c r="G14" s="53">
        <v>103.18249988555895</v>
      </c>
      <c r="H14" s="53">
        <v>314.088719844818</v>
      </c>
      <c r="I14" s="53">
        <v>11550.762594938311</v>
      </c>
      <c r="J14" s="53">
        <v>5427.9963355064392</v>
      </c>
      <c r="K14" s="53">
        <v>4577.2504172325152</v>
      </c>
      <c r="L14" s="53">
        <v>364.22980737686157</v>
      </c>
      <c r="M14" s="53">
        <v>486.51611089706415</v>
      </c>
    </row>
    <row r="15" spans="1:13" ht="20.45" customHeight="1" x14ac:dyDescent="0.2">
      <c r="A15" s="30" t="s">
        <v>8</v>
      </c>
      <c r="B15" s="53">
        <v>25962.588759422302</v>
      </c>
      <c r="C15" s="54">
        <v>88368.61308094667</v>
      </c>
      <c r="D15" s="53">
        <v>6274.2064471244785</v>
      </c>
      <c r="E15" s="53">
        <v>6626.8622586727197</v>
      </c>
      <c r="F15" s="53">
        <v>6479.8597197532672</v>
      </c>
      <c r="G15" s="53">
        <v>32.336662769317627</v>
      </c>
      <c r="H15" s="53">
        <v>114.66587615013125</v>
      </c>
      <c r="I15" s="53">
        <v>3608.3876535892518</v>
      </c>
      <c r="J15" s="53">
        <v>1913.4440953731537</v>
      </c>
      <c r="K15" s="53">
        <v>1575.1724786758416</v>
      </c>
      <c r="L15" s="53">
        <v>120.24286556243906</v>
      </c>
      <c r="M15" s="53">
        <v>218.02875113487241</v>
      </c>
    </row>
    <row r="16" spans="1:13" ht="20.45" customHeight="1" x14ac:dyDescent="0.2">
      <c r="A16" s="30" t="s">
        <v>9</v>
      </c>
      <c r="B16" s="53">
        <v>7396.839360833168</v>
      </c>
      <c r="C16" s="54">
        <v>32799.664009905689</v>
      </c>
      <c r="D16" s="53">
        <v>1692.3702540397626</v>
      </c>
      <c r="E16" s="53">
        <v>1766.0902132987976</v>
      </c>
      <c r="F16" s="53">
        <v>1758.1187558174129</v>
      </c>
      <c r="G16" s="53">
        <v>7.9714574813842765</v>
      </c>
      <c r="H16" s="53">
        <v>0</v>
      </c>
      <c r="I16" s="53">
        <v>1312.8503427505495</v>
      </c>
      <c r="J16" s="53">
        <v>752.15376710891724</v>
      </c>
      <c r="K16" s="53">
        <v>693.75102138519287</v>
      </c>
      <c r="L16" s="53">
        <v>7.7064480781555176</v>
      </c>
      <c r="M16" s="53">
        <v>50.696297645568826</v>
      </c>
    </row>
    <row r="17" spans="1:13" ht="20.45" customHeight="1" x14ac:dyDescent="0.2">
      <c r="A17" s="30" t="s">
        <v>10</v>
      </c>
      <c r="B17" s="53">
        <v>6978.5904805660248</v>
      </c>
      <c r="C17" s="54">
        <v>44892.868019330337</v>
      </c>
      <c r="D17" s="53">
        <v>1680.6027166843412</v>
      </c>
      <c r="E17" s="53">
        <v>1932.2707159519202</v>
      </c>
      <c r="F17" s="53">
        <v>1918.940593957901</v>
      </c>
      <c r="G17" s="53">
        <v>13.330121994018551</v>
      </c>
      <c r="H17" s="53">
        <v>0</v>
      </c>
      <c r="I17" s="53">
        <v>1097.3611941337597</v>
      </c>
      <c r="J17" s="53">
        <v>659.74084568023682</v>
      </c>
      <c r="K17" s="53">
        <v>635.67955684661877</v>
      </c>
      <c r="L17" s="53">
        <v>16.354266166687012</v>
      </c>
      <c r="M17" s="53">
        <v>7.7070226669311523</v>
      </c>
    </row>
    <row r="18" spans="1:13" ht="20.45" customHeight="1" x14ac:dyDescent="0.2">
      <c r="A18" s="30" t="s">
        <v>11</v>
      </c>
      <c r="B18" s="53">
        <v>875.2291579246521</v>
      </c>
      <c r="C18" s="54">
        <v>13156.126064608372</v>
      </c>
      <c r="D18" s="53">
        <v>210.21314144134521</v>
      </c>
      <c r="E18" s="53">
        <v>296.86600303649902</v>
      </c>
      <c r="F18" s="53">
        <v>296.86600303649902</v>
      </c>
      <c r="G18" s="53">
        <v>0</v>
      </c>
      <c r="H18" s="53">
        <v>0</v>
      </c>
      <c r="I18" s="53">
        <v>139.52565526962277</v>
      </c>
      <c r="J18" s="53">
        <v>76.524497509002686</v>
      </c>
      <c r="K18" s="53">
        <v>76.524497509002686</v>
      </c>
      <c r="L18" s="53">
        <v>0</v>
      </c>
      <c r="M18" s="53">
        <v>0</v>
      </c>
    </row>
    <row r="19" spans="1:13" s="6" customFormat="1" ht="20.45" customHeight="1" x14ac:dyDescent="0.2">
      <c r="A19" s="31" t="s">
        <v>12</v>
      </c>
      <c r="B19" s="25">
        <f>B7+B8</f>
        <v>4130789.1689232588</v>
      </c>
      <c r="C19" s="26">
        <f t="shared" ref="C19:M19" si="0">C7+C8</f>
        <v>2218409.9180486668</v>
      </c>
      <c r="D19" s="25">
        <f t="shared" si="0"/>
        <v>702797.78782512201</v>
      </c>
      <c r="E19" s="25">
        <f t="shared" si="0"/>
        <v>509824.55173540395</v>
      </c>
      <c r="F19" s="25">
        <f t="shared" si="0"/>
        <v>478952.25989365409</v>
      </c>
      <c r="G19" s="25">
        <f t="shared" si="0"/>
        <v>6229.9043231010128</v>
      </c>
      <c r="H19" s="25">
        <f t="shared" si="0"/>
        <v>24642.387518644304</v>
      </c>
      <c r="I19" s="25">
        <f t="shared" si="0"/>
        <v>471259.77562773833</v>
      </c>
      <c r="J19" s="25">
        <f t="shared" si="0"/>
        <v>117991.41174852847</v>
      </c>
      <c r="K19" s="25">
        <f t="shared" si="0"/>
        <v>75463.378246426553</v>
      </c>
      <c r="L19" s="25">
        <f t="shared" si="0"/>
        <v>17508.03685593613</v>
      </c>
      <c r="M19" s="25">
        <f t="shared" si="0"/>
        <v>25019.996646165804</v>
      </c>
    </row>
    <row r="20" spans="1:13" ht="12" customHeight="1" x14ac:dyDescent="0.2"/>
  </sheetData>
  <mergeCells count="11">
    <mergeCell ref="D5:D6"/>
    <mergeCell ref="I5:I6"/>
    <mergeCell ref="J5:M5"/>
    <mergeCell ref="E5:H5"/>
    <mergeCell ref="D4:H4"/>
    <mergeCell ref="I4:M4"/>
    <mergeCell ref="A1:M1"/>
    <mergeCell ref="A4:A6"/>
    <mergeCell ref="B4:C4"/>
    <mergeCell ref="B5:B6"/>
    <mergeCell ref="C5:C6"/>
  </mergeCells>
  <conditionalFormatting sqref="B7:B19">
    <cfRule type="cellIs" dxfId="430" priority="12" stopIfTrue="1" operator="equal">
      <formula>0</formula>
    </cfRule>
  </conditionalFormatting>
  <conditionalFormatting sqref="D7:D19">
    <cfRule type="cellIs" dxfId="429" priority="11" stopIfTrue="1" operator="equal">
      <formula>0</formula>
    </cfRule>
  </conditionalFormatting>
  <conditionalFormatting sqref="E7:E19">
    <cfRule type="cellIs" dxfId="428" priority="10" stopIfTrue="1" operator="equal">
      <formula>0</formula>
    </cfRule>
  </conditionalFormatting>
  <conditionalFormatting sqref="F7:F19">
    <cfRule type="cellIs" dxfId="427" priority="9" stopIfTrue="1" operator="equal">
      <formula>0</formula>
    </cfRule>
  </conditionalFormatting>
  <conditionalFormatting sqref="G7:G19">
    <cfRule type="cellIs" dxfId="426" priority="8" stopIfTrue="1" operator="equal">
      <formula>0</formula>
    </cfRule>
  </conditionalFormatting>
  <conditionalFormatting sqref="H7:H19">
    <cfRule type="cellIs" dxfId="425" priority="7" stopIfTrue="1" operator="equal">
      <formula>0</formula>
    </cfRule>
  </conditionalFormatting>
  <conditionalFormatting sqref="I7:I19">
    <cfRule type="cellIs" dxfId="424" priority="6" stopIfTrue="1" operator="equal">
      <formula>0</formula>
    </cfRule>
  </conditionalFormatting>
  <conditionalFormatting sqref="J7:J19">
    <cfRule type="cellIs" dxfId="423" priority="5" stopIfTrue="1" operator="equal">
      <formula>0</formula>
    </cfRule>
  </conditionalFormatting>
  <conditionalFormatting sqref="K7:K19">
    <cfRule type="cellIs" dxfId="422" priority="4" stopIfTrue="1" operator="equal">
      <formula>0</formula>
    </cfRule>
  </conditionalFormatting>
  <conditionalFormatting sqref="L7:L19">
    <cfRule type="cellIs" dxfId="421" priority="3" stopIfTrue="1" operator="equal">
      <formula>0</formula>
    </cfRule>
  </conditionalFormatting>
  <conditionalFormatting sqref="M7:M19">
    <cfRule type="cellIs" dxfId="420" priority="2" stopIfTrue="1" operator="equal">
      <formula>0</formula>
    </cfRule>
  </conditionalFormatting>
  <conditionalFormatting sqref="C7:C19">
    <cfRule type="cellIs" dxfId="41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728E-2F8C-4B25-B1E0-87294E251BA8}">
  <dimension ref="A1:P20"/>
  <sheetViews>
    <sheetView zoomScale="93" zoomScaleNormal="75" workbookViewId="0">
      <selection sqref="A1:P1"/>
    </sheetView>
  </sheetViews>
  <sheetFormatPr defaultRowHeight="12.75" x14ac:dyDescent="0.2"/>
  <cols>
    <col min="1" max="1" width="22.5703125" customWidth="1"/>
    <col min="2" max="2" width="9.85546875" customWidth="1"/>
    <col min="3" max="3" width="9.5703125" customWidth="1"/>
    <col min="4" max="4" width="9.42578125" customWidth="1"/>
    <col min="5" max="5" width="10.140625" customWidth="1"/>
    <col min="6" max="6" width="9.42578125" customWidth="1"/>
    <col min="7" max="7" width="11.5703125" customWidth="1"/>
    <col min="8" max="8" width="9" customWidth="1"/>
    <col min="9" max="9" width="9.42578125" customWidth="1"/>
    <col min="10" max="11" width="9.85546875" customWidth="1"/>
    <col min="12" max="12" width="9.42578125" customWidth="1"/>
    <col min="13" max="13" width="9.85546875" customWidth="1"/>
    <col min="14" max="14" width="9.42578125" customWidth="1"/>
    <col min="15" max="15" width="9" customWidth="1"/>
    <col min="16" max="16" width="7.85546875" customWidth="1"/>
  </cols>
  <sheetData>
    <row r="1" spans="1:16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7"/>
      <c r="M2" s="27"/>
      <c r="N2" s="27"/>
      <c r="O2" s="27"/>
      <c r="P2" s="28" t="s">
        <v>32</v>
      </c>
    </row>
    <row r="3" spans="1:16" x14ac:dyDescent="0.2">
      <c r="A3" s="27" t="s">
        <v>313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s="7" customFormat="1" x14ac:dyDescent="0.2">
      <c r="A4" s="129" t="s">
        <v>30</v>
      </c>
      <c r="B4" s="124" t="s">
        <v>303</v>
      </c>
      <c r="C4" s="128"/>
      <c r="D4" s="128"/>
      <c r="E4" s="128"/>
      <c r="F4" s="128"/>
      <c r="G4" s="124" t="s">
        <v>301</v>
      </c>
      <c r="H4" s="128"/>
      <c r="I4" s="128"/>
      <c r="J4" s="128"/>
      <c r="K4" s="128"/>
      <c r="L4" s="124" t="s">
        <v>302</v>
      </c>
      <c r="M4" s="128"/>
      <c r="N4" s="128"/>
      <c r="O4" s="128"/>
      <c r="P4" s="125"/>
    </row>
    <row r="5" spans="1:16" s="7" customFormat="1" ht="31.7" customHeight="1" x14ac:dyDescent="0.2">
      <c r="A5" s="130"/>
      <c r="B5" s="126" t="s">
        <v>293</v>
      </c>
      <c r="C5" s="196" t="s">
        <v>575</v>
      </c>
      <c r="D5" s="197"/>
      <c r="E5" s="197"/>
      <c r="F5" s="198"/>
      <c r="G5" s="126" t="s">
        <v>293</v>
      </c>
      <c r="H5" s="196" t="s">
        <v>575</v>
      </c>
      <c r="I5" s="197"/>
      <c r="J5" s="197"/>
      <c r="K5" s="198"/>
      <c r="L5" s="121" t="s">
        <v>293</v>
      </c>
      <c r="M5" s="196" t="s">
        <v>575</v>
      </c>
      <c r="N5" s="197"/>
      <c r="O5" s="197"/>
      <c r="P5" s="198"/>
    </row>
    <row r="6" spans="1:16" s="7" customFormat="1" ht="43.5" customHeight="1" x14ac:dyDescent="0.2">
      <c r="A6" s="131"/>
      <c r="B6" s="127"/>
      <c r="C6" s="33" t="s">
        <v>47</v>
      </c>
      <c r="D6" s="33" t="s">
        <v>38</v>
      </c>
      <c r="E6" s="33" t="s">
        <v>309</v>
      </c>
      <c r="F6" s="33" t="s">
        <v>310</v>
      </c>
      <c r="G6" s="127"/>
      <c r="H6" s="33" t="s">
        <v>47</v>
      </c>
      <c r="I6" s="33" t="s">
        <v>38</v>
      </c>
      <c r="J6" s="33" t="s">
        <v>309</v>
      </c>
      <c r="K6" s="33" t="s">
        <v>310</v>
      </c>
      <c r="L6" s="121"/>
      <c r="M6" s="34" t="s">
        <v>47</v>
      </c>
      <c r="N6" s="34" t="s">
        <v>38</v>
      </c>
      <c r="O6" s="34" t="s">
        <v>309</v>
      </c>
      <c r="P6" s="34" t="s">
        <v>310</v>
      </c>
    </row>
    <row r="7" spans="1:16" s="6" customFormat="1" ht="20.45" customHeight="1" x14ac:dyDescent="0.2">
      <c r="A7" s="69" t="s">
        <v>0</v>
      </c>
      <c r="B7" s="49">
        <v>11637.609836339965</v>
      </c>
      <c r="C7" s="49">
        <v>40.6302809715271</v>
      </c>
      <c r="D7" s="49">
        <v>31.37361478805542</v>
      </c>
      <c r="E7" s="49">
        <v>0</v>
      </c>
      <c r="F7" s="49">
        <v>9.2566661834716779</v>
      </c>
      <c r="G7" s="49">
        <v>18019.227710247087</v>
      </c>
      <c r="H7" s="49">
        <v>17517.117325782758</v>
      </c>
      <c r="I7" s="49">
        <v>16861.518457889564</v>
      </c>
      <c r="J7" s="49">
        <v>440.50260114669817</v>
      </c>
      <c r="K7" s="49">
        <v>215.09626674652085</v>
      </c>
      <c r="L7" s="49">
        <v>5756.3211569786254</v>
      </c>
      <c r="M7" s="49">
        <v>4628.8532938957223</v>
      </c>
      <c r="N7" s="49">
        <v>4251.3380050659207</v>
      </c>
      <c r="O7" s="49">
        <v>266.93668794631958</v>
      </c>
      <c r="P7" s="49">
        <v>110.57860088348389</v>
      </c>
    </row>
    <row r="8" spans="1:16" s="6" customFormat="1" ht="20.45" customHeight="1" x14ac:dyDescent="0.2">
      <c r="A8" s="29" t="s">
        <v>1</v>
      </c>
      <c r="B8" s="51">
        <v>1627124.2352600147</v>
      </c>
      <c r="C8" s="51">
        <v>58451.332356691317</v>
      </c>
      <c r="D8" s="51">
        <v>42167.757278084689</v>
      </c>
      <c r="E8" s="51">
        <v>1875.8108067512519</v>
      </c>
      <c r="F8" s="51">
        <v>14407.76427185536</v>
      </c>
      <c r="G8" s="51">
        <v>471937.90098356607</v>
      </c>
      <c r="H8" s="51">
        <v>401331.70524024905</v>
      </c>
      <c r="I8" s="51">
        <v>379859.33996486623</v>
      </c>
      <c r="J8" s="51">
        <v>11761.817602157576</v>
      </c>
      <c r="K8" s="51">
        <v>9710.5476732254101</v>
      </c>
      <c r="L8" s="51">
        <v>325593.37717247242</v>
      </c>
      <c r="M8" s="51">
        <v>223449.78438210592</v>
      </c>
      <c r="N8" s="51">
        <v>187247.77635121395</v>
      </c>
      <c r="O8" s="51">
        <v>22096.530900001537</v>
      </c>
      <c r="P8" s="51">
        <v>14105.47713088996</v>
      </c>
    </row>
    <row r="9" spans="1:16" ht="20.45" customHeight="1" x14ac:dyDescent="0.2">
      <c r="A9" s="30" t="s">
        <v>2</v>
      </c>
      <c r="B9" s="66">
        <v>135984.27462339404</v>
      </c>
      <c r="C9" s="53"/>
      <c r="D9" s="53"/>
      <c r="E9" s="53"/>
      <c r="F9" s="53"/>
      <c r="G9" s="53">
        <v>55209.758047580639</v>
      </c>
      <c r="H9" s="53">
        <v>46907.480456829202</v>
      </c>
      <c r="I9" s="53">
        <v>45107.352944374135</v>
      </c>
      <c r="J9" s="53">
        <v>893.27847003936802</v>
      </c>
      <c r="K9" s="53">
        <v>906.84904241561594</v>
      </c>
      <c r="L9" s="53">
        <v>21633.60785961154</v>
      </c>
      <c r="M9" s="53">
        <v>13174.159259319296</v>
      </c>
      <c r="N9" s="53">
        <v>11095.493824481957</v>
      </c>
      <c r="O9" s="53">
        <v>1177.5987710952757</v>
      </c>
      <c r="P9" s="53">
        <v>901.06666374206509</v>
      </c>
    </row>
    <row r="10" spans="1:16" ht="20.45" customHeight="1" x14ac:dyDescent="0.2">
      <c r="A10" s="30" t="s">
        <v>3</v>
      </c>
      <c r="B10" s="53">
        <v>239447.8465317479</v>
      </c>
      <c r="C10" s="53"/>
      <c r="D10" s="53"/>
      <c r="E10" s="53"/>
      <c r="F10" s="53"/>
      <c r="G10" s="53">
        <v>58496.532443523633</v>
      </c>
      <c r="H10" s="53">
        <v>43688.458951473192</v>
      </c>
      <c r="I10" s="53">
        <v>40336.209732055759</v>
      </c>
      <c r="J10" s="53">
        <v>1943.1763105392458</v>
      </c>
      <c r="K10" s="53">
        <v>1409.0729088783266</v>
      </c>
      <c r="L10" s="53">
        <v>37307.099803686062</v>
      </c>
      <c r="M10" s="53">
        <v>19692.839768886588</v>
      </c>
      <c r="N10" s="53">
        <v>15311.831994533544</v>
      </c>
      <c r="O10" s="53">
        <v>2591.1391439437912</v>
      </c>
      <c r="P10" s="53">
        <v>1789.8686304092394</v>
      </c>
    </row>
    <row r="11" spans="1:16" ht="20.45" customHeight="1" x14ac:dyDescent="0.2">
      <c r="A11" s="30" t="s">
        <v>4</v>
      </c>
      <c r="B11" s="53">
        <v>561107.46188008564</v>
      </c>
      <c r="C11" s="53"/>
      <c r="D11" s="53"/>
      <c r="E11" s="53"/>
      <c r="F11" s="53"/>
      <c r="G11" s="53">
        <v>145012.42402529877</v>
      </c>
      <c r="H11" s="53">
        <v>114881.30714893322</v>
      </c>
      <c r="I11" s="53">
        <v>107356.79901790638</v>
      </c>
      <c r="J11" s="53">
        <v>4090.6579737663255</v>
      </c>
      <c r="K11" s="53">
        <v>3433.850157260898</v>
      </c>
      <c r="L11" s="53">
        <v>97752.035597562441</v>
      </c>
      <c r="M11" s="53">
        <v>58461.652179717799</v>
      </c>
      <c r="N11" s="53">
        <v>46531.148886203831</v>
      </c>
      <c r="O11" s="53">
        <v>7400.4736256599308</v>
      </c>
      <c r="P11" s="53">
        <v>4530.0296678543073</v>
      </c>
    </row>
    <row r="12" spans="1:16" ht="20.45" customHeight="1" x14ac:dyDescent="0.2">
      <c r="A12" s="30" t="s">
        <v>5</v>
      </c>
      <c r="B12" s="53">
        <v>415393.93668389518</v>
      </c>
      <c r="C12" s="53">
        <v>1194.8704328536987</v>
      </c>
      <c r="D12" s="53">
        <v>782.97312545776379</v>
      </c>
      <c r="E12" s="53">
        <v>80.941723823547349</v>
      </c>
      <c r="F12" s="53">
        <v>330.95558357238752</v>
      </c>
      <c r="G12" s="53">
        <v>121659.58571481796</v>
      </c>
      <c r="H12" s="53">
        <v>105522.63565826448</v>
      </c>
      <c r="I12" s="53">
        <v>100162.9293460843</v>
      </c>
      <c r="J12" s="53">
        <v>2998.2752046585024</v>
      </c>
      <c r="K12" s="53">
        <v>2361.4311075210521</v>
      </c>
      <c r="L12" s="53">
        <v>92529.484760284075</v>
      </c>
      <c r="M12" s="53">
        <v>64304.95794033986</v>
      </c>
      <c r="N12" s="53">
        <v>53625.50515842437</v>
      </c>
      <c r="O12" s="53">
        <v>6633.5573453903253</v>
      </c>
      <c r="P12" s="53">
        <v>4045.8954365253476</v>
      </c>
    </row>
    <row r="13" spans="1:16" ht="20.45" customHeight="1" x14ac:dyDescent="0.2">
      <c r="A13" s="30" t="s">
        <v>6</v>
      </c>
      <c r="B13" s="53">
        <v>204992.9357801665</v>
      </c>
      <c r="C13" s="53">
        <v>31827.52882373333</v>
      </c>
      <c r="D13" s="53">
        <v>19804.331968069087</v>
      </c>
      <c r="E13" s="53">
        <v>1294.5837001800521</v>
      </c>
      <c r="F13" s="53">
        <v>10728.613155484196</v>
      </c>
      <c r="G13" s="53">
        <v>67558.817925453506</v>
      </c>
      <c r="H13" s="53">
        <v>63517.842286110092</v>
      </c>
      <c r="I13" s="53">
        <v>60658.534819125984</v>
      </c>
      <c r="J13" s="53">
        <v>1527.560910224913</v>
      </c>
      <c r="K13" s="53">
        <v>1331.7465567588833</v>
      </c>
      <c r="L13" s="53">
        <v>53967.524896502058</v>
      </c>
      <c r="M13" s="53">
        <v>44746.27701532832</v>
      </c>
      <c r="N13" s="53">
        <v>39609.59355282774</v>
      </c>
      <c r="O13" s="53">
        <v>3165.9674763679436</v>
      </c>
      <c r="P13" s="53">
        <v>1970.7159861326186</v>
      </c>
    </row>
    <row r="14" spans="1:16" ht="20.45" customHeight="1" x14ac:dyDescent="0.2">
      <c r="A14" s="30" t="s">
        <v>7</v>
      </c>
      <c r="B14" s="53">
        <v>44663.156161427505</v>
      </c>
      <c r="C14" s="53">
        <v>11754.707733035078</v>
      </c>
      <c r="D14" s="53">
        <v>9192.8316910266858</v>
      </c>
      <c r="E14" s="53">
        <v>345.8475861549378</v>
      </c>
      <c r="F14" s="53">
        <v>2216.0284558534613</v>
      </c>
      <c r="G14" s="53">
        <v>15141.263397216817</v>
      </c>
      <c r="H14" s="53">
        <v>15853.514402389546</v>
      </c>
      <c r="I14" s="53">
        <v>15432.0497317314</v>
      </c>
      <c r="J14" s="53">
        <v>260.7367520332337</v>
      </c>
      <c r="K14" s="53">
        <v>160.72791862487801</v>
      </c>
      <c r="L14" s="53">
        <v>13310.847354173662</v>
      </c>
      <c r="M14" s="53">
        <v>13225.008706569679</v>
      </c>
      <c r="N14" s="53">
        <v>11841.912971973421</v>
      </c>
      <c r="O14" s="53">
        <v>812.84744644165016</v>
      </c>
      <c r="P14" s="53">
        <v>570.24828815460194</v>
      </c>
    </row>
    <row r="15" spans="1:16" ht="20.45" customHeight="1" x14ac:dyDescent="0.2">
      <c r="A15" s="30" t="s">
        <v>8</v>
      </c>
      <c r="B15" s="53">
        <v>15168.559993147866</v>
      </c>
      <c r="C15" s="53">
        <v>6808.4400113820993</v>
      </c>
      <c r="D15" s="53">
        <v>5820.6646625995609</v>
      </c>
      <c r="E15" s="53">
        <v>74.846487045288129</v>
      </c>
      <c r="F15" s="53">
        <v>912.9288617372514</v>
      </c>
      <c r="G15" s="53">
        <v>5213.1344099044891</v>
      </c>
      <c r="H15" s="53">
        <v>5904.5154585838363</v>
      </c>
      <c r="I15" s="53">
        <v>5814.5785613060016</v>
      </c>
      <c r="J15" s="53">
        <v>37.954376220703125</v>
      </c>
      <c r="K15" s="53">
        <v>51.982521057128885</v>
      </c>
      <c r="L15" s="53">
        <v>5216.5527672767639</v>
      </c>
      <c r="M15" s="53">
        <v>5353.5144605636597</v>
      </c>
      <c r="N15" s="53">
        <v>4918.6133127212552</v>
      </c>
      <c r="O15" s="53">
        <v>229.93661117553722</v>
      </c>
      <c r="P15" s="53">
        <v>204.96453666687015</v>
      </c>
    </row>
    <row r="16" spans="1:16" ht="20.45" customHeight="1" x14ac:dyDescent="0.2">
      <c r="A16" s="30" t="s">
        <v>9</v>
      </c>
      <c r="B16" s="53">
        <v>4680.5950756073025</v>
      </c>
      <c r="C16" s="53">
        <v>2420.4690074920663</v>
      </c>
      <c r="D16" s="53">
        <v>2308.2842364311205</v>
      </c>
      <c r="E16" s="53">
        <v>40.275528907775865</v>
      </c>
      <c r="F16" s="53">
        <v>71.909242153167753</v>
      </c>
      <c r="G16" s="53">
        <v>1757.7397575378418</v>
      </c>
      <c r="H16" s="53">
        <v>2205.434491634368</v>
      </c>
      <c r="I16" s="53">
        <v>2175.8068966865549</v>
      </c>
      <c r="J16" s="53">
        <v>10.177604675292967</v>
      </c>
      <c r="K16" s="53">
        <v>19.449990272521969</v>
      </c>
      <c r="L16" s="53">
        <v>1785.1041908264149</v>
      </c>
      <c r="M16" s="53">
        <v>1913.1818370819087</v>
      </c>
      <c r="N16" s="53">
        <v>1863.0657730102528</v>
      </c>
      <c r="O16" s="53">
        <v>50.116064071655302</v>
      </c>
      <c r="P16" s="53">
        <v>0</v>
      </c>
    </row>
    <row r="17" spans="1:16" ht="20.45" customHeight="1" x14ac:dyDescent="0.2">
      <c r="A17" s="30" t="s">
        <v>10</v>
      </c>
      <c r="B17" s="53">
        <v>5054.125394701955</v>
      </c>
      <c r="C17" s="53">
        <v>3698.1341558694844</v>
      </c>
      <c r="D17" s="53">
        <v>3521.252005934713</v>
      </c>
      <c r="E17" s="53">
        <v>39.315780639648416</v>
      </c>
      <c r="F17" s="53">
        <v>137.56636929512013</v>
      </c>
      <c r="G17" s="53">
        <v>1697.4174027442925</v>
      </c>
      <c r="H17" s="53">
        <v>2444.7131977081299</v>
      </c>
      <c r="I17" s="53">
        <v>2409.2757272720332</v>
      </c>
      <c r="J17" s="53">
        <v>0</v>
      </c>
      <c r="K17" s="53">
        <v>35.437470436096191</v>
      </c>
      <c r="L17" s="53">
        <v>1795.6654604673379</v>
      </c>
      <c r="M17" s="53">
        <v>2078.6992853879919</v>
      </c>
      <c r="N17" s="53">
        <v>1951.1169481277466</v>
      </c>
      <c r="O17" s="53">
        <v>34.894415855407694</v>
      </c>
      <c r="P17" s="53">
        <v>92.68792140483859</v>
      </c>
    </row>
    <row r="18" spans="1:16" ht="20.45" customHeight="1" x14ac:dyDescent="0.2">
      <c r="A18" s="30" t="s">
        <v>11</v>
      </c>
      <c r="B18" s="53">
        <v>631.34313583374023</v>
      </c>
      <c r="C18" s="53">
        <v>747.18219232559204</v>
      </c>
      <c r="D18" s="53">
        <v>737.4195885658263</v>
      </c>
      <c r="E18" s="53">
        <v>0</v>
      </c>
      <c r="F18" s="53">
        <v>9.7626037597656268</v>
      </c>
      <c r="G18" s="53">
        <v>191.22785949707028</v>
      </c>
      <c r="H18" s="53">
        <v>405.80318832397455</v>
      </c>
      <c r="I18" s="53">
        <v>405.80318832397455</v>
      </c>
      <c r="J18" s="53">
        <v>0</v>
      </c>
      <c r="K18" s="53">
        <v>0</v>
      </c>
      <c r="L18" s="53">
        <v>295.45448207855219</v>
      </c>
      <c r="M18" s="53">
        <v>499.49392890930181</v>
      </c>
      <c r="N18" s="53">
        <v>499.49392890930181</v>
      </c>
      <c r="O18" s="53">
        <v>0</v>
      </c>
      <c r="P18" s="53">
        <v>0</v>
      </c>
    </row>
    <row r="19" spans="1:16" s="6" customFormat="1" ht="20.45" customHeight="1" x14ac:dyDescent="0.2">
      <c r="A19" s="31" t="s">
        <v>12</v>
      </c>
      <c r="B19" s="25">
        <f>B7+B8</f>
        <v>1638761.8450963546</v>
      </c>
      <c r="C19" s="25">
        <f t="shared" ref="C19:P19" si="0">C7+C8</f>
        <v>58491.962637662844</v>
      </c>
      <c r="D19" s="25">
        <f t="shared" si="0"/>
        <v>42199.130892872745</v>
      </c>
      <c r="E19" s="25">
        <f t="shared" si="0"/>
        <v>1875.8108067512519</v>
      </c>
      <c r="F19" s="25">
        <f t="shared" si="0"/>
        <v>14417.020938038831</v>
      </c>
      <c r="G19" s="25">
        <f t="shared" si="0"/>
        <v>489957.12869381317</v>
      </c>
      <c r="H19" s="25">
        <f t="shared" si="0"/>
        <v>418848.82256603183</v>
      </c>
      <c r="I19" s="25">
        <f t="shared" si="0"/>
        <v>396720.85842275579</v>
      </c>
      <c r="J19" s="25">
        <f t="shared" si="0"/>
        <v>12202.320203304274</v>
      </c>
      <c r="K19" s="25">
        <f t="shared" si="0"/>
        <v>9925.6439399719311</v>
      </c>
      <c r="L19" s="25">
        <f t="shared" si="0"/>
        <v>331349.69832945103</v>
      </c>
      <c r="M19" s="25">
        <f t="shared" si="0"/>
        <v>228078.63767600164</v>
      </c>
      <c r="N19" s="25">
        <f t="shared" si="0"/>
        <v>191499.11435627987</v>
      </c>
      <c r="O19" s="25">
        <f t="shared" si="0"/>
        <v>22363.467587947856</v>
      </c>
      <c r="P19" s="25">
        <f t="shared" si="0"/>
        <v>14216.055731773444</v>
      </c>
    </row>
    <row r="20" spans="1:16" ht="12" customHeight="1" x14ac:dyDescent="0.2">
      <c r="A20" s="22"/>
    </row>
  </sheetData>
  <mergeCells count="11">
    <mergeCell ref="B5:B6"/>
    <mergeCell ref="C5:F5"/>
    <mergeCell ref="A1:P1"/>
    <mergeCell ref="G5:G6"/>
    <mergeCell ref="H5:K5"/>
    <mergeCell ref="L4:P4"/>
    <mergeCell ref="L5:L6"/>
    <mergeCell ref="M5:P5"/>
    <mergeCell ref="A4:A6"/>
    <mergeCell ref="B4:F4"/>
    <mergeCell ref="G4:K4"/>
  </mergeCells>
  <conditionalFormatting sqref="B7:B19">
    <cfRule type="cellIs" dxfId="418" priority="15" stopIfTrue="1" operator="equal">
      <formula>0</formula>
    </cfRule>
  </conditionalFormatting>
  <conditionalFormatting sqref="C7:C19">
    <cfRule type="cellIs" dxfId="417" priority="14" stopIfTrue="1" operator="equal">
      <formula>0</formula>
    </cfRule>
  </conditionalFormatting>
  <conditionalFormatting sqref="D7:D19">
    <cfRule type="cellIs" dxfId="416" priority="13" stopIfTrue="1" operator="equal">
      <formula>0</formula>
    </cfRule>
  </conditionalFormatting>
  <conditionalFormatting sqref="E7:E19">
    <cfRule type="cellIs" dxfId="415" priority="12" stopIfTrue="1" operator="equal">
      <formula>0</formula>
    </cfRule>
  </conditionalFormatting>
  <conditionalFormatting sqref="F7:F19">
    <cfRule type="cellIs" dxfId="414" priority="11" stopIfTrue="1" operator="equal">
      <formula>0</formula>
    </cfRule>
  </conditionalFormatting>
  <conditionalFormatting sqref="G7:G19">
    <cfRule type="cellIs" dxfId="413" priority="10" stopIfTrue="1" operator="equal">
      <formula>0</formula>
    </cfRule>
  </conditionalFormatting>
  <conditionalFormatting sqref="H7:H19">
    <cfRule type="cellIs" dxfId="412" priority="9" stopIfTrue="1" operator="equal">
      <formula>0</formula>
    </cfRule>
  </conditionalFormatting>
  <conditionalFormatting sqref="I7:I19">
    <cfRule type="cellIs" dxfId="411" priority="8" stopIfTrue="1" operator="equal">
      <formula>0</formula>
    </cfRule>
  </conditionalFormatting>
  <conditionalFormatting sqref="J7:J19">
    <cfRule type="cellIs" dxfId="410" priority="7" stopIfTrue="1" operator="equal">
      <formula>0</formula>
    </cfRule>
  </conditionalFormatting>
  <conditionalFormatting sqref="K7:K19">
    <cfRule type="cellIs" dxfId="409" priority="6" stopIfTrue="1" operator="equal">
      <formula>0</formula>
    </cfRule>
  </conditionalFormatting>
  <conditionalFormatting sqref="L7:L19">
    <cfRule type="cellIs" dxfId="408" priority="5" stopIfTrue="1" operator="equal">
      <formula>0</formula>
    </cfRule>
  </conditionalFormatting>
  <conditionalFormatting sqref="M7:M19">
    <cfRule type="cellIs" dxfId="407" priority="4" stopIfTrue="1" operator="equal">
      <formula>0</formula>
    </cfRule>
  </conditionalFormatting>
  <conditionalFormatting sqref="N7:N19">
    <cfRule type="cellIs" dxfId="406" priority="3" stopIfTrue="1" operator="equal">
      <formula>0</formula>
    </cfRule>
  </conditionalFormatting>
  <conditionalFormatting sqref="O7:O19">
    <cfRule type="cellIs" dxfId="405" priority="2" stopIfTrue="1" operator="equal">
      <formula>0</formula>
    </cfRule>
  </conditionalFormatting>
  <conditionalFormatting sqref="P7:P19">
    <cfRule type="cellIs" dxfId="40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4760-D046-4551-9D06-F0579CC68E2E}">
  <dimension ref="A1:P20"/>
  <sheetViews>
    <sheetView zoomScale="89" zoomScaleNormal="75" workbookViewId="0">
      <selection sqref="A1:P1"/>
    </sheetView>
  </sheetViews>
  <sheetFormatPr defaultRowHeight="12.75" x14ac:dyDescent="0.2"/>
  <cols>
    <col min="1" max="1" width="22.42578125" customWidth="1"/>
    <col min="2" max="5" width="9.42578125" customWidth="1"/>
    <col min="6" max="6" width="8" customWidth="1"/>
    <col min="7" max="10" width="9.42578125" customWidth="1"/>
    <col min="11" max="11" width="8.140625" customWidth="1"/>
    <col min="12" max="12" width="9.42578125" customWidth="1"/>
    <col min="13" max="13" width="8.140625" customWidth="1"/>
    <col min="14" max="14" width="7.85546875" customWidth="1"/>
    <col min="15" max="15" width="9.42578125" customWidth="1"/>
    <col min="16" max="16" width="8.140625" customWidth="1"/>
  </cols>
  <sheetData>
    <row r="1" spans="1:16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7"/>
      <c r="M2" s="27"/>
      <c r="N2" s="27"/>
      <c r="O2" s="27"/>
      <c r="P2" s="28" t="s">
        <v>32</v>
      </c>
    </row>
    <row r="3" spans="1:16" x14ac:dyDescent="0.2">
      <c r="A3" s="27" t="s">
        <v>312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s="7" customFormat="1" ht="13.7" customHeight="1" x14ac:dyDescent="0.2">
      <c r="A4" s="129" t="s">
        <v>30</v>
      </c>
      <c r="B4" s="124" t="s">
        <v>311</v>
      </c>
      <c r="C4" s="128"/>
      <c r="D4" s="128"/>
      <c r="E4" s="128"/>
      <c r="F4" s="128"/>
      <c r="G4" s="124" t="s">
        <v>317</v>
      </c>
      <c r="H4" s="128"/>
      <c r="I4" s="128"/>
      <c r="J4" s="128"/>
      <c r="K4" s="128"/>
      <c r="L4" s="124" t="s">
        <v>314</v>
      </c>
      <c r="M4" s="128"/>
      <c r="N4" s="128"/>
      <c r="O4" s="128"/>
      <c r="P4" s="128"/>
    </row>
    <row r="5" spans="1:16" s="7" customFormat="1" ht="34.700000000000003" customHeight="1" x14ac:dyDescent="0.2">
      <c r="A5" s="130"/>
      <c r="B5" s="126" t="s">
        <v>293</v>
      </c>
      <c r="C5" s="196" t="s">
        <v>575</v>
      </c>
      <c r="D5" s="197"/>
      <c r="E5" s="197"/>
      <c r="F5" s="198"/>
      <c r="G5" s="126" t="s">
        <v>293</v>
      </c>
      <c r="H5" s="196" t="s">
        <v>575</v>
      </c>
      <c r="I5" s="197"/>
      <c r="J5" s="197"/>
      <c r="K5" s="198"/>
      <c r="L5" s="121" t="s">
        <v>293</v>
      </c>
      <c r="M5" s="196" t="s">
        <v>575</v>
      </c>
      <c r="N5" s="197"/>
      <c r="O5" s="197"/>
      <c r="P5" s="198"/>
    </row>
    <row r="6" spans="1:16" s="7" customFormat="1" ht="43.5" customHeight="1" x14ac:dyDescent="0.2">
      <c r="A6" s="131"/>
      <c r="B6" s="127"/>
      <c r="C6" s="33" t="s">
        <v>47</v>
      </c>
      <c r="D6" s="33" t="s">
        <v>38</v>
      </c>
      <c r="E6" s="33" t="s">
        <v>309</v>
      </c>
      <c r="F6" s="33" t="s">
        <v>310</v>
      </c>
      <c r="G6" s="127"/>
      <c r="H6" s="33" t="s">
        <v>47</v>
      </c>
      <c r="I6" s="33" t="s">
        <v>38</v>
      </c>
      <c r="J6" s="33" t="s">
        <v>309</v>
      </c>
      <c r="K6" s="33" t="s">
        <v>310</v>
      </c>
      <c r="L6" s="121"/>
      <c r="M6" s="34" t="s">
        <v>47</v>
      </c>
      <c r="N6" s="34" t="s">
        <v>38</v>
      </c>
      <c r="O6" s="34" t="s">
        <v>309</v>
      </c>
      <c r="P6" s="34" t="s">
        <v>310</v>
      </c>
    </row>
    <row r="7" spans="1:16" s="6" customFormat="1" ht="20.45" customHeight="1" x14ac:dyDescent="0.2">
      <c r="A7" s="69" t="s">
        <v>0</v>
      </c>
      <c r="B7" s="49">
        <v>699.95754432677893</v>
      </c>
      <c r="C7" s="49">
        <v>199.61110973358154</v>
      </c>
      <c r="D7" s="49">
        <v>199.61110973358154</v>
      </c>
      <c r="E7" s="49">
        <v>0</v>
      </c>
      <c r="F7" s="49">
        <v>0</v>
      </c>
      <c r="G7" s="49">
        <v>5589.4129931926736</v>
      </c>
      <c r="H7" s="49">
        <v>3161.4698829650874</v>
      </c>
      <c r="I7" s="49">
        <v>2939.6303553581247</v>
      </c>
      <c r="J7" s="49">
        <v>53.083575725555399</v>
      </c>
      <c r="K7" s="49">
        <v>168.75595188140869</v>
      </c>
      <c r="L7" s="49">
        <v>1172.4807806015006</v>
      </c>
      <c r="M7" s="49">
        <v>426.02672100067139</v>
      </c>
      <c r="N7" s="49">
        <v>414.67279911041265</v>
      </c>
      <c r="O7" s="49">
        <v>11.353921890258796</v>
      </c>
      <c r="P7" s="49">
        <v>0</v>
      </c>
    </row>
    <row r="8" spans="1:16" s="6" customFormat="1" ht="20.45" customHeight="1" x14ac:dyDescent="0.2">
      <c r="A8" s="29" t="s">
        <v>1</v>
      </c>
      <c r="B8" s="51">
        <v>50361.142609954033</v>
      </c>
      <c r="C8" s="51">
        <v>22062.250883102428</v>
      </c>
      <c r="D8" s="51">
        <v>19480.785714149497</v>
      </c>
      <c r="E8" s="51">
        <v>1236.2617235183739</v>
      </c>
      <c r="F8" s="51">
        <v>1345.2034454345724</v>
      </c>
      <c r="G8" s="51">
        <v>684994.14901530289</v>
      </c>
      <c r="H8" s="51">
        <v>396608.61668169429</v>
      </c>
      <c r="I8" s="51">
        <v>344166.3360441922</v>
      </c>
      <c r="J8" s="51">
        <v>24651.925172805837</v>
      </c>
      <c r="K8" s="51">
        <v>27790.355464697044</v>
      </c>
      <c r="L8" s="51">
        <v>151244.68494367579</v>
      </c>
      <c r="M8" s="51">
        <v>73415.612651586503</v>
      </c>
      <c r="N8" s="51">
        <v>69042.04768919952</v>
      </c>
      <c r="O8" s="51">
        <v>2299.7971987724304</v>
      </c>
      <c r="P8" s="51">
        <v>2073.7677636146609</v>
      </c>
    </row>
    <row r="9" spans="1:16" ht="20.45" customHeight="1" x14ac:dyDescent="0.2">
      <c r="A9" s="30" t="s">
        <v>2</v>
      </c>
      <c r="B9" s="53">
        <v>3141.0649104118284</v>
      </c>
      <c r="C9" s="53">
        <v>1240.7307772636414</v>
      </c>
      <c r="D9" s="53">
        <v>1137.8551321029665</v>
      </c>
      <c r="E9" s="53">
        <v>59.664279460906961</v>
      </c>
      <c r="F9" s="53">
        <v>43.211365699768074</v>
      </c>
      <c r="G9" s="53">
        <v>42058.414193987672</v>
      </c>
      <c r="H9" s="53">
        <v>19475.443634390835</v>
      </c>
      <c r="I9" s="53">
        <v>16045.058964371672</v>
      </c>
      <c r="J9" s="53">
        <v>1442.6523070335377</v>
      </c>
      <c r="K9" s="53">
        <v>1987.7323629856123</v>
      </c>
      <c r="L9" s="53">
        <v>6083.7452321052688</v>
      </c>
      <c r="M9" s="53">
        <v>1145.5262880325324</v>
      </c>
      <c r="N9" s="53">
        <v>986.87963294982922</v>
      </c>
      <c r="O9" s="53">
        <v>70.928980827331557</v>
      </c>
      <c r="P9" s="53">
        <v>87.717674255371122</v>
      </c>
    </row>
    <row r="10" spans="1:16" ht="20.45" customHeight="1" x14ac:dyDescent="0.2">
      <c r="A10" s="30" t="s">
        <v>3</v>
      </c>
      <c r="B10" s="53">
        <v>6232.2805900573203</v>
      </c>
      <c r="C10" s="53">
        <v>2009.0629444122308</v>
      </c>
      <c r="D10" s="53">
        <v>1510.681611061096</v>
      </c>
      <c r="E10" s="53">
        <v>225.72508716583246</v>
      </c>
      <c r="F10" s="53">
        <v>272.65624618530273</v>
      </c>
      <c r="G10" s="53">
        <v>82652.75063037769</v>
      </c>
      <c r="H10" s="53">
        <v>38591.277411460826</v>
      </c>
      <c r="I10" s="53">
        <v>30505.006850719445</v>
      </c>
      <c r="J10" s="53">
        <v>3484.9385848045399</v>
      </c>
      <c r="K10" s="53">
        <v>4601.3319759368969</v>
      </c>
      <c r="L10" s="53">
        <v>14618.63802838321</v>
      </c>
      <c r="M10" s="53">
        <v>3981.1649298667876</v>
      </c>
      <c r="N10" s="53">
        <v>3504.7069888114934</v>
      </c>
      <c r="O10" s="53">
        <v>293.08137893676758</v>
      </c>
      <c r="P10" s="53">
        <v>183.3765621185303</v>
      </c>
    </row>
    <row r="11" spans="1:16" ht="20.45" customHeight="1" x14ac:dyDescent="0.2">
      <c r="A11" s="30" t="s">
        <v>4</v>
      </c>
      <c r="B11" s="53">
        <v>16102.796764850891</v>
      </c>
      <c r="C11" s="53">
        <v>6147.3704662322989</v>
      </c>
      <c r="D11" s="53">
        <v>5304.9981555938684</v>
      </c>
      <c r="E11" s="53">
        <v>463.11145067214943</v>
      </c>
      <c r="F11" s="53">
        <v>379.26085996627796</v>
      </c>
      <c r="G11" s="53">
        <v>219518.74260568415</v>
      </c>
      <c r="H11" s="53">
        <v>108144.08176541283</v>
      </c>
      <c r="I11" s="53">
        <v>89288.478681802546</v>
      </c>
      <c r="J11" s="53">
        <v>8862.0331945419493</v>
      </c>
      <c r="K11" s="53">
        <v>9993.5698890685981</v>
      </c>
      <c r="L11" s="53">
        <v>42625.472637891675</v>
      </c>
      <c r="M11" s="53">
        <v>14981.634943485276</v>
      </c>
      <c r="N11" s="53">
        <v>13553.780352115635</v>
      </c>
      <c r="O11" s="53">
        <v>724.03034210205078</v>
      </c>
      <c r="P11" s="53">
        <v>703.82424926757767</v>
      </c>
    </row>
    <row r="12" spans="1:16" ht="20.45" customHeight="1" x14ac:dyDescent="0.2">
      <c r="A12" s="30" t="s">
        <v>5</v>
      </c>
      <c r="B12" s="53">
        <v>14287.046859860469</v>
      </c>
      <c r="C12" s="53">
        <v>6632.4706704616647</v>
      </c>
      <c r="D12" s="53">
        <v>5958.0782978534698</v>
      </c>
      <c r="E12" s="53">
        <v>373.76738357543951</v>
      </c>
      <c r="F12" s="53">
        <v>300.62498903274525</v>
      </c>
      <c r="G12" s="53">
        <v>187882.7743735305</v>
      </c>
      <c r="H12" s="53">
        <v>111453.58123540894</v>
      </c>
      <c r="I12" s="53">
        <v>97542.992209672942</v>
      </c>
      <c r="J12" s="53">
        <v>6916.596359729745</v>
      </c>
      <c r="K12" s="53">
        <v>6993.9926660060646</v>
      </c>
      <c r="L12" s="53">
        <v>44226.802344322612</v>
      </c>
      <c r="M12" s="53">
        <v>23244.44730758663</v>
      </c>
      <c r="N12" s="53">
        <v>21905.926231861136</v>
      </c>
      <c r="O12" s="53">
        <v>711.93748712539673</v>
      </c>
      <c r="P12" s="53">
        <v>626.58358860015869</v>
      </c>
    </row>
    <row r="13" spans="1:16" ht="20.45" customHeight="1" x14ac:dyDescent="0.2">
      <c r="A13" s="30" t="s">
        <v>6</v>
      </c>
      <c r="B13" s="53">
        <v>7669.1782467365701</v>
      </c>
      <c r="C13" s="53">
        <v>4025.8440620899182</v>
      </c>
      <c r="D13" s="53">
        <v>3714.1639935970325</v>
      </c>
      <c r="E13" s="53">
        <v>95.454826354980455</v>
      </c>
      <c r="F13" s="53">
        <v>216.22524213790894</v>
      </c>
      <c r="G13" s="53">
        <v>109107.93922472074</v>
      </c>
      <c r="H13" s="53">
        <v>78261.956510781791</v>
      </c>
      <c r="I13" s="53">
        <v>72250.316622495433</v>
      </c>
      <c r="J13" s="53">
        <v>2960.4966268539329</v>
      </c>
      <c r="K13" s="53">
        <v>3051.1432614326468</v>
      </c>
      <c r="L13" s="53">
        <v>31852.285513639443</v>
      </c>
      <c r="M13" s="53">
        <v>21497.914442062367</v>
      </c>
      <c r="N13" s="53">
        <v>20776.528643608082</v>
      </c>
      <c r="O13" s="53">
        <v>387.44328498840247</v>
      </c>
      <c r="P13" s="53">
        <v>333.94251346588135</v>
      </c>
    </row>
    <row r="14" spans="1:16" ht="20.45" customHeight="1" x14ac:dyDescent="0.2">
      <c r="A14" s="30" t="s">
        <v>7</v>
      </c>
      <c r="B14" s="53">
        <v>1826.6816883087172</v>
      </c>
      <c r="C14" s="53">
        <v>1170.7248449325559</v>
      </c>
      <c r="D14" s="53">
        <v>1096.8627600669865</v>
      </c>
      <c r="E14" s="53">
        <v>18.538696289062507</v>
      </c>
      <c r="F14" s="53">
        <v>55.323388576507575</v>
      </c>
      <c r="G14" s="53">
        <v>26928.444995403373</v>
      </c>
      <c r="H14" s="53">
        <v>22623.900622606267</v>
      </c>
      <c r="I14" s="53">
        <v>21039.373074293133</v>
      </c>
      <c r="J14" s="53">
        <v>750.14152097701935</v>
      </c>
      <c r="K14" s="53">
        <v>834.38602733612208</v>
      </c>
      <c r="L14" s="53">
        <v>7779.0582201480938</v>
      </c>
      <c r="M14" s="53">
        <v>5678.0901415348108</v>
      </c>
      <c r="N14" s="53">
        <v>5484.9972631931296</v>
      </c>
      <c r="O14" s="53">
        <v>80.167490005493093</v>
      </c>
      <c r="P14" s="53">
        <v>112.92538833618158</v>
      </c>
    </row>
    <row r="15" spans="1:16" ht="20.45" customHeight="1" x14ac:dyDescent="0.2">
      <c r="A15" s="30" t="s">
        <v>8</v>
      </c>
      <c r="B15" s="53">
        <v>608.86491489410434</v>
      </c>
      <c r="C15" s="53">
        <v>480.35843515396124</v>
      </c>
      <c r="D15" s="53">
        <v>480.35843515396124</v>
      </c>
      <c r="E15" s="53">
        <v>0</v>
      </c>
      <c r="F15" s="53">
        <v>0</v>
      </c>
      <c r="G15" s="53">
        <v>9789.5747704505829</v>
      </c>
      <c r="H15" s="53">
        <v>9842.8343265056428</v>
      </c>
      <c r="I15" s="53">
        <v>9452.3063571453094</v>
      </c>
      <c r="J15" s="53">
        <v>146.57367992401134</v>
      </c>
      <c r="K15" s="53">
        <v>243.95428943634013</v>
      </c>
      <c r="L15" s="53">
        <v>2434.4672641754159</v>
      </c>
      <c r="M15" s="53">
        <v>1766.9421935081475</v>
      </c>
      <c r="N15" s="53">
        <v>1727.9572496414182</v>
      </c>
      <c r="O15" s="53">
        <v>32.208234786987298</v>
      </c>
      <c r="P15" s="53">
        <v>6.776709079742429</v>
      </c>
    </row>
    <row r="16" spans="1:16" ht="20.45" customHeight="1" x14ac:dyDescent="0.2">
      <c r="A16" s="30" t="s">
        <v>9</v>
      </c>
      <c r="B16" s="53">
        <v>222.35770988464341</v>
      </c>
      <c r="C16" s="53">
        <v>105.65594959259033</v>
      </c>
      <c r="D16" s="53">
        <v>97.044888496398926</v>
      </c>
      <c r="E16" s="53">
        <v>0</v>
      </c>
      <c r="F16" s="53">
        <v>8.6110610961914063</v>
      </c>
      <c r="G16" s="53">
        <v>3129.7152338027959</v>
      </c>
      <c r="H16" s="53">
        <v>3340.2799844741826</v>
      </c>
      <c r="I16" s="53">
        <v>3247.1510381698604</v>
      </c>
      <c r="J16" s="53">
        <v>77.301753044128375</v>
      </c>
      <c r="K16" s="53">
        <v>15.827193260192855</v>
      </c>
      <c r="L16" s="53">
        <v>855.76695346832309</v>
      </c>
      <c r="M16" s="53">
        <v>554.20751953125</v>
      </c>
      <c r="N16" s="53">
        <v>554.20751953125</v>
      </c>
      <c r="O16" s="53">
        <v>0</v>
      </c>
      <c r="P16" s="53">
        <v>0</v>
      </c>
    </row>
    <row r="17" spans="1:16" ht="20.45" customHeight="1" x14ac:dyDescent="0.2">
      <c r="A17" s="30" t="s">
        <v>10</v>
      </c>
      <c r="B17" s="53">
        <v>250.0146102905274</v>
      </c>
      <c r="C17" s="53">
        <v>202.83902931213376</v>
      </c>
      <c r="D17" s="53">
        <v>133.54873657226563</v>
      </c>
      <c r="E17" s="53">
        <v>0</v>
      </c>
      <c r="F17" s="53">
        <v>69.290292739868164</v>
      </c>
      <c r="G17" s="53">
        <v>3461.2287049293514</v>
      </c>
      <c r="H17" s="53">
        <v>4039.121467828752</v>
      </c>
      <c r="I17" s="53">
        <v>3988.7064256668127</v>
      </c>
      <c r="J17" s="53">
        <v>11.191145896911623</v>
      </c>
      <c r="K17" s="53">
        <v>39.223896265029843</v>
      </c>
      <c r="L17" s="53">
        <v>685.16720676422108</v>
      </c>
      <c r="M17" s="53">
        <v>469.37592506408697</v>
      </c>
      <c r="N17" s="53">
        <v>450.75484657287598</v>
      </c>
      <c r="O17" s="53">
        <v>0</v>
      </c>
      <c r="P17" s="53">
        <v>18.621078491210934</v>
      </c>
    </row>
    <row r="18" spans="1:16" ht="20.45" customHeight="1" x14ac:dyDescent="0.2">
      <c r="A18" s="30" t="s">
        <v>11</v>
      </c>
      <c r="B18" s="53">
        <v>20.856314659118652</v>
      </c>
      <c r="C18" s="53">
        <v>47.193703651428223</v>
      </c>
      <c r="D18" s="53">
        <v>47.193703651428223</v>
      </c>
      <c r="E18" s="53">
        <v>0</v>
      </c>
      <c r="F18" s="53">
        <v>0</v>
      </c>
      <c r="G18" s="53">
        <v>464.56428241729742</v>
      </c>
      <c r="H18" s="53">
        <v>836.13972282409668</v>
      </c>
      <c r="I18" s="53">
        <v>806.9458198547361</v>
      </c>
      <c r="J18" s="53">
        <v>0</v>
      </c>
      <c r="K18" s="53">
        <v>29.193902969360359</v>
      </c>
      <c r="L18" s="53">
        <v>83.281542778015123</v>
      </c>
      <c r="M18" s="53">
        <v>96.308960914611816</v>
      </c>
      <c r="N18" s="53">
        <v>96.308960914611816</v>
      </c>
      <c r="O18" s="53">
        <v>0</v>
      </c>
      <c r="P18" s="53">
        <v>0</v>
      </c>
    </row>
    <row r="19" spans="1:16" s="6" customFormat="1" ht="20.45" customHeight="1" x14ac:dyDescent="0.2">
      <c r="A19" s="31" t="s">
        <v>12</v>
      </c>
      <c r="B19" s="25">
        <f>B7+B8</f>
        <v>51061.100154280815</v>
      </c>
      <c r="C19" s="25">
        <f t="shared" ref="C19:P19" si="0">C7+C8</f>
        <v>22261.861992836009</v>
      </c>
      <c r="D19" s="25">
        <f t="shared" si="0"/>
        <v>19680.396823883078</v>
      </c>
      <c r="E19" s="25">
        <f t="shared" si="0"/>
        <v>1236.2617235183739</v>
      </c>
      <c r="F19" s="25">
        <f t="shared" si="0"/>
        <v>1345.2034454345724</v>
      </c>
      <c r="G19" s="25">
        <f t="shared" si="0"/>
        <v>690583.56200849556</v>
      </c>
      <c r="H19" s="25">
        <f t="shared" si="0"/>
        <v>399770.08656465937</v>
      </c>
      <c r="I19" s="25">
        <f t="shared" si="0"/>
        <v>347105.96639955032</v>
      </c>
      <c r="J19" s="25">
        <f t="shared" si="0"/>
        <v>24705.008748531392</v>
      </c>
      <c r="K19" s="25">
        <f t="shared" si="0"/>
        <v>27959.111416578453</v>
      </c>
      <c r="L19" s="25">
        <f t="shared" si="0"/>
        <v>152417.16572427729</v>
      </c>
      <c r="M19" s="25">
        <f t="shared" si="0"/>
        <v>73841.639372587175</v>
      </c>
      <c r="N19" s="25">
        <f t="shared" si="0"/>
        <v>69456.720488309933</v>
      </c>
      <c r="O19" s="25">
        <f t="shared" si="0"/>
        <v>2311.1511206626892</v>
      </c>
      <c r="P19" s="25">
        <f t="shared" si="0"/>
        <v>2073.7677636146609</v>
      </c>
    </row>
    <row r="20" spans="1:16" ht="12" customHeight="1" x14ac:dyDescent="0.2">
      <c r="A20" s="22"/>
    </row>
  </sheetData>
  <mergeCells count="11">
    <mergeCell ref="B5:B6"/>
    <mergeCell ref="C5:F5"/>
    <mergeCell ref="G5:G6"/>
    <mergeCell ref="H5:K5"/>
    <mergeCell ref="L5:L6"/>
    <mergeCell ref="M5:P5"/>
    <mergeCell ref="A1:P1"/>
    <mergeCell ref="A4:A6"/>
    <mergeCell ref="B4:F4"/>
    <mergeCell ref="G4:K4"/>
    <mergeCell ref="L4:P4"/>
  </mergeCells>
  <conditionalFormatting sqref="B7:B19">
    <cfRule type="cellIs" dxfId="403" priority="15" stopIfTrue="1" operator="equal">
      <formula>0</formula>
    </cfRule>
  </conditionalFormatting>
  <conditionalFormatting sqref="C7:C19">
    <cfRule type="cellIs" dxfId="402" priority="14" stopIfTrue="1" operator="equal">
      <formula>0</formula>
    </cfRule>
  </conditionalFormatting>
  <conditionalFormatting sqref="D7:D19">
    <cfRule type="cellIs" dxfId="401" priority="13" stopIfTrue="1" operator="equal">
      <formula>0</formula>
    </cfRule>
  </conditionalFormatting>
  <conditionalFormatting sqref="E7:E19">
    <cfRule type="cellIs" dxfId="400" priority="12" stopIfTrue="1" operator="equal">
      <formula>0</formula>
    </cfRule>
  </conditionalFormatting>
  <conditionalFormatting sqref="F7:F19">
    <cfRule type="cellIs" dxfId="399" priority="11" stopIfTrue="1" operator="equal">
      <formula>0</formula>
    </cfRule>
  </conditionalFormatting>
  <conditionalFormatting sqref="G7:G19">
    <cfRule type="cellIs" dxfId="398" priority="10" stopIfTrue="1" operator="equal">
      <formula>0</formula>
    </cfRule>
  </conditionalFormatting>
  <conditionalFormatting sqref="H7:H19">
    <cfRule type="cellIs" dxfId="397" priority="9" stopIfTrue="1" operator="equal">
      <formula>0</formula>
    </cfRule>
  </conditionalFormatting>
  <conditionalFormatting sqref="I7:I19">
    <cfRule type="cellIs" dxfId="396" priority="8" stopIfTrue="1" operator="equal">
      <formula>0</formula>
    </cfRule>
  </conditionalFormatting>
  <conditionalFormatting sqref="J7:J19">
    <cfRule type="cellIs" dxfId="395" priority="7" stopIfTrue="1" operator="equal">
      <formula>0</formula>
    </cfRule>
  </conditionalFormatting>
  <conditionalFormatting sqref="K7:K19">
    <cfRule type="cellIs" dxfId="394" priority="6" stopIfTrue="1" operator="equal">
      <formula>0</formula>
    </cfRule>
  </conditionalFormatting>
  <conditionalFormatting sqref="L7:L19">
    <cfRule type="cellIs" dxfId="393" priority="5" stopIfTrue="1" operator="equal">
      <formula>0</formula>
    </cfRule>
  </conditionalFormatting>
  <conditionalFormatting sqref="M7:M19">
    <cfRule type="cellIs" dxfId="392" priority="4" stopIfTrue="1" operator="equal">
      <formula>0</formula>
    </cfRule>
  </conditionalFormatting>
  <conditionalFormatting sqref="N7:N19">
    <cfRule type="cellIs" dxfId="391" priority="3" stopIfTrue="1" operator="equal">
      <formula>0</formula>
    </cfRule>
  </conditionalFormatting>
  <conditionalFormatting sqref="O7:O19">
    <cfRule type="cellIs" dxfId="390" priority="2" stopIfTrue="1" operator="equal">
      <formula>0</formula>
    </cfRule>
  </conditionalFormatting>
  <conditionalFormatting sqref="P7:P19">
    <cfRule type="cellIs" dxfId="38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19EB-62DA-434D-A680-81B0D08BCDA7}">
  <dimension ref="A1:P20"/>
  <sheetViews>
    <sheetView zoomScale="78" zoomScaleNormal="75" workbookViewId="0">
      <selection sqref="A1:P1"/>
    </sheetView>
  </sheetViews>
  <sheetFormatPr defaultRowHeight="12.75" x14ac:dyDescent="0.2"/>
  <cols>
    <col min="1" max="1" width="23" customWidth="1"/>
    <col min="2" max="16" width="9.140625" customWidth="1"/>
  </cols>
  <sheetData>
    <row r="1" spans="1:16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7"/>
      <c r="M2" s="27"/>
      <c r="N2" s="27"/>
      <c r="O2" s="27"/>
      <c r="P2" s="28" t="s">
        <v>32</v>
      </c>
    </row>
    <row r="3" spans="1:16" x14ac:dyDescent="0.2">
      <c r="A3" s="27" t="s">
        <v>315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s="7" customFormat="1" x14ac:dyDescent="0.2">
      <c r="A4" s="129" t="s">
        <v>30</v>
      </c>
      <c r="B4" s="124" t="s">
        <v>305</v>
      </c>
      <c r="C4" s="128"/>
      <c r="D4" s="128"/>
      <c r="E4" s="128"/>
      <c r="F4" s="128"/>
      <c r="G4" s="124" t="s">
        <v>615</v>
      </c>
      <c r="H4" s="128"/>
      <c r="I4" s="128"/>
      <c r="J4" s="128"/>
      <c r="K4" s="128"/>
      <c r="L4" s="124" t="s">
        <v>306</v>
      </c>
      <c r="M4" s="128"/>
      <c r="N4" s="128"/>
      <c r="O4" s="128"/>
      <c r="P4" s="128"/>
    </row>
    <row r="5" spans="1:16" s="7" customFormat="1" ht="33.6" customHeight="1" x14ac:dyDescent="0.2">
      <c r="A5" s="130"/>
      <c r="B5" s="126" t="s">
        <v>293</v>
      </c>
      <c r="C5" s="196" t="s">
        <v>575</v>
      </c>
      <c r="D5" s="197"/>
      <c r="E5" s="197"/>
      <c r="F5" s="198"/>
      <c r="G5" s="126" t="s">
        <v>293</v>
      </c>
      <c r="H5" s="196" t="s">
        <v>575</v>
      </c>
      <c r="I5" s="197"/>
      <c r="J5" s="197"/>
      <c r="K5" s="198"/>
      <c r="L5" s="121" t="s">
        <v>293</v>
      </c>
      <c r="M5" s="196" t="s">
        <v>575</v>
      </c>
      <c r="N5" s="197"/>
      <c r="O5" s="197"/>
      <c r="P5" s="198"/>
    </row>
    <row r="6" spans="1:16" s="7" customFormat="1" ht="43.5" customHeight="1" x14ac:dyDescent="0.2">
      <c r="A6" s="131"/>
      <c r="B6" s="127"/>
      <c r="C6" s="33" t="s">
        <v>47</v>
      </c>
      <c r="D6" s="33" t="s">
        <v>38</v>
      </c>
      <c r="E6" s="33" t="s">
        <v>309</v>
      </c>
      <c r="F6" s="33" t="s">
        <v>310</v>
      </c>
      <c r="G6" s="127"/>
      <c r="H6" s="33" t="s">
        <v>47</v>
      </c>
      <c r="I6" s="33" t="s">
        <v>38</v>
      </c>
      <c r="J6" s="33" t="s">
        <v>309</v>
      </c>
      <c r="K6" s="33" t="s">
        <v>310</v>
      </c>
      <c r="L6" s="121"/>
      <c r="M6" s="34" t="s">
        <v>47</v>
      </c>
      <c r="N6" s="34" t="s">
        <v>38</v>
      </c>
      <c r="O6" s="34" t="s">
        <v>309</v>
      </c>
      <c r="P6" s="34" t="s">
        <v>310</v>
      </c>
    </row>
    <row r="7" spans="1:16" s="6" customFormat="1" ht="20.45" customHeight="1" x14ac:dyDescent="0.2">
      <c r="A7" s="69" t="s">
        <v>0</v>
      </c>
      <c r="B7" s="49">
        <v>12056.103081226294</v>
      </c>
      <c r="C7" s="49">
        <v>8054.2654213905353</v>
      </c>
      <c r="D7" s="49">
        <v>7555.7616558074915</v>
      </c>
      <c r="E7" s="49">
        <v>107.333842277527</v>
      </c>
      <c r="F7" s="49">
        <v>391.16992330551125</v>
      </c>
      <c r="G7" s="49">
        <v>4590.9295840263576</v>
      </c>
      <c r="H7" s="49">
        <v>3486.7418260574364</v>
      </c>
      <c r="I7" s="49">
        <v>3362.6514658927922</v>
      </c>
      <c r="J7" s="49">
        <v>15.05088186264039</v>
      </c>
      <c r="K7" s="49">
        <v>109.03947830200194</v>
      </c>
      <c r="L7" s="49">
        <v>425.65569496154865</v>
      </c>
      <c r="M7" s="49">
        <v>57.336203575134277</v>
      </c>
      <c r="N7" s="49">
        <v>38.775758743286133</v>
      </c>
      <c r="O7" s="49">
        <v>0</v>
      </c>
      <c r="P7" s="49">
        <v>18.560444831848145</v>
      </c>
    </row>
    <row r="8" spans="1:16" s="6" customFormat="1" ht="20.45" customHeight="1" x14ac:dyDescent="0.2">
      <c r="A8" s="29" t="s">
        <v>1</v>
      </c>
      <c r="B8" s="51">
        <v>1138782.3461618624</v>
      </c>
      <c r="C8" s="51">
        <v>762178.44424020383</v>
      </c>
      <c r="D8" s="51">
        <v>697088.73856723425</v>
      </c>
      <c r="E8" s="51">
        <v>29887.940573454191</v>
      </c>
      <c r="F8" s="51">
        <v>35201.765099525459</v>
      </c>
      <c r="G8" s="51">
        <v>166927.82987475928</v>
      </c>
      <c r="H8" s="51">
        <v>140132.01978898115</v>
      </c>
      <c r="I8" s="51">
        <v>134980.97348141595</v>
      </c>
      <c r="J8" s="51">
        <v>2898.7586817741399</v>
      </c>
      <c r="K8" s="51">
        <v>2252.2876257896346</v>
      </c>
      <c r="L8" s="51">
        <v>29599.406589507944</v>
      </c>
      <c r="M8" s="51">
        <v>3331.2570292949677</v>
      </c>
      <c r="N8" s="51">
        <v>2238.3122203350067</v>
      </c>
      <c r="O8" s="51">
        <v>143.61936664581293</v>
      </c>
      <c r="P8" s="51">
        <v>949.32544231414715</v>
      </c>
    </row>
    <row r="9" spans="1:16" ht="20.45" customHeight="1" x14ac:dyDescent="0.2">
      <c r="A9" s="30" t="s">
        <v>2</v>
      </c>
      <c r="B9" s="53">
        <v>91796.67972218986</v>
      </c>
      <c r="C9" s="53">
        <v>54954.300689816293</v>
      </c>
      <c r="D9" s="53">
        <v>47721.469339490017</v>
      </c>
      <c r="E9" s="53">
        <v>3111.891129493707</v>
      </c>
      <c r="F9" s="53">
        <v>4120.9402208328102</v>
      </c>
      <c r="G9" s="53">
        <v>7423.9956398009426</v>
      </c>
      <c r="H9" s="53">
        <v>5456.2855281829825</v>
      </c>
      <c r="I9" s="53">
        <v>5239.9648098945627</v>
      </c>
      <c r="J9" s="53">
        <v>60.770822525024442</v>
      </c>
      <c r="K9" s="53">
        <v>155.54989576339727</v>
      </c>
      <c r="L9" s="53">
        <v>1792.1342844963115</v>
      </c>
      <c r="M9" s="53">
        <v>135.40840911865234</v>
      </c>
      <c r="N9" s="53">
        <v>98.947628021240234</v>
      </c>
      <c r="O9" s="53">
        <v>0</v>
      </c>
      <c r="P9" s="53">
        <v>36.460781097412102</v>
      </c>
    </row>
    <row r="10" spans="1:16" ht="20.45" customHeight="1" x14ac:dyDescent="0.2">
      <c r="A10" s="30" t="s">
        <v>3</v>
      </c>
      <c r="B10" s="53">
        <v>145366.0350950968</v>
      </c>
      <c r="C10" s="53">
        <v>83522.050120234184</v>
      </c>
      <c r="D10" s="53">
        <v>74138.604405283841</v>
      </c>
      <c r="E10" s="53">
        <v>3970.2211227417115</v>
      </c>
      <c r="F10" s="53">
        <v>5413.224592208865</v>
      </c>
      <c r="G10" s="53">
        <v>16419.95702075959</v>
      </c>
      <c r="H10" s="53">
        <v>12318.877505779263</v>
      </c>
      <c r="I10" s="53">
        <v>11802.68272113798</v>
      </c>
      <c r="J10" s="53">
        <v>355.77902746200556</v>
      </c>
      <c r="K10" s="53">
        <v>160.41575717926034</v>
      </c>
      <c r="L10" s="53">
        <v>3845.9262948036135</v>
      </c>
      <c r="M10" s="53">
        <v>237.9443531036377</v>
      </c>
      <c r="N10" s="53">
        <v>143.26356172561646</v>
      </c>
      <c r="O10" s="53">
        <v>0</v>
      </c>
      <c r="P10" s="53">
        <v>94.680791378021226</v>
      </c>
    </row>
    <row r="11" spans="1:16" ht="20.45" customHeight="1" x14ac:dyDescent="0.2">
      <c r="A11" s="30" t="s">
        <v>4</v>
      </c>
      <c r="B11" s="53">
        <v>375288.56079696998</v>
      </c>
      <c r="C11" s="53">
        <v>231330.69629251913</v>
      </c>
      <c r="D11" s="53">
        <v>209609.98827874663</v>
      </c>
      <c r="E11" s="53">
        <v>9912.659515142399</v>
      </c>
      <c r="F11" s="53">
        <v>11808.048498630571</v>
      </c>
      <c r="G11" s="53">
        <v>48043.012350559402</v>
      </c>
      <c r="H11" s="53">
        <v>38881.279961109205</v>
      </c>
      <c r="I11" s="53">
        <v>36801.587059020974</v>
      </c>
      <c r="J11" s="53">
        <v>1091.5014882087721</v>
      </c>
      <c r="K11" s="53">
        <v>988.19141387939533</v>
      </c>
      <c r="L11" s="53">
        <v>9883.2013788224031</v>
      </c>
      <c r="M11" s="53">
        <v>834.17669391632103</v>
      </c>
      <c r="N11" s="53">
        <v>435.44150018692034</v>
      </c>
      <c r="O11" s="53">
        <v>44.370851516723633</v>
      </c>
      <c r="P11" s="53">
        <v>354.36434221267695</v>
      </c>
    </row>
    <row r="12" spans="1:16" ht="20.45" customHeight="1" x14ac:dyDescent="0.2">
      <c r="A12" s="30" t="s">
        <v>5</v>
      </c>
      <c r="B12" s="53">
        <v>306770.24020624085</v>
      </c>
      <c r="C12" s="53">
        <v>210345.25913643854</v>
      </c>
      <c r="D12" s="53">
        <v>193137.87639188682</v>
      </c>
      <c r="E12" s="53">
        <v>8202.4054136275827</v>
      </c>
      <c r="F12" s="53">
        <v>9004.9773309231205</v>
      </c>
      <c r="G12" s="53">
        <v>50165.153756618674</v>
      </c>
      <c r="H12" s="53">
        <v>42903.754612445962</v>
      </c>
      <c r="I12" s="53">
        <v>41368.508869647907</v>
      </c>
      <c r="J12" s="53">
        <v>929.38612174987691</v>
      </c>
      <c r="K12" s="53">
        <v>605.85962104797352</v>
      </c>
      <c r="L12" s="53">
        <v>8346.0516231059846</v>
      </c>
      <c r="M12" s="53">
        <v>1170.5615458488467</v>
      </c>
      <c r="N12" s="53">
        <v>756.99383211135864</v>
      </c>
      <c r="O12" s="53">
        <v>58.187281131744356</v>
      </c>
      <c r="P12" s="53">
        <v>355.38043260574347</v>
      </c>
    </row>
    <row r="13" spans="1:16" ht="20.45" customHeight="1" x14ac:dyDescent="0.2">
      <c r="A13" s="30" t="s">
        <v>6</v>
      </c>
      <c r="B13" s="53">
        <v>161836.87768936291</v>
      </c>
      <c r="C13" s="53">
        <v>125557.72099447234</v>
      </c>
      <c r="D13" s="53">
        <v>117963.6086897847</v>
      </c>
      <c r="E13" s="53">
        <v>3593.8228106498741</v>
      </c>
      <c r="F13" s="53">
        <v>4000.2894940376359</v>
      </c>
      <c r="G13" s="53">
        <v>31490.356697797983</v>
      </c>
      <c r="H13" s="53">
        <v>27879.921893358158</v>
      </c>
      <c r="I13" s="53">
        <v>27248.423146009347</v>
      </c>
      <c r="J13" s="53">
        <v>383.71374464035046</v>
      </c>
      <c r="K13" s="53">
        <v>247.78500270843486</v>
      </c>
      <c r="L13" s="53">
        <v>4267.4932951927067</v>
      </c>
      <c r="M13" s="53">
        <v>568.80635690689098</v>
      </c>
      <c r="N13" s="53">
        <v>454.90125036239624</v>
      </c>
      <c r="O13" s="53">
        <v>34.284524917602532</v>
      </c>
      <c r="P13" s="53">
        <v>79.620581626892061</v>
      </c>
    </row>
    <row r="14" spans="1:16" ht="20.45" customHeight="1" x14ac:dyDescent="0.2">
      <c r="A14" s="30" t="s">
        <v>7</v>
      </c>
      <c r="B14" s="53">
        <v>36734.729056358367</v>
      </c>
      <c r="C14" s="53">
        <v>32100.066348314253</v>
      </c>
      <c r="D14" s="53">
        <v>30782.958060264511</v>
      </c>
      <c r="E14" s="53">
        <v>768.35540914535409</v>
      </c>
      <c r="F14" s="53">
        <v>548.75287890434367</v>
      </c>
      <c r="G14" s="53">
        <v>8021.700496196755</v>
      </c>
      <c r="H14" s="53">
        <v>7530.2310476303073</v>
      </c>
      <c r="I14" s="53">
        <v>7416.6760187148975</v>
      </c>
      <c r="J14" s="53">
        <v>57.04747009277343</v>
      </c>
      <c r="K14" s="53">
        <v>56.5075588226318</v>
      </c>
      <c r="L14" s="53">
        <v>928.080817461013</v>
      </c>
      <c r="M14" s="53">
        <v>225.21375441551208</v>
      </c>
      <c r="N14" s="53">
        <v>208.24177765846252</v>
      </c>
      <c r="O14" s="53">
        <v>0</v>
      </c>
      <c r="P14" s="53">
        <v>16.971976757049564</v>
      </c>
    </row>
    <row r="15" spans="1:16" ht="20.45" customHeight="1" x14ac:dyDescent="0.2">
      <c r="A15" s="30" t="s">
        <v>8</v>
      </c>
      <c r="B15" s="53">
        <v>12484.840971946714</v>
      </c>
      <c r="C15" s="53">
        <v>13582.859547376609</v>
      </c>
      <c r="D15" s="53">
        <v>13126.362323522564</v>
      </c>
      <c r="E15" s="53">
        <v>243.7931499481202</v>
      </c>
      <c r="F15" s="53">
        <v>212.70407390594471</v>
      </c>
      <c r="G15" s="53">
        <v>2979.4785618782034</v>
      </c>
      <c r="H15" s="53">
        <v>2770.2833428382874</v>
      </c>
      <c r="I15" s="53">
        <v>2711.7449593543993</v>
      </c>
      <c r="J15" s="53">
        <v>20.560007095336935</v>
      </c>
      <c r="K15" s="53">
        <v>37.978376388549812</v>
      </c>
      <c r="L15" s="53">
        <v>292.96844196319529</v>
      </c>
      <c r="M15" s="53">
        <v>37.774647235870361</v>
      </c>
      <c r="N15" s="53">
        <v>30.99793815612793</v>
      </c>
      <c r="O15" s="53">
        <v>6.7767090797424325</v>
      </c>
      <c r="P15" s="53">
        <v>0</v>
      </c>
    </row>
    <row r="16" spans="1:16" ht="20.45" customHeight="1" x14ac:dyDescent="0.2">
      <c r="A16" s="30" t="s">
        <v>9</v>
      </c>
      <c r="B16" s="53">
        <v>3962.5943419933346</v>
      </c>
      <c r="C16" s="53">
        <v>4769.0355851650284</v>
      </c>
      <c r="D16" s="53">
        <v>4695.1040995120975</v>
      </c>
      <c r="E16" s="53">
        <v>43.68022155761718</v>
      </c>
      <c r="F16" s="53">
        <v>30.251264095306414</v>
      </c>
      <c r="G16" s="53">
        <v>1070.001623153687</v>
      </c>
      <c r="H16" s="53">
        <v>1060.025408744812</v>
      </c>
      <c r="I16" s="53">
        <v>1060.025408744812</v>
      </c>
      <c r="J16" s="53">
        <v>0</v>
      </c>
      <c r="K16" s="53">
        <v>0</v>
      </c>
      <c r="L16" s="53">
        <v>121.86265850067146</v>
      </c>
      <c r="M16" s="53">
        <v>47.950830936431885</v>
      </c>
      <c r="N16" s="53">
        <v>47.950830936431885</v>
      </c>
      <c r="O16" s="53">
        <v>0</v>
      </c>
      <c r="P16" s="53">
        <v>0</v>
      </c>
    </row>
    <row r="17" spans="1:16" ht="20.45" customHeight="1" x14ac:dyDescent="0.2">
      <c r="A17" s="30" t="s">
        <v>10</v>
      </c>
      <c r="B17" s="53">
        <v>4044.9582502841909</v>
      </c>
      <c r="C17" s="53">
        <v>5075.5747852325403</v>
      </c>
      <c r="D17" s="53">
        <v>4971.8862380981473</v>
      </c>
      <c r="E17" s="53">
        <v>41.111801147460973</v>
      </c>
      <c r="F17" s="53">
        <v>62.576745986938491</v>
      </c>
      <c r="G17" s="53">
        <v>1118.4344286918647</v>
      </c>
      <c r="H17" s="53">
        <v>1111.9298796653745</v>
      </c>
      <c r="I17" s="53">
        <v>1111.9298796653745</v>
      </c>
      <c r="J17" s="53">
        <v>0</v>
      </c>
      <c r="K17" s="53">
        <v>0</v>
      </c>
      <c r="L17" s="53">
        <v>93.103460788726807</v>
      </c>
      <c r="M17" s="53">
        <v>55.301201820373535</v>
      </c>
      <c r="N17" s="53">
        <v>43.454665184020996</v>
      </c>
      <c r="O17" s="53">
        <v>0</v>
      </c>
      <c r="P17" s="53">
        <v>11.846536636352539</v>
      </c>
    </row>
    <row r="18" spans="1:16" ht="20.45" customHeight="1" x14ac:dyDescent="0.2">
      <c r="A18" s="30" t="s">
        <v>11</v>
      </c>
      <c r="B18" s="53">
        <v>496.83003139495844</v>
      </c>
      <c r="C18" s="53">
        <v>940.88074064254749</v>
      </c>
      <c r="D18" s="53">
        <v>940.88074064254749</v>
      </c>
      <c r="E18" s="53">
        <v>0</v>
      </c>
      <c r="F18" s="53">
        <v>0</v>
      </c>
      <c r="G18" s="53">
        <v>195.73929929733276</v>
      </c>
      <c r="H18" s="53">
        <v>219.43060922622686</v>
      </c>
      <c r="I18" s="53">
        <v>219.43060922622686</v>
      </c>
      <c r="J18" s="53">
        <v>0</v>
      </c>
      <c r="K18" s="53">
        <v>0</v>
      </c>
      <c r="L18" s="53">
        <v>28.584334373474118</v>
      </c>
      <c r="M18" s="53">
        <v>18.119235992431641</v>
      </c>
      <c r="N18" s="53">
        <v>18.119235992431641</v>
      </c>
      <c r="O18" s="53">
        <v>0</v>
      </c>
      <c r="P18" s="53">
        <v>0</v>
      </c>
    </row>
    <row r="19" spans="1:16" s="6" customFormat="1" ht="20.45" customHeight="1" x14ac:dyDescent="0.2">
      <c r="A19" s="31" t="s">
        <v>12</v>
      </c>
      <c r="B19" s="25">
        <f>B7+B8</f>
        <v>1150838.4492430887</v>
      </c>
      <c r="C19" s="25">
        <f t="shared" ref="C19:P19" si="0">C7+C8</f>
        <v>770232.70966159436</v>
      </c>
      <c r="D19" s="25">
        <f t="shared" si="0"/>
        <v>704644.50022304174</v>
      </c>
      <c r="E19" s="25">
        <f t="shared" si="0"/>
        <v>29995.274415731717</v>
      </c>
      <c r="F19" s="25">
        <f t="shared" si="0"/>
        <v>35592.93502283097</v>
      </c>
      <c r="G19" s="25">
        <f t="shared" si="0"/>
        <v>171518.75945878564</v>
      </c>
      <c r="H19" s="25">
        <f t="shared" si="0"/>
        <v>143618.76161503859</v>
      </c>
      <c r="I19" s="25">
        <f t="shared" si="0"/>
        <v>138343.62494730874</v>
      </c>
      <c r="J19" s="25">
        <f t="shared" si="0"/>
        <v>2913.8095636367802</v>
      </c>
      <c r="K19" s="25">
        <f t="shared" si="0"/>
        <v>2361.3271040916366</v>
      </c>
      <c r="L19" s="25">
        <f t="shared" si="0"/>
        <v>30025.062284469492</v>
      </c>
      <c r="M19" s="25">
        <f t="shared" si="0"/>
        <v>3388.5932328701019</v>
      </c>
      <c r="N19" s="25">
        <f t="shared" si="0"/>
        <v>2277.0879790782928</v>
      </c>
      <c r="O19" s="25">
        <f t="shared" si="0"/>
        <v>143.61936664581293</v>
      </c>
      <c r="P19" s="25">
        <f t="shared" si="0"/>
        <v>967.8858871459953</v>
      </c>
    </row>
    <row r="20" spans="1:16" ht="12" customHeight="1" x14ac:dyDescent="0.2">
      <c r="A20" s="22"/>
    </row>
  </sheetData>
  <mergeCells count="11">
    <mergeCell ref="B5:B6"/>
    <mergeCell ref="C5:F5"/>
    <mergeCell ref="G5:G6"/>
    <mergeCell ref="H5:K5"/>
    <mergeCell ref="L5:L6"/>
    <mergeCell ref="M5:P5"/>
    <mergeCell ref="A1:P1"/>
    <mergeCell ref="A4:A6"/>
    <mergeCell ref="B4:F4"/>
    <mergeCell ref="G4:K4"/>
    <mergeCell ref="L4:P4"/>
  </mergeCells>
  <conditionalFormatting sqref="B7:B19">
    <cfRule type="cellIs" dxfId="388" priority="15" stopIfTrue="1" operator="equal">
      <formula>0</formula>
    </cfRule>
  </conditionalFormatting>
  <conditionalFormatting sqref="C7:C19">
    <cfRule type="cellIs" dxfId="387" priority="14" stopIfTrue="1" operator="equal">
      <formula>0</formula>
    </cfRule>
  </conditionalFormatting>
  <conditionalFormatting sqref="D7:D19">
    <cfRule type="cellIs" dxfId="386" priority="13" stopIfTrue="1" operator="equal">
      <formula>0</formula>
    </cfRule>
  </conditionalFormatting>
  <conditionalFormatting sqref="E7:E19">
    <cfRule type="cellIs" dxfId="385" priority="12" stopIfTrue="1" operator="equal">
      <formula>0</formula>
    </cfRule>
  </conditionalFormatting>
  <conditionalFormatting sqref="F7:F19">
    <cfRule type="cellIs" dxfId="384" priority="11" stopIfTrue="1" operator="equal">
      <formula>0</formula>
    </cfRule>
  </conditionalFormatting>
  <conditionalFormatting sqref="G7:G19">
    <cfRule type="cellIs" dxfId="383" priority="10" stopIfTrue="1" operator="equal">
      <formula>0</formula>
    </cfRule>
  </conditionalFormatting>
  <conditionalFormatting sqref="H7:H19">
    <cfRule type="cellIs" dxfId="382" priority="9" stopIfTrue="1" operator="equal">
      <formula>0</formula>
    </cfRule>
  </conditionalFormatting>
  <conditionalFormatting sqref="I7:I19">
    <cfRule type="cellIs" dxfId="381" priority="8" stopIfTrue="1" operator="equal">
      <formula>0</formula>
    </cfRule>
  </conditionalFormatting>
  <conditionalFormatting sqref="J7:J19">
    <cfRule type="cellIs" dxfId="380" priority="7" stopIfTrue="1" operator="equal">
      <formula>0</formula>
    </cfRule>
  </conditionalFormatting>
  <conditionalFormatting sqref="K7:K19">
    <cfRule type="cellIs" dxfId="379" priority="6" stopIfTrue="1" operator="equal">
      <formula>0</formula>
    </cfRule>
  </conditionalFormatting>
  <conditionalFormatting sqref="L7:L19">
    <cfRule type="cellIs" dxfId="378" priority="5" stopIfTrue="1" operator="equal">
      <formula>0</formula>
    </cfRule>
  </conditionalFormatting>
  <conditionalFormatting sqref="M7:M19">
    <cfRule type="cellIs" dxfId="377" priority="4" stopIfTrue="1" operator="equal">
      <formula>0</formula>
    </cfRule>
  </conditionalFormatting>
  <conditionalFormatting sqref="N7:N19">
    <cfRule type="cellIs" dxfId="376" priority="3" stopIfTrue="1" operator="equal">
      <formula>0</formula>
    </cfRule>
  </conditionalFormatting>
  <conditionalFormatting sqref="O7:O19">
    <cfRule type="cellIs" dxfId="375" priority="2" stopIfTrue="1" operator="equal">
      <formula>0</formula>
    </cfRule>
  </conditionalFormatting>
  <conditionalFormatting sqref="P7:P19">
    <cfRule type="cellIs" dxfId="37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F9B7-D8A5-4DBF-A255-B3D4C0E4398B}">
  <dimension ref="A1:P20"/>
  <sheetViews>
    <sheetView zoomScale="93" zoomScaleNormal="75" workbookViewId="0">
      <selection sqref="A1:P1"/>
    </sheetView>
  </sheetViews>
  <sheetFormatPr defaultRowHeight="12.75" x14ac:dyDescent="0.2"/>
  <cols>
    <col min="1" max="1" width="24" customWidth="1"/>
    <col min="2" max="2" width="10.140625" customWidth="1"/>
    <col min="3" max="16" width="8.42578125" customWidth="1"/>
  </cols>
  <sheetData>
    <row r="1" spans="1:16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7"/>
      <c r="M2" s="27"/>
      <c r="N2" s="27"/>
      <c r="O2" s="27"/>
      <c r="P2" s="28" t="s">
        <v>32</v>
      </c>
    </row>
    <row r="3" spans="1:16" x14ac:dyDescent="0.2">
      <c r="A3" s="27" t="s">
        <v>316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s="7" customFormat="1" x14ac:dyDescent="0.2">
      <c r="A4" s="129" t="s">
        <v>30</v>
      </c>
      <c r="B4" s="124" t="s">
        <v>304</v>
      </c>
      <c r="C4" s="128"/>
      <c r="D4" s="128"/>
      <c r="E4" s="128"/>
      <c r="F4" s="128"/>
      <c r="G4" s="124" t="s">
        <v>510</v>
      </c>
      <c r="H4" s="128"/>
      <c r="I4" s="128"/>
      <c r="J4" s="128"/>
      <c r="K4" s="128"/>
      <c r="L4" s="122" t="s">
        <v>307</v>
      </c>
      <c r="M4" s="122"/>
      <c r="N4" s="122"/>
      <c r="O4" s="122"/>
      <c r="P4" s="122"/>
    </row>
    <row r="5" spans="1:16" s="7" customFormat="1" ht="38.450000000000003" customHeight="1" x14ac:dyDescent="0.2">
      <c r="A5" s="130"/>
      <c r="B5" s="126" t="s">
        <v>293</v>
      </c>
      <c r="C5" s="196" t="s">
        <v>575</v>
      </c>
      <c r="D5" s="197"/>
      <c r="E5" s="197"/>
      <c r="F5" s="198"/>
      <c r="G5" s="126" t="s">
        <v>293</v>
      </c>
      <c r="H5" s="196" t="s">
        <v>575</v>
      </c>
      <c r="I5" s="197"/>
      <c r="J5" s="197"/>
      <c r="K5" s="198"/>
      <c r="L5" s="121" t="s">
        <v>293</v>
      </c>
      <c r="M5" s="196" t="s">
        <v>575</v>
      </c>
      <c r="N5" s="197"/>
      <c r="O5" s="197"/>
      <c r="P5" s="198"/>
    </row>
    <row r="6" spans="1:16" s="7" customFormat="1" ht="43.5" customHeight="1" x14ac:dyDescent="0.2">
      <c r="A6" s="131"/>
      <c r="B6" s="127"/>
      <c r="C6" s="33" t="s">
        <v>47</v>
      </c>
      <c r="D6" s="33" t="s">
        <v>38</v>
      </c>
      <c r="E6" s="33" t="s">
        <v>309</v>
      </c>
      <c r="F6" s="33" t="s">
        <v>310</v>
      </c>
      <c r="G6" s="127"/>
      <c r="H6" s="33" t="s">
        <v>47</v>
      </c>
      <c r="I6" s="33" t="s">
        <v>38</v>
      </c>
      <c r="J6" s="33" t="s">
        <v>309</v>
      </c>
      <c r="K6" s="33" t="s">
        <v>310</v>
      </c>
      <c r="L6" s="121"/>
      <c r="M6" s="34" t="s">
        <v>47</v>
      </c>
      <c r="N6" s="34" t="s">
        <v>38</v>
      </c>
      <c r="O6" s="34" t="s">
        <v>309</v>
      </c>
      <c r="P6" s="34" t="s">
        <v>310</v>
      </c>
    </row>
    <row r="7" spans="1:16" s="6" customFormat="1" ht="20.45" customHeight="1" x14ac:dyDescent="0.2">
      <c r="A7" s="69" t="s">
        <v>0</v>
      </c>
      <c r="B7" s="49">
        <v>5273.533944368337</v>
      </c>
      <c r="C7" s="49">
        <v>488.8937611579895</v>
      </c>
      <c r="D7" s="49">
        <v>184.4780983924866</v>
      </c>
      <c r="E7" s="49">
        <v>14.60688304901123</v>
      </c>
      <c r="F7" s="49">
        <v>289.8087797164917</v>
      </c>
      <c r="G7" s="49">
        <v>498.9090986251835</v>
      </c>
      <c r="H7" s="49">
        <v>163.54400920867917</v>
      </c>
      <c r="I7" s="49">
        <v>86.88535213470459</v>
      </c>
      <c r="J7" s="49">
        <v>57.747745513916009</v>
      </c>
      <c r="K7" s="49">
        <v>18.910911560058601</v>
      </c>
      <c r="L7" s="49">
        <v>810.92208194732711</v>
      </c>
      <c r="M7" s="49">
        <v>659.90572834014915</v>
      </c>
      <c r="N7" s="49">
        <v>571.01051282882702</v>
      </c>
      <c r="O7" s="49">
        <v>6.9656291007995605</v>
      </c>
      <c r="P7" s="49">
        <v>81.929586410522461</v>
      </c>
    </row>
    <row r="8" spans="1:16" s="6" customFormat="1" ht="20.45" customHeight="1" x14ac:dyDescent="0.2">
      <c r="A8" s="29" t="s">
        <v>1</v>
      </c>
      <c r="B8" s="51">
        <v>1169807.0226886244</v>
      </c>
      <c r="C8" s="51">
        <v>114365.60262036318</v>
      </c>
      <c r="D8" s="51">
        <v>42096.748641014186</v>
      </c>
      <c r="E8" s="51">
        <v>6251.9312810897836</v>
      </c>
      <c r="F8" s="51">
        <v>66016.922698259325</v>
      </c>
      <c r="G8" s="51">
        <v>101215.82361078539</v>
      </c>
      <c r="H8" s="51">
        <v>39958.812487602198</v>
      </c>
      <c r="I8" s="51">
        <v>29895.884418964382</v>
      </c>
      <c r="J8" s="51">
        <v>5940.7276606559881</v>
      </c>
      <c r="K8" s="51">
        <v>4122.2004079818698</v>
      </c>
      <c r="L8" s="51">
        <v>41307.602125168654</v>
      </c>
      <c r="M8" s="51">
        <v>30180.179639816408</v>
      </c>
      <c r="N8" s="51">
        <v>27022.062233448032</v>
      </c>
      <c r="O8" s="51">
        <v>1456.2028799057055</v>
      </c>
      <c r="P8" s="51">
        <v>1701.9145264625552</v>
      </c>
    </row>
    <row r="9" spans="1:16" ht="20.45" customHeight="1" x14ac:dyDescent="0.2">
      <c r="A9" s="30" t="s">
        <v>2</v>
      </c>
      <c r="B9" s="53">
        <v>73305.805275440012</v>
      </c>
      <c r="C9" s="53">
        <v>6205.6593487262726</v>
      </c>
      <c r="D9" s="53">
        <v>1383.1666746139526</v>
      </c>
      <c r="E9" s="53">
        <v>479.76645326614408</v>
      </c>
      <c r="F9" s="53">
        <v>4342.7262208461789</v>
      </c>
      <c r="G9" s="53">
        <v>3769.8108510970619</v>
      </c>
      <c r="H9" s="53">
        <v>1484.0523710250854</v>
      </c>
      <c r="I9" s="53">
        <v>1265.5432815551756</v>
      </c>
      <c r="J9" s="53">
        <v>62.980075836181634</v>
      </c>
      <c r="K9" s="53">
        <v>155.52901363372803</v>
      </c>
      <c r="L9" s="53">
        <v>2930.9551668167164</v>
      </c>
      <c r="M9" s="53">
        <v>1850.857501029968</v>
      </c>
      <c r="N9" s="53">
        <v>1324.0896964073181</v>
      </c>
      <c r="O9" s="53">
        <v>409.09940814971912</v>
      </c>
      <c r="P9" s="53">
        <v>117.66839647293095</v>
      </c>
    </row>
    <row r="10" spans="1:16" ht="20.45" customHeight="1" x14ac:dyDescent="0.2">
      <c r="A10" s="30" t="s">
        <v>3</v>
      </c>
      <c r="B10" s="53">
        <v>163113.95242750752</v>
      </c>
      <c r="C10" s="53">
        <v>13772.578335881228</v>
      </c>
      <c r="D10" s="53">
        <v>3196.9695088863409</v>
      </c>
      <c r="E10" s="53">
        <v>779.73043870925881</v>
      </c>
      <c r="F10" s="53">
        <v>9795.8783882856242</v>
      </c>
      <c r="G10" s="53">
        <v>9959.6397783755638</v>
      </c>
      <c r="H10" s="53">
        <v>3430.2113778591129</v>
      </c>
      <c r="I10" s="53">
        <v>2446.9073698520647</v>
      </c>
      <c r="J10" s="53">
        <v>555.33531475067127</v>
      </c>
      <c r="K10" s="53">
        <v>427.96869325637789</v>
      </c>
      <c r="L10" s="53">
        <v>5221.4412021636872</v>
      </c>
      <c r="M10" s="53">
        <v>2941.4612650871277</v>
      </c>
      <c r="N10" s="53">
        <v>2652.0230655670166</v>
      </c>
      <c r="O10" s="53">
        <v>102.12984085083011</v>
      </c>
      <c r="P10" s="53">
        <v>187.30835866928109</v>
      </c>
    </row>
    <row r="11" spans="1:16" ht="20.45" customHeight="1" x14ac:dyDescent="0.2">
      <c r="A11" s="30" t="s">
        <v>4</v>
      </c>
      <c r="B11" s="53">
        <v>408554.5084954538</v>
      </c>
      <c r="C11" s="53">
        <v>34975.453435778574</v>
      </c>
      <c r="D11" s="53">
        <v>8727.2538809776288</v>
      </c>
      <c r="E11" s="53">
        <v>2146.6466660499573</v>
      </c>
      <c r="F11" s="53">
        <v>24101.552888751063</v>
      </c>
      <c r="G11" s="53">
        <v>33388.11674642565</v>
      </c>
      <c r="H11" s="53">
        <v>13190.331748008732</v>
      </c>
      <c r="I11" s="53">
        <v>9913.2055382728595</v>
      </c>
      <c r="J11" s="53">
        <v>1800.9956507682789</v>
      </c>
      <c r="K11" s="53">
        <v>1476.1305589675901</v>
      </c>
      <c r="L11" s="53">
        <v>14158.331412792291</v>
      </c>
      <c r="M11" s="53">
        <v>9958.6401948928742</v>
      </c>
      <c r="N11" s="53">
        <v>8775.4314889907891</v>
      </c>
      <c r="O11" s="53">
        <v>621.42162895202637</v>
      </c>
      <c r="P11" s="53">
        <v>561.78707695007267</v>
      </c>
    </row>
    <row r="12" spans="1:16" ht="20.45" customHeight="1" x14ac:dyDescent="0.2">
      <c r="A12" s="30" t="s">
        <v>5</v>
      </c>
      <c r="B12" s="53">
        <v>313261.75358987163</v>
      </c>
      <c r="C12" s="53">
        <v>28285.532699584957</v>
      </c>
      <c r="D12" s="53">
        <v>9548.4786534309314</v>
      </c>
      <c r="E12" s="53">
        <v>1568.2188982963587</v>
      </c>
      <c r="F12" s="53">
        <v>17168.835147857666</v>
      </c>
      <c r="G12" s="53">
        <v>29429.273776769965</v>
      </c>
      <c r="H12" s="53">
        <v>12149.693747758854</v>
      </c>
      <c r="I12" s="53">
        <v>9073.965945959093</v>
      </c>
      <c r="J12" s="53">
        <v>1849.7099957466107</v>
      </c>
      <c r="K12" s="53">
        <v>1226.0178060531616</v>
      </c>
      <c r="L12" s="53">
        <v>10740.057060718507</v>
      </c>
      <c r="M12" s="53">
        <v>8210.4331216812097</v>
      </c>
      <c r="N12" s="53">
        <v>7521.4387073516846</v>
      </c>
      <c r="O12" s="53">
        <v>195.71012783050537</v>
      </c>
      <c r="P12" s="53">
        <v>493.28428649902332</v>
      </c>
    </row>
    <row r="13" spans="1:16" ht="20.45" customHeight="1" x14ac:dyDescent="0.2">
      <c r="A13" s="30" t="s">
        <v>6</v>
      </c>
      <c r="B13" s="53">
        <v>158033.41862332731</v>
      </c>
      <c r="C13" s="53">
        <v>18833.955645680442</v>
      </c>
      <c r="D13" s="53">
        <v>9558.0339128971173</v>
      </c>
      <c r="E13" s="53">
        <v>1005.0080180168135</v>
      </c>
      <c r="F13" s="53">
        <v>8270.9137147665042</v>
      </c>
      <c r="G13" s="53">
        <v>17645.471831321629</v>
      </c>
      <c r="H13" s="53">
        <v>6990.3723535537674</v>
      </c>
      <c r="I13" s="53">
        <v>5012.8597145080512</v>
      </c>
      <c r="J13" s="53">
        <v>1302.168438911438</v>
      </c>
      <c r="K13" s="53">
        <v>675.34420013427746</v>
      </c>
      <c r="L13" s="53">
        <v>6253.8334059715307</v>
      </c>
      <c r="M13" s="53">
        <v>5280.5491261482284</v>
      </c>
      <c r="N13" s="53">
        <v>4848.2911500930786</v>
      </c>
      <c r="O13" s="53">
        <v>100.54060173034669</v>
      </c>
      <c r="P13" s="53">
        <v>331.7173743247987</v>
      </c>
    </row>
    <row r="14" spans="1:16" ht="20.45" customHeight="1" x14ac:dyDescent="0.2">
      <c r="A14" s="30" t="s">
        <v>7</v>
      </c>
      <c r="B14" s="53">
        <v>34722.365164160772</v>
      </c>
      <c r="C14" s="53">
        <v>6013.0550333261572</v>
      </c>
      <c r="D14" s="53">
        <v>4362.487672328949</v>
      </c>
      <c r="E14" s="53">
        <v>147.46821498870858</v>
      </c>
      <c r="F14" s="53">
        <v>1503.099146008492</v>
      </c>
      <c r="G14" s="53">
        <v>4088.5602679252538</v>
      </c>
      <c r="H14" s="53">
        <v>1472.0353207588194</v>
      </c>
      <c r="I14" s="53">
        <v>1227.0225605964665</v>
      </c>
      <c r="J14" s="53">
        <v>170.0490798950195</v>
      </c>
      <c r="K14" s="53">
        <v>74.963680267333942</v>
      </c>
      <c r="L14" s="53">
        <v>1156.5445580482474</v>
      </c>
      <c r="M14" s="53">
        <v>926.54389762878452</v>
      </c>
      <c r="N14" s="53">
        <v>899.24262523651169</v>
      </c>
      <c r="O14" s="53">
        <v>27.301272392272949</v>
      </c>
      <c r="P14" s="53">
        <v>0</v>
      </c>
    </row>
    <row r="15" spans="1:16" ht="20.45" customHeight="1" x14ac:dyDescent="0.2">
      <c r="A15" s="30" t="s">
        <v>8</v>
      </c>
      <c r="B15" s="53">
        <v>11350.198965668666</v>
      </c>
      <c r="C15" s="53">
        <v>3275.6883870363231</v>
      </c>
      <c r="D15" s="53">
        <v>2535.8357720375061</v>
      </c>
      <c r="E15" s="53">
        <v>52.199999332427986</v>
      </c>
      <c r="F15" s="53">
        <v>687.65261566638981</v>
      </c>
      <c r="G15" s="53">
        <v>1654.0999336242669</v>
      </c>
      <c r="H15" s="53">
        <v>673.31285905838013</v>
      </c>
      <c r="I15" s="53">
        <v>493.35725879669195</v>
      </c>
      <c r="J15" s="53">
        <v>110.00612831115723</v>
      </c>
      <c r="K15" s="53">
        <v>69.949471950530992</v>
      </c>
      <c r="L15" s="53">
        <v>490.73970317840565</v>
      </c>
      <c r="M15" s="53">
        <v>579.97800874710072</v>
      </c>
      <c r="N15" s="53">
        <v>569.82897520065308</v>
      </c>
      <c r="O15" s="53">
        <v>0</v>
      </c>
      <c r="P15" s="53">
        <v>10.149033546447754</v>
      </c>
    </row>
    <row r="16" spans="1:16" ht="20.45" customHeight="1" x14ac:dyDescent="0.2">
      <c r="A16" s="30" t="s">
        <v>9</v>
      </c>
      <c r="B16" s="53">
        <v>3390.9364700317374</v>
      </c>
      <c r="C16" s="53">
        <v>1141.6093535423281</v>
      </c>
      <c r="D16" s="53">
        <v>1034.6510200500491</v>
      </c>
      <c r="E16" s="53">
        <v>39.793254852294908</v>
      </c>
      <c r="F16" s="53">
        <v>67.165078639984117</v>
      </c>
      <c r="G16" s="53">
        <v>703.37304449081512</v>
      </c>
      <c r="H16" s="53">
        <v>289.66411876678472</v>
      </c>
      <c r="I16" s="53">
        <v>212.82652235031125</v>
      </c>
      <c r="J16" s="53">
        <v>60.540612697601325</v>
      </c>
      <c r="K16" s="53">
        <v>16.29698371887207</v>
      </c>
      <c r="L16" s="53">
        <v>176.34552288055423</v>
      </c>
      <c r="M16" s="53">
        <v>237.33018636703491</v>
      </c>
      <c r="N16" s="53">
        <v>237.33018636703491</v>
      </c>
      <c r="O16" s="53">
        <v>0</v>
      </c>
      <c r="P16" s="53">
        <v>0</v>
      </c>
    </row>
    <row r="17" spans="1:16" ht="20.45" customHeight="1" x14ac:dyDescent="0.2">
      <c r="A17" s="30" t="s">
        <v>10</v>
      </c>
      <c r="B17" s="53">
        <v>3578.2487467527358</v>
      </c>
      <c r="C17" s="53">
        <v>1549.120255112648</v>
      </c>
      <c r="D17" s="53">
        <v>1436.9214200973511</v>
      </c>
      <c r="E17" s="53">
        <v>33.099337577819824</v>
      </c>
      <c r="F17" s="53">
        <v>79.099497437477126</v>
      </c>
      <c r="G17" s="53">
        <v>520.94601058959961</v>
      </c>
      <c r="H17" s="53">
        <v>245.83556842803955</v>
      </c>
      <c r="I17" s="53">
        <v>216.89320468902585</v>
      </c>
      <c r="J17" s="53">
        <v>28.942363739013668</v>
      </c>
      <c r="K17" s="53">
        <v>0</v>
      </c>
      <c r="L17" s="53">
        <v>135.85745525360113</v>
      </c>
      <c r="M17" s="53">
        <v>109.75968074798585</v>
      </c>
      <c r="N17" s="53">
        <v>109.75968074798585</v>
      </c>
      <c r="O17" s="53">
        <v>0</v>
      </c>
      <c r="P17" s="53">
        <v>0</v>
      </c>
    </row>
    <row r="18" spans="1:16" ht="20.45" customHeight="1" x14ac:dyDescent="0.2">
      <c r="A18" s="30" t="s">
        <v>11</v>
      </c>
      <c r="B18" s="53">
        <v>495.83493041992199</v>
      </c>
      <c r="C18" s="53">
        <v>312.95012569427485</v>
      </c>
      <c r="D18" s="53">
        <v>312.95012569427485</v>
      </c>
      <c r="E18" s="53">
        <v>0</v>
      </c>
      <c r="F18" s="53">
        <v>0</v>
      </c>
      <c r="G18" s="53">
        <v>56.531370162963867</v>
      </c>
      <c r="H18" s="53">
        <v>33.303022384643555</v>
      </c>
      <c r="I18" s="53">
        <v>33.303022384643555</v>
      </c>
      <c r="J18" s="53">
        <v>0</v>
      </c>
      <c r="K18" s="53">
        <v>0</v>
      </c>
      <c r="L18" s="53">
        <v>43.496637344360366</v>
      </c>
      <c r="M18" s="53">
        <v>84.626657485961914</v>
      </c>
      <c r="N18" s="53">
        <v>84.626657485961914</v>
      </c>
      <c r="O18" s="53">
        <v>0</v>
      </c>
      <c r="P18" s="53">
        <v>0</v>
      </c>
    </row>
    <row r="19" spans="1:16" s="6" customFormat="1" ht="20.45" customHeight="1" x14ac:dyDescent="0.2">
      <c r="A19" s="31" t="s">
        <v>12</v>
      </c>
      <c r="B19" s="25">
        <f>B7+B8</f>
        <v>1175080.5566329928</v>
      </c>
      <c r="C19" s="25">
        <f t="shared" ref="C19:P19" si="0">C7+C8</f>
        <v>114854.49638152117</v>
      </c>
      <c r="D19" s="25">
        <f t="shared" si="0"/>
        <v>42281.226739406673</v>
      </c>
      <c r="E19" s="25">
        <f t="shared" si="0"/>
        <v>6266.5381641387949</v>
      </c>
      <c r="F19" s="25">
        <f t="shared" si="0"/>
        <v>66306.731477975816</v>
      </c>
      <c r="G19" s="25">
        <f t="shared" si="0"/>
        <v>101714.73270941057</v>
      </c>
      <c r="H19" s="25">
        <f t="shared" si="0"/>
        <v>40122.356496810877</v>
      </c>
      <c r="I19" s="25">
        <f t="shared" si="0"/>
        <v>29982.769771099087</v>
      </c>
      <c r="J19" s="25">
        <f t="shared" si="0"/>
        <v>5998.4754061699041</v>
      </c>
      <c r="K19" s="25">
        <f t="shared" si="0"/>
        <v>4141.1113195419284</v>
      </c>
      <c r="L19" s="25">
        <f t="shared" si="0"/>
        <v>42118.524207115981</v>
      </c>
      <c r="M19" s="25">
        <f t="shared" si="0"/>
        <v>30840.085368156557</v>
      </c>
      <c r="N19" s="25">
        <f t="shared" si="0"/>
        <v>27593.072746276859</v>
      </c>
      <c r="O19" s="25">
        <f t="shared" si="0"/>
        <v>1463.168509006505</v>
      </c>
      <c r="P19" s="25">
        <f t="shared" si="0"/>
        <v>1783.8441128730776</v>
      </c>
    </row>
    <row r="20" spans="1:16" ht="12" customHeight="1" x14ac:dyDescent="0.2">
      <c r="A20" s="22"/>
    </row>
  </sheetData>
  <mergeCells count="11">
    <mergeCell ref="B5:B6"/>
    <mergeCell ref="C5:F5"/>
    <mergeCell ref="G5:G6"/>
    <mergeCell ref="H5:K5"/>
    <mergeCell ref="L5:L6"/>
    <mergeCell ref="M5:P5"/>
    <mergeCell ref="A1:P1"/>
    <mergeCell ref="A4:A6"/>
    <mergeCell ref="B4:F4"/>
    <mergeCell ref="G4:K4"/>
    <mergeCell ref="L4:P4"/>
  </mergeCells>
  <conditionalFormatting sqref="B7:B19">
    <cfRule type="cellIs" dxfId="373" priority="15" stopIfTrue="1" operator="equal">
      <formula>0</formula>
    </cfRule>
  </conditionalFormatting>
  <conditionalFormatting sqref="C7:C19">
    <cfRule type="cellIs" dxfId="372" priority="14" stopIfTrue="1" operator="equal">
      <formula>0</formula>
    </cfRule>
  </conditionalFormatting>
  <conditionalFormatting sqref="D7:D19">
    <cfRule type="cellIs" dxfId="371" priority="13" stopIfTrue="1" operator="equal">
      <formula>0</formula>
    </cfRule>
  </conditionalFormatting>
  <conditionalFormatting sqref="E7:E19">
    <cfRule type="cellIs" dxfId="370" priority="12" stopIfTrue="1" operator="equal">
      <formula>0</formula>
    </cfRule>
  </conditionalFormatting>
  <conditionalFormatting sqref="F7:F19">
    <cfRule type="cellIs" dxfId="369" priority="11" stopIfTrue="1" operator="equal">
      <formula>0</formula>
    </cfRule>
  </conditionalFormatting>
  <conditionalFormatting sqref="G7:G19">
    <cfRule type="cellIs" dxfId="368" priority="10" stopIfTrue="1" operator="equal">
      <formula>0</formula>
    </cfRule>
  </conditionalFormatting>
  <conditionalFormatting sqref="H7:H19">
    <cfRule type="cellIs" dxfId="367" priority="9" stopIfTrue="1" operator="equal">
      <formula>0</formula>
    </cfRule>
  </conditionalFormatting>
  <conditionalFormatting sqref="I7:I19">
    <cfRule type="cellIs" dxfId="366" priority="8" stopIfTrue="1" operator="equal">
      <formula>0</formula>
    </cfRule>
  </conditionalFormatting>
  <conditionalFormatting sqref="J7:J19">
    <cfRule type="cellIs" dxfId="365" priority="7" stopIfTrue="1" operator="equal">
      <formula>0</formula>
    </cfRule>
  </conditionalFormatting>
  <conditionalFormatting sqref="K7:K19">
    <cfRule type="cellIs" dxfId="364" priority="6" stopIfTrue="1" operator="equal">
      <formula>0</formula>
    </cfRule>
  </conditionalFormatting>
  <conditionalFormatting sqref="L7:L19">
    <cfRule type="cellIs" dxfId="363" priority="5" stopIfTrue="1" operator="equal">
      <formula>0</formula>
    </cfRule>
  </conditionalFormatting>
  <conditionalFormatting sqref="M7:M19">
    <cfRule type="cellIs" dxfId="362" priority="4" stopIfTrue="1" operator="equal">
      <formula>0</formula>
    </cfRule>
  </conditionalFormatting>
  <conditionalFormatting sqref="N7:N19">
    <cfRule type="cellIs" dxfId="361" priority="3" stopIfTrue="1" operator="equal">
      <formula>0</formula>
    </cfRule>
  </conditionalFormatting>
  <conditionalFormatting sqref="O7:O19">
    <cfRule type="cellIs" dxfId="360" priority="2" stopIfTrue="1" operator="equal">
      <formula>0</formula>
    </cfRule>
  </conditionalFormatting>
  <conditionalFormatting sqref="P7:P19">
    <cfRule type="cellIs" dxfId="35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4E8D-A6C4-4E9C-9C08-DE8822B09A7F}">
  <dimension ref="A1:K20"/>
  <sheetViews>
    <sheetView zoomScale="89" zoomScaleNormal="75" workbookViewId="0">
      <selection sqref="A1:K1"/>
    </sheetView>
  </sheetViews>
  <sheetFormatPr defaultRowHeight="12.75" x14ac:dyDescent="0.2"/>
  <cols>
    <col min="1" max="1" width="25.140625" customWidth="1"/>
    <col min="2" max="11" width="10.8554687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 t="s">
        <v>32</v>
      </c>
    </row>
    <row r="3" spans="1:11" x14ac:dyDescent="0.2">
      <c r="A3" s="27" t="s">
        <v>563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s="7" customFormat="1" ht="15.6" customHeight="1" x14ac:dyDescent="0.2">
      <c r="A4" s="129" t="s">
        <v>30</v>
      </c>
      <c r="B4" s="124" t="s">
        <v>511</v>
      </c>
      <c r="C4" s="128"/>
      <c r="D4" s="128"/>
      <c r="E4" s="128"/>
      <c r="F4" s="128"/>
      <c r="G4" s="122" t="s">
        <v>512</v>
      </c>
      <c r="H4" s="122"/>
      <c r="I4" s="122"/>
      <c r="J4" s="122"/>
      <c r="K4" s="122"/>
    </row>
    <row r="5" spans="1:11" s="7" customFormat="1" ht="31.7" customHeight="1" x14ac:dyDescent="0.2">
      <c r="A5" s="130"/>
      <c r="B5" s="126" t="s">
        <v>293</v>
      </c>
      <c r="C5" s="196" t="s">
        <v>575</v>
      </c>
      <c r="D5" s="197"/>
      <c r="E5" s="197"/>
      <c r="F5" s="198"/>
      <c r="G5" s="121" t="s">
        <v>293</v>
      </c>
      <c r="H5" s="196" t="s">
        <v>575</v>
      </c>
      <c r="I5" s="197"/>
      <c r="J5" s="197"/>
      <c r="K5" s="198"/>
    </row>
    <row r="6" spans="1:11" s="7" customFormat="1" ht="43.5" customHeight="1" x14ac:dyDescent="0.2">
      <c r="A6" s="131"/>
      <c r="B6" s="127"/>
      <c r="C6" s="33" t="s">
        <v>47</v>
      </c>
      <c r="D6" s="33" t="s">
        <v>38</v>
      </c>
      <c r="E6" s="33" t="s">
        <v>309</v>
      </c>
      <c r="F6" s="33" t="s">
        <v>310</v>
      </c>
      <c r="G6" s="121"/>
      <c r="H6" s="34" t="s">
        <v>47</v>
      </c>
      <c r="I6" s="34" t="s">
        <v>38</v>
      </c>
      <c r="J6" s="34" t="s">
        <v>309</v>
      </c>
      <c r="K6" s="34" t="s">
        <v>310</v>
      </c>
    </row>
    <row r="7" spans="1:11" s="6" customFormat="1" ht="20.45" customHeight="1" x14ac:dyDescent="0.2">
      <c r="A7" s="69" t="s">
        <v>0</v>
      </c>
      <c r="B7" s="49">
        <v>217.85266590118485</v>
      </c>
      <c r="C7" s="49">
        <v>56.641772270202637</v>
      </c>
      <c r="D7" s="49">
        <v>56.641772270202637</v>
      </c>
      <c r="E7" s="49">
        <v>0</v>
      </c>
      <c r="F7" s="49">
        <v>0</v>
      </c>
      <c r="G7" s="49">
        <v>425.61563158035278</v>
      </c>
      <c r="H7" s="49">
        <v>83.93952465057373</v>
      </c>
      <c r="I7" s="49">
        <v>45.616181373596191</v>
      </c>
      <c r="J7" s="49">
        <v>30.249827384948727</v>
      </c>
      <c r="K7" s="49">
        <v>8.0735158920288086</v>
      </c>
    </row>
    <row r="8" spans="1:11" s="6" customFormat="1" ht="20.45" customHeight="1" x14ac:dyDescent="0.2">
      <c r="A8" s="29" t="s">
        <v>1</v>
      </c>
      <c r="B8" s="51">
        <v>9614.9375734330333</v>
      </c>
      <c r="C8" s="51">
        <v>3372.1806263923645</v>
      </c>
      <c r="D8" s="51">
        <v>3037.5334458351153</v>
      </c>
      <c r="E8" s="51">
        <v>93.784791946411119</v>
      </c>
      <c r="F8" s="51">
        <v>240.86238861083979</v>
      </c>
      <c r="G8" s="51">
        <v>15427.065798997788</v>
      </c>
      <c r="H8" s="51">
        <v>6396.8161613941211</v>
      </c>
      <c r="I8" s="51">
        <v>6173.5581395626068</v>
      </c>
      <c r="J8" s="51">
        <v>81.161005020141616</v>
      </c>
      <c r="K8" s="51">
        <v>142.09701681137088</v>
      </c>
    </row>
    <row r="9" spans="1:11" ht="20.45" customHeight="1" x14ac:dyDescent="0.2">
      <c r="A9" s="30" t="s">
        <v>2</v>
      </c>
      <c r="B9" s="53">
        <v>864.77315950392995</v>
      </c>
      <c r="C9" s="53">
        <v>243.07992935180661</v>
      </c>
      <c r="D9" s="53">
        <v>230.01952648162845</v>
      </c>
      <c r="E9" s="53">
        <v>0</v>
      </c>
      <c r="F9" s="53">
        <v>13.060402870178223</v>
      </c>
      <c r="G9" s="53">
        <v>1297.6940202712995</v>
      </c>
      <c r="H9" s="53">
        <v>528.30796575546265</v>
      </c>
      <c r="I9" s="53">
        <v>528.30796575546265</v>
      </c>
      <c r="J9" s="53">
        <v>0</v>
      </c>
      <c r="K9" s="53">
        <v>0</v>
      </c>
    </row>
    <row r="10" spans="1:11" ht="20.45" customHeight="1" x14ac:dyDescent="0.2">
      <c r="A10" s="30" t="s">
        <v>3</v>
      </c>
      <c r="B10" s="53">
        <v>1301.1029043197573</v>
      </c>
      <c r="C10" s="53">
        <v>195.8337926864624</v>
      </c>
      <c r="D10" s="53">
        <v>183.00933647155765</v>
      </c>
      <c r="E10" s="53">
        <v>12.824456214904785</v>
      </c>
      <c r="F10" s="53">
        <v>0</v>
      </c>
      <c r="G10" s="53">
        <v>2033.551297664628</v>
      </c>
      <c r="H10" s="53">
        <v>781.09872865676857</v>
      </c>
      <c r="I10" s="53">
        <v>768.03832578659069</v>
      </c>
      <c r="J10" s="53">
        <v>0</v>
      </c>
      <c r="K10" s="53">
        <v>13.060402870178226</v>
      </c>
    </row>
    <row r="11" spans="1:11" ht="20.45" customHeight="1" x14ac:dyDescent="0.2">
      <c r="A11" s="30" t="s">
        <v>4</v>
      </c>
      <c r="B11" s="53">
        <v>2943.7284603118715</v>
      </c>
      <c r="C11" s="53">
        <v>816.80793857574452</v>
      </c>
      <c r="D11" s="53">
        <v>728.72052669525146</v>
      </c>
      <c r="E11" s="53">
        <v>37.057596206665039</v>
      </c>
      <c r="F11" s="53">
        <v>51.029815673828132</v>
      </c>
      <c r="G11" s="53">
        <v>4947.8825430870511</v>
      </c>
      <c r="H11" s="53">
        <v>1766.6597819328315</v>
      </c>
      <c r="I11" s="53">
        <v>1690.6432662010195</v>
      </c>
      <c r="J11" s="53">
        <v>0</v>
      </c>
      <c r="K11" s="53">
        <v>76.016515731811509</v>
      </c>
    </row>
    <row r="12" spans="1:11" ht="20.45" customHeight="1" x14ac:dyDescent="0.2">
      <c r="A12" s="30" t="s">
        <v>5</v>
      </c>
      <c r="B12" s="53">
        <v>2698.6781344413744</v>
      </c>
      <c r="C12" s="53">
        <v>1348.9294385910034</v>
      </c>
      <c r="D12" s="53">
        <v>1185.4938421249387</v>
      </c>
      <c r="E12" s="53">
        <v>43.902739524841309</v>
      </c>
      <c r="F12" s="53">
        <v>119.53285694122313</v>
      </c>
      <c r="G12" s="53">
        <v>3980.9099407195977</v>
      </c>
      <c r="H12" s="53">
        <v>1709.1670246124263</v>
      </c>
      <c r="I12" s="53">
        <v>1631.7915115356438</v>
      </c>
      <c r="J12" s="53">
        <v>41.187230110168478</v>
      </c>
      <c r="K12" s="53">
        <v>36.18828296661377</v>
      </c>
    </row>
    <row r="13" spans="1:11" ht="20.45" customHeight="1" x14ac:dyDescent="0.2">
      <c r="A13" s="30" t="s">
        <v>6</v>
      </c>
      <c r="B13" s="53">
        <v>1177.5893321037356</v>
      </c>
      <c r="C13" s="53">
        <v>487.81750106811518</v>
      </c>
      <c r="D13" s="53">
        <v>487.81750106811518</v>
      </c>
      <c r="E13" s="53">
        <v>0</v>
      </c>
      <c r="F13" s="53">
        <v>0</v>
      </c>
      <c r="G13" s="53">
        <v>2232.035476922988</v>
      </c>
      <c r="H13" s="53">
        <v>1177.3252851963043</v>
      </c>
      <c r="I13" s="53">
        <v>1120.5196950435641</v>
      </c>
      <c r="J13" s="53">
        <v>39.973774909973145</v>
      </c>
      <c r="K13" s="53">
        <v>16.831815242767341</v>
      </c>
    </row>
    <row r="14" spans="1:11" ht="20.45" customHeight="1" x14ac:dyDescent="0.2">
      <c r="A14" s="30" t="s">
        <v>7</v>
      </c>
      <c r="B14" s="53">
        <v>379.69333505630402</v>
      </c>
      <c r="C14" s="53">
        <v>157.40305995941162</v>
      </c>
      <c r="D14" s="53">
        <v>137.8580846786499</v>
      </c>
      <c r="E14" s="53">
        <v>0</v>
      </c>
      <c r="F14" s="53">
        <v>19.544975280761719</v>
      </c>
      <c r="G14" s="53">
        <v>552.92173385620276</v>
      </c>
      <c r="H14" s="53">
        <v>254.53708076477056</v>
      </c>
      <c r="I14" s="53">
        <v>254.53708076477056</v>
      </c>
      <c r="J14" s="53">
        <v>0</v>
      </c>
      <c r="K14" s="53">
        <v>0</v>
      </c>
    </row>
    <row r="15" spans="1:11" ht="20.45" customHeight="1" x14ac:dyDescent="0.2">
      <c r="A15" s="30" t="s">
        <v>8</v>
      </c>
      <c r="B15" s="53">
        <v>191.98333549499506</v>
      </c>
      <c r="C15" s="53">
        <v>77.071810722351074</v>
      </c>
      <c r="D15" s="53">
        <v>39.377472877502449</v>
      </c>
      <c r="E15" s="53">
        <v>0</v>
      </c>
      <c r="F15" s="53">
        <v>37.69433784484864</v>
      </c>
      <c r="G15" s="53">
        <v>210.66235160827648</v>
      </c>
      <c r="H15" s="53">
        <v>124.61625337600707</v>
      </c>
      <c r="I15" s="53">
        <v>124.61625337600707</v>
      </c>
      <c r="J15" s="53">
        <v>0</v>
      </c>
      <c r="K15" s="53">
        <v>0</v>
      </c>
    </row>
    <row r="16" spans="1:11" ht="20.45" customHeight="1" x14ac:dyDescent="0.2">
      <c r="A16" s="30" t="s">
        <v>9</v>
      </c>
      <c r="B16" s="53">
        <v>22.639203071594242</v>
      </c>
      <c r="C16" s="53">
        <v>17.959915637969971</v>
      </c>
      <c r="D16" s="53">
        <v>17.959915637969971</v>
      </c>
      <c r="E16" s="53">
        <v>0</v>
      </c>
      <c r="F16" s="53">
        <v>0</v>
      </c>
      <c r="G16" s="53">
        <v>68.979613304138155</v>
      </c>
      <c r="H16" s="53">
        <v>11.544290542602537</v>
      </c>
      <c r="I16" s="53">
        <v>11.544290542602537</v>
      </c>
      <c r="J16" s="53">
        <v>0</v>
      </c>
      <c r="K16" s="53">
        <v>0</v>
      </c>
    </row>
    <row r="17" spans="1:11" ht="20.45" customHeight="1" x14ac:dyDescent="0.2">
      <c r="A17" s="30" t="s">
        <v>10</v>
      </c>
      <c r="B17" s="53">
        <v>34.749709129333461</v>
      </c>
      <c r="C17" s="53">
        <v>27.277239799499512</v>
      </c>
      <c r="D17" s="53">
        <v>27.277239799499512</v>
      </c>
      <c r="E17" s="53">
        <v>0</v>
      </c>
      <c r="F17" s="53">
        <v>0</v>
      </c>
      <c r="G17" s="53">
        <v>86.813530921936007</v>
      </c>
      <c r="H17" s="53">
        <v>27.944459915161133</v>
      </c>
      <c r="I17" s="53">
        <v>27.944459915161133</v>
      </c>
      <c r="J17" s="53">
        <v>0</v>
      </c>
      <c r="K17" s="53">
        <v>0</v>
      </c>
    </row>
    <row r="18" spans="1:11" ht="20.45" customHeight="1" x14ac:dyDescent="0.2">
      <c r="A18" s="30" t="s">
        <v>11</v>
      </c>
      <c r="B18" s="53">
        <v>0</v>
      </c>
      <c r="C18" s="53"/>
      <c r="D18" s="53"/>
      <c r="E18" s="53"/>
      <c r="F18" s="53"/>
      <c r="G18" s="53">
        <v>15.615290641784661</v>
      </c>
      <c r="H18" s="53">
        <v>15.615290641784668</v>
      </c>
      <c r="I18" s="53">
        <v>15.615290641784668</v>
      </c>
      <c r="J18" s="53">
        <v>0</v>
      </c>
      <c r="K18" s="53">
        <v>0</v>
      </c>
    </row>
    <row r="19" spans="1:11" s="6" customFormat="1" ht="20.45" customHeight="1" x14ac:dyDescent="0.2">
      <c r="A19" s="31" t="s">
        <v>12</v>
      </c>
      <c r="B19" s="25">
        <f>B7+B8</f>
        <v>9832.7902393342174</v>
      </c>
      <c r="C19" s="25">
        <f t="shared" ref="C19:K19" si="0">C7+C8</f>
        <v>3428.8223986625671</v>
      </c>
      <c r="D19" s="25">
        <f t="shared" si="0"/>
        <v>3094.175218105318</v>
      </c>
      <c r="E19" s="25">
        <f t="shared" si="0"/>
        <v>93.784791946411119</v>
      </c>
      <c r="F19" s="25">
        <f t="shared" si="0"/>
        <v>240.86238861083979</v>
      </c>
      <c r="G19" s="25">
        <f t="shared" si="0"/>
        <v>15852.681430578141</v>
      </c>
      <c r="H19" s="25">
        <f t="shared" si="0"/>
        <v>6480.7556860446948</v>
      </c>
      <c r="I19" s="25">
        <f t="shared" si="0"/>
        <v>6219.174320936203</v>
      </c>
      <c r="J19" s="25">
        <f t="shared" si="0"/>
        <v>111.41083240509035</v>
      </c>
      <c r="K19" s="25">
        <f t="shared" si="0"/>
        <v>150.17053270339969</v>
      </c>
    </row>
    <row r="20" spans="1:11" ht="12" customHeight="1" x14ac:dyDescent="0.2">
      <c r="A20" s="22"/>
    </row>
  </sheetData>
  <mergeCells count="8">
    <mergeCell ref="H5:K5"/>
    <mergeCell ref="A1:K1"/>
    <mergeCell ref="A4:A6"/>
    <mergeCell ref="B4:F4"/>
    <mergeCell ref="G4:K4"/>
    <mergeCell ref="B5:B6"/>
    <mergeCell ref="C5:F5"/>
    <mergeCell ref="G5:G6"/>
  </mergeCells>
  <conditionalFormatting sqref="B7:B19">
    <cfRule type="cellIs" dxfId="358" priority="15" stopIfTrue="1" operator="equal">
      <formula>0</formula>
    </cfRule>
  </conditionalFormatting>
  <conditionalFormatting sqref="C7:C19">
    <cfRule type="cellIs" dxfId="357" priority="14" stopIfTrue="1" operator="equal">
      <formula>0</formula>
    </cfRule>
  </conditionalFormatting>
  <conditionalFormatting sqref="D7:D19">
    <cfRule type="cellIs" dxfId="356" priority="13" stopIfTrue="1" operator="equal">
      <formula>0</formula>
    </cfRule>
  </conditionalFormatting>
  <conditionalFormatting sqref="E7:E19">
    <cfRule type="cellIs" dxfId="355" priority="12" stopIfTrue="1" operator="equal">
      <formula>0</formula>
    </cfRule>
  </conditionalFormatting>
  <conditionalFormatting sqref="F7:F19">
    <cfRule type="cellIs" dxfId="354" priority="11" stopIfTrue="1" operator="equal">
      <formula>0</formula>
    </cfRule>
  </conditionalFormatting>
  <conditionalFormatting sqref="G7:G19">
    <cfRule type="cellIs" dxfId="353" priority="10" stopIfTrue="1" operator="equal">
      <formula>0</formula>
    </cfRule>
  </conditionalFormatting>
  <conditionalFormatting sqref="H7:H19">
    <cfRule type="cellIs" dxfId="352" priority="9" stopIfTrue="1" operator="equal">
      <formula>0</formula>
    </cfRule>
  </conditionalFormatting>
  <conditionalFormatting sqref="I7:I19">
    <cfRule type="cellIs" dxfId="351" priority="8" stopIfTrue="1" operator="equal">
      <formula>0</formula>
    </cfRule>
  </conditionalFormatting>
  <conditionalFormatting sqref="J7:J19">
    <cfRule type="cellIs" dxfId="350" priority="7" stopIfTrue="1" operator="equal">
      <formula>0</formula>
    </cfRule>
  </conditionalFormatting>
  <conditionalFormatting sqref="K7:K19">
    <cfRule type="cellIs" dxfId="349" priority="6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E02E-2381-4BF7-9071-C642DD999CCD}">
  <dimension ref="A1:L20"/>
  <sheetViews>
    <sheetView zoomScale="104" zoomScaleNormal="136" workbookViewId="0">
      <selection activeCell="A3" sqref="A3"/>
    </sheetView>
  </sheetViews>
  <sheetFormatPr defaultRowHeight="12.75" x14ac:dyDescent="0.2"/>
  <cols>
    <col min="1" max="1" width="23.140625" customWidth="1"/>
    <col min="2" max="2" width="9.42578125" bestFit="1" customWidth="1"/>
    <col min="3" max="3" width="11.85546875" customWidth="1"/>
    <col min="4" max="4" width="10.42578125" customWidth="1"/>
    <col min="5" max="5" width="9.5703125" customWidth="1"/>
    <col min="6" max="6" width="9.140625" customWidth="1"/>
    <col min="7" max="7" width="11" customWidth="1"/>
    <col min="9" max="9" width="10.42578125" customWidth="1"/>
    <col min="10" max="10" width="9.85546875" customWidth="1"/>
    <col min="11" max="11" width="10.42578125" customWidth="1"/>
    <col min="12" max="12" width="9.5703125" customWidth="1"/>
  </cols>
  <sheetData>
    <row r="1" spans="1:12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x14ac:dyDescent="0.2">
      <c r="A2" s="27"/>
      <c r="B2" s="28"/>
      <c r="C2" s="28"/>
      <c r="D2" s="28"/>
      <c r="E2" s="28"/>
      <c r="F2" s="28"/>
      <c r="G2" s="27"/>
      <c r="H2" s="27"/>
      <c r="I2" s="27"/>
      <c r="J2" s="27"/>
      <c r="K2" s="27"/>
      <c r="L2" s="28" t="s">
        <v>32</v>
      </c>
    </row>
    <row r="3" spans="1:12" ht="18.600000000000001" customHeight="1" x14ac:dyDescent="0.2">
      <c r="A3" s="93" t="s">
        <v>616</v>
      </c>
      <c r="B3" s="94"/>
      <c r="C3" s="94"/>
      <c r="D3" s="94"/>
      <c r="E3" s="94"/>
      <c r="F3" s="94"/>
      <c r="G3" s="94"/>
      <c r="H3" s="27"/>
      <c r="I3" s="27"/>
      <c r="J3" s="27"/>
      <c r="K3" s="27"/>
      <c r="L3" s="27"/>
    </row>
    <row r="4" spans="1:12" s="7" customFormat="1" ht="28.7" customHeight="1" x14ac:dyDescent="0.2">
      <c r="A4" s="123" t="s">
        <v>30</v>
      </c>
      <c r="B4" s="121" t="s">
        <v>47</v>
      </c>
      <c r="C4" s="121"/>
      <c r="D4" s="199" t="s">
        <v>322</v>
      </c>
      <c r="E4" s="199"/>
      <c r="F4" s="199"/>
      <c r="G4" s="67" t="s">
        <v>319</v>
      </c>
      <c r="H4" s="199" t="s">
        <v>323</v>
      </c>
      <c r="I4" s="199"/>
      <c r="J4" s="199"/>
      <c r="K4" s="120" t="s">
        <v>686</v>
      </c>
      <c r="L4" s="120"/>
    </row>
    <row r="5" spans="1:12" s="7" customFormat="1" ht="31.5" customHeight="1" x14ac:dyDescent="0.2">
      <c r="A5" s="123"/>
      <c r="B5" s="121" t="s">
        <v>318</v>
      </c>
      <c r="C5" s="121" t="s">
        <v>21</v>
      </c>
      <c r="D5" s="199" t="s">
        <v>557</v>
      </c>
      <c r="E5" s="192" t="s">
        <v>320</v>
      </c>
      <c r="F5" s="192" t="s">
        <v>321</v>
      </c>
      <c r="G5" s="199" t="s">
        <v>558</v>
      </c>
      <c r="H5" s="199" t="s">
        <v>41</v>
      </c>
      <c r="I5" s="199" t="s">
        <v>617</v>
      </c>
      <c r="J5" s="199"/>
      <c r="K5" s="120"/>
      <c r="L5" s="120"/>
    </row>
    <row r="6" spans="1:12" s="6" customFormat="1" ht="28.7" customHeight="1" x14ac:dyDescent="0.2">
      <c r="A6" s="123"/>
      <c r="B6" s="121"/>
      <c r="C6" s="121"/>
      <c r="D6" s="199"/>
      <c r="E6" s="192"/>
      <c r="F6" s="192"/>
      <c r="G6" s="199"/>
      <c r="H6" s="199"/>
      <c r="I6" s="90" t="s">
        <v>243</v>
      </c>
      <c r="J6" s="90" t="s">
        <v>242</v>
      </c>
      <c r="K6" s="90" t="s">
        <v>41</v>
      </c>
      <c r="L6" s="77" t="s">
        <v>21</v>
      </c>
    </row>
    <row r="7" spans="1:12" ht="20.45" customHeight="1" x14ac:dyDescent="0.2">
      <c r="A7" s="69" t="s">
        <v>0</v>
      </c>
      <c r="B7" s="49">
        <v>131504.2034342289</v>
      </c>
      <c r="C7" s="50">
        <v>8412.8188356442006</v>
      </c>
      <c r="D7" s="49">
        <v>788.69024991989136</v>
      </c>
      <c r="E7" s="49">
        <v>1194.0698132514956</v>
      </c>
      <c r="F7" s="50">
        <v>839.43712240305808</v>
      </c>
      <c r="G7" s="49">
        <v>937.09900760650635</v>
      </c>
      <c r="H7" s="49">
        <v>1011.2697315216064</v>
      </c>
      <c r="I7" s="49">
        <v>1624.8442802429195</v>
      </c>
      <c r="J7" s="49">
        <v>1614.9812850952146</v>
      </c>
      <c r="K7" s="49">
        <v>20.932477474212646</v>
      </c>
      <c r="L7" s="50">
        <v>1.1454746999520076</v>
      </c>
    </row>
    <row r="8" spans="1:12" ht="20.45" customHeight="1" x14ac:dyDescent="0.2">
      <c r="A8" s="29" t="s">
        <v>1</v>
      </c>
      <c r="B8" s="51">
        <v>3999284.9654890299</v>
      </c>
      <c r="C8" s="52">
        <v>2209997.0997300968</v>
      </c>
      <c r="D8" s="51">
        <v>41219.634739875793</v>
      </c>
      <c r="E8" s="51">
        <v>47568.620892047955</v>
      </c>
      <c r="F8" s="52">
        <v>9543.5374536229829</v>
      </c>
      <c r="G8" s="51">
        <v>16617.025673389435</v>
      </c>
      <c r="H8" s="51">
        <v>195842.82642924786</v>
      </c>
      <c r="I8" s="51">
        <v>111815.35414195049</v>
      </c>
      <c r="J8" s="51">
        <v>395358.5477762231</v>
      </c>
      <c r="K8" s="51">
        <v>10353.954150676727</v>
      </c>
      <c r="L8" s="52">
        <v>596.60167141798456</v>
      </c>
    </row>
    <row r="9" spans="1:12" ht="20.45" customHeight="1" x14ac:dyDescent="0.2">
      <c r="A9" s="30" t="s">
        <v>2</v>
      </c>
      <c r="B9" s="53">
        <v>425217.50214135647</v>
      </c>
      <c r="C9" s="54">
        <v>25509.306759483829</v>
      </c>
      <c r="D9" s="53">
        <v>376.10776042938232</v>
      </c>
      <c r="E9" s="53">
        <v>376.10776042938232</v>
      </c>
      <c r="F9" s="54">
        <v>18.996855667207569</v>
      </c>
      <c r="G9" s="53">
        <v>1647.5993084907532</v>
      </c>
      <c r="H9" s="53">
        <v>7402.158013343811</v>
      </c>
      <c r="I9" s="53">
        <v>10742.385335922239</v>
      </c>
      <c r="J9" s="53">
        <v>12885.634994506825</v>
      </c>
      <c r="K9" s="53">
        <v>983.30654621124268</v>
      </c>
      <c r="L9" s="54">
        <v>10.965593604137451</v>
      </c>
    </row>
    <row r="10" spans="1:12" ht="20.45" customHeight="1" x14ac:dyDescent="0.2">
      <c r="A10" s="30" t="s">
        <v>3</v>
      </c>
      <c r="B10" s="53">
        <v>648449.97284579277</v>
      </c>
      <c r="C10" s="54">
        <v>96299.338873014785</v>
      </c>
      <c r="D10" s="53">
        <v>1595.6592669487</v>
      </c>
      <c r="E10" s="53">
        <v>1608.2384629249564</v>
      </c>
      <c r="F10" s="54">
        <v>67.503383643546542</v>
      </c>
      <c r="G10" s="53">
        <v>1973.8333892822266</v>
      </c>
      <c r="H10" s="53">
        <v>21860.670464634895</v>
      </c>
      <c r="I10" s="53">
        <v>11659.401174068444</v>
      </c>
      <c r="J10" s="53">
        <v>41976.08740377432</v>
      </c>
      <c r="K10" s="53">
        <v>1009.6937961578369</v>
      </c>
      <c r="L10" s="54">
        <v>41.238615561580538</v>
      </c>
    </row>
    <row r="11" spans="1:12" ht="20.45" customHeight="1" x14ac:dyDescent="0.2">
      <c r="A11" s="30" t="s">
        <v>4</v>
      </c>
      <c r="B11" s="53">
        <v>1430113.6145436764</v>
      </c>
      <c r="C11" s="54">
        <v>478190.54053741047</v>
      </c>
      <c r="D11" s="53">
        <v>6669.6303236484528</v>
      </c>
      <c r="E11" s="53">
        <v>7006.7283279895837</v>
      </c>
      <c r="F11" s="54">
        <v>598.6035534083378</v>
      </c>
      <c r="G11" s="53">
        <v>4837.4882483482361</v>
      </c>
      <c r="H11" s="53">
        <v>69473.101704359055</v>
      </c>
      <c r="I11" s="53">
        <v>30782.323438644409</v>
      </c>
      <c r="J11" s="53">
        <v>137628.13618063921</v>
      </c>
      <c r="K11" s="53">
        <v>2856.903892993927</v>
      </c>
      <c r="L11" s="54">
        <v>113.62459108459075</v>
      </c>
    </row>
    <row r="12" spans="1:12" ht="20.45" customHeight="1" x14ac:dyDescent="0.2">
      <c r="A12" s="30" t="s">
        <v>5</v>
      </c>
      <c r="B12" s="53">
        <v>945303.95051133633</v>
      </c>
      <c r="C12" s="54">
        <v>660203.10200041207</v>
      </c>
      <c r="D12" s="53">
        <v>11145.469506263733</v>
      </c>
      <c r="E12" s="53">
        <v>12069.976482391357</v>
      </c>
      <c r="F12" s="54">
        <v>1453.5626963161485</v>
      </c>
      <c r="G12" s="53">
        <v>4380.1876516342163</v>
      </c>
      <c r="H12" s="53">
        <v>56850.46347784996</v>
      </c>
      <c r="I12" s="53">
        <v>27784.280951976823</v>
      </c>
      <c r="J12" s="53">
        <v>115010.63675570487</v>
      </c>
      <c r="K12" s="53">
        <v>2601.2605335712433</v>
      </c>
      <c r="L12" s="54">
        <v>137.83650843994539</v>
      </c>
    </row>
    <row r="13" spans="1:12" ht="20.45" customHeight="1" x14ac:dyDescent="0.2">
      <c r="A13" s="30" t="s">
        <v>6</v>
      </c>
      <c r="B13" s="53">
        <v>427038.72920608521</v>
      </c>
      <c r="C13" s="54">
        <v>576346.75913770939</v>
      </c>
      <c r="D13" s="53">
        <v>11894.611454725266</v>
      </c>
      <c r="E13" s="53">
        <v>13187.764454126351</v>
      </c>
      <c r="F13" s="54">
        <v>2432.8192242091873</v>
      </c>
      <c r="G13" s="53">
        <v>2739.7560405731201</v>
      </c>
      <c r="H13" s="53">
        <v>30818.103914856911</v>
      </c>
      <c r="I13" s="53">
        <v>19732.73203897478</v>
      </c>
      <c r="J13" s="53">
        <v>67117.998972415982</v>
      </c>
      <c r="K13" s="53">
        <v>1900.2707269191742</v>
      </c>
      <c r="L13" s="54">
        <v>142.91682476763683</v>
      </c>
    </row>
    <row r="14" spans="1:12" ht="20.45" customHeight="1" x14ac:dyDescent="0.2">
      <c r="A14" s="30" t="s">
        <v>7</v>
      </c>
      <c r="B14" s="53">
        <v>81947.948482036591</v>
      </c>
      <c r="C14" s="54">
        <v>194230.78136854045</v>
      </c>
      <c r="D14" s="53">
        <v>5020.782009601593</v>
      </c>
      <c r="E14" s="53">
        <v>6083.3007812500091</v>
      </c>
      <c r="F14" s="54">
        <v>1797.5239413843319</v>
      </c>
      <c r="G14" s="53">
        <v>704.94671201705933</v>
      </c>
      <c r="H14" s="53">
        <v>6428.4566032886505</v>
      </c>
      <c r="I14" s="53">
        <v>5785.9000279903448</v>
      </c>
      <c r="J14" s="53">
        <v>13139.287230253205</v>
      </c>
      <c r="K14" s="53">
        <v>601.99178314208984</v>
      </c>
      <c r="L14" s="54">
        <v>82.525237367442784</v>
      </c>
    </row>
    <row r="15" spans="1:12" ht="20.45" customHeight="1" x14ac:dyDescent="0.2">
      <c r="A15" s="30" t="s">
        <v>8</v>
      </c>
      <c r="B15" s="53">
        <v>25962.588759422302</v>
      </c>
      <c r="C15" s="54">
        <v>88368.61314559725</v>
      </c>
      <c r="D15" s="53">
        <v>2346.0268287658691</v>
      </c>
      <c r="E15" s="53">
        <v>3190.6150541305551</v>
      </c>
      <c r="F15" s="54">
        <v>1157.2882524247098</v>
      </c>
      <c r="G15" s="53">
        <v>188.87379741668701</v>
      </c>
      <c r="H15" s="53">
        <v>1850.8531947135925</v>
      </c>
      <c r="I15" s="53">
        <v>3638.8864078521724</v>
      </c>
      <c r="J15" s="53">
        <v>4426.7384514808664</v>
      </c>
      <c r="K15" s="53">
        <v>222.62427711486816</v>
      </c>
      <c r="L15" s="54">
        <v>17.282348593405221</v>
      </c>
    </row>
    <row r="16" spans="1:12" ht="20.45" customHeight="1" x14ac:dyDescent="0.2">
      <c r="A16" s="30" t="s">
        <v>9</v>
      </c>
      <c r="B16" s="53">
        <v>7396.839360833168</v>
      </c>
      <c r="C16" s="54">
        <v>32799.663934678501</v>
      </c>
      <c r="D16" s="53">
        <v>781.94039583206177</v>
      </c>
      <c r="E16" s="53">
        <v>1352.5706992149351</v>
      </c>
      <c r="F16" s="54">
        <v>576.98190740554082</v>
      </c>
      <c r="G16" s="53">
        <v>95.606841087341309</v>
      </c>
      <c r="H16" s="53">
        <v>648.89687776565552</v>
      </c>
      <c r="I16" s="53">
        <v>1178.2487010955808</v>
      </c>
      <c r="J16" s="53">
        <v>1842.1149706840517</v>
      </c>
      <c r="K16" s="53">
        <v>91.421311378479004</v>
      </c>
      <c r="L16" s="54">
        <v>40.458887174484701</v>
      </c>
    </row>
    <row r="17" spans="1:12" s="6" customFormat="1" ht="20.45" customHeight="1" x14ac:dyDescent="0.2">
      <c r="A17" s="30" t="s">
        <v>10</v>
      </c>
      <c r="B17" s="53">
        <v>6978.5904805660248</v>
      </c>
      <c r="C17" s="54">
        <v>44892.867958983035</v>
      </c>
      <c r="D17" s="53">
        <v>1258.0634527206421</v>
      </c>
      <c r="E17" s="53">
        <v>2385.2189693450932</v>
      </c>
      <c r="F17" s="54">
        <v>1151.7016201194972</v>
      </c>
      <c r="G17" s="53">
        <v>32.413768768310547</v>
      </c>
      <c r="H17" s="53">
        <v>493.86127984523773</v>
      </c>
      <c r="I17" s="53">
        <v>462.41336965560913</v>
      </c>
      <c r="J17" s="53">
        <v>1218.0865266323092</v>
      </c>
      <c r="K17" s="53">
        <v>86.481283187866211</v>
      </c>
      <c r="L17" s="54">
        <v>9.7530648247609442</v>
      </c>
    </row>
    <row r="18" spans="1:12" ht="20.45" customHeight="1" x14ac:dyDescent="0.2">
      <c r="A18" s="30" t="s">
        <v>11</v>
      </c>
      <c r="B18" s="53">
        <v>875.2291579246521</v>
      </c>
      <c r="C18" s="54">
        <v>13156.126014231626</v>
      </c>
      <c r="D18" s="53">
        <v>131.34374094009399</v>
      </c>
      <c r="E18" s="53">
        <v>308.09990024566656</v>
      </c>
      <c r="F18" s="54">
        <v>288.5560190444661</v>
      </c>
      <c r="G18" s="53">
        <v>16.319915771484375</v>
      </c>
      <c r="H18" s="53">
        <v>16.260898590087891</v>
      </c>
      <c r="I18" s="53">
        <v>48.782695770263672</v>
      </c>
      <c r="J18" s="53">
        <v>113.82629013061523</v>
      </c>
      <c r="K18" s="53">
        <v>0</v>
      </c>
      <c r="L18" s="54"/>
    </row>
    <row r="19" spans="1:12" ht="20.45" customHeight="1" x14ac:dyDescent="0.2">
      <c r="A19" s="31" t="s">
        <v>12</v>
      </c>
      <c r="B19" s="25">
        <f>B7+B8</f>
        <v>4130789.1689232588</v>
      </c>
      <c r="C19" s="26">
        <f>C7+C8</f>
        <v>2218409.9185657408</v>
      </c>
      <c r="D19" s="25">
        <f t="shared" ref="D19:L19" si="0">D7+D8</f>
        <v>42008.324989795685</v>
      </c>
      <c r="E19" s="25">
        <f t="shared" si="0"/>
        <v>48762.69070529945</v>
      </c>
      <c r="F19" s="26">
        <f t="shared" si="0"/>
        <v>10382.974576026041</v>
      </c>
      <c r="G19" s="25">
        <f t="shared" si="0"/>
        <v>17554.124680995941</v>
      </c>
      <c r="H19" s="25">
        <f t="shared" si="0"/>
        <v>196854.09616076946</v>
      </c>
      <c r="I19" s="25">
        <f t="shared" si="0"/>
        <v>113440.19842219341</v>
      </c>
      <c r="J19" s="25">
        <f t="shared" si="0"/>
        <v>396973.52906131832</v>
      </c>
      <c r="K19" s="25">
        <f t="shared" si="0"/>
        <v>10374.88662815094</v>
      </c>
      <c r="L19" s="26">
        <f t="shared" si="0"/>
        <v>597.74714611793661</v>
      </c>
    </row>
    <row r="20" spans="1:12" ht="12" customHeight="1" x14ac:dyDescent="0.2">
      <c r="A20" s="74" t="s">
        <v>618</v>
      </c>
    </row>
  </sheetData>
  <mergeCells count="14">
    <mergeCell ref="A4:A6"/>
    <mergeCell ref="A1:L1"/>
    <mergeCell ref="H5:H6"/>
    <mergeCell ref="K4:L5"/>
    <mergeCell ref="F5:F6"/>
    <mergeCell ref="E5:E6"/>
    <mergeCell ref="D5:D6"/>
    <mergeCell ref="G5:G6"/>
    <mergeCell ref="B4:C4"/>
    <mergeCell ref="H4:J4"/>
    <mergeCell ref="D4:F4"/>
    <mergeCell ref="I5:J5"/>
    <mergeCell ref="C5:C6"/>
    <mergeCell ref="B5:B6"/>
  </mergeCells>
  <conditionalFormatting sqref="B7:B19">
    <cfRule type="cellIs" dxfId="348" priority="21" stopIfTrue="1" operator="equal">
      <formula>0</formula>
    </cfRule>
  </conditionalFormatting>
  <conditionalFormatting sqref="C7:C19 F7:F19 L7:L19">
    <cfRule type="cellIs" dxfId="347" priority="20" stopIfTrue="1" operator="equal">
      <formula>0</formula>
    </cfRule>
  </conditionalFormatting>
  <conditionalFormatting sqref="D7:D19">
    <cfRule type="cellIs" dxfId="346" priority="10" stopIfTrue="1" operator="equal">
      <formula>0</formula>
    </cfRule>
  </conditionalFormatting>
  <conditionalFormatting sqref="E7:E19">
    <cfRule type="cellIs" dxfId="345" priority="9" stopIfTrue="1" operator="equal">
      <formula>0</formula>
    </cfRule>
  </conditionalFormatting>
  <conditionalFormatting sqref="G7:G19">
    <cfRule type="cellIs" dxfId="344" priority="8" stopIfTrue="1" operator="equal">
      <formula>0</formula>
    </cfRule>
  </conditionalFormatting>
  <conditionalFormatting sqref="H7:H19">
    <cfRule type="cellIs" dxfId="343" priority="7" stopIfTrue="1" operator="equal">
      <formula>0</formula>
    </cfRule>
  </conditionalFormatting>
  <conditionalFormatting sqref="I7:I19">
    <cfRule type="cellIs" dxfId="342" priority="6" stopIfTrue="1" operator="equal">
      <formula>0</formula>
    </cfRule>
  </conditionalFormatting>
  <conditionalFormatting sqref="J7:J19">
    <cfRule type="cellIs" dxfId="341" priority="5" stopIfTrue="1" operator="equal">
      <formula>0</formula>
    </cfRule>
  </conditionalFormatting>
  <conditionalFormatting sqref="K7:K19">
    <cfRule type="cellIs" dxfId="340" priority="4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3D1A-9162-41AF-8825-D3B030894997}">
  <dimension ref="A1:J20"/>
  <sheetViews>
    <sheetView zoomScale="103" zoomScaleNormal="84" workbookViewId="0">
      <selection activeCell="C19" sqref="C19"/>
    </sheetView>
  </sheetViews>
  <sheetFormatPr defaultRowHeight="12.75" x14ac:dyDescent="0.2"/>
  <cols>
    <col min="1" max="1" width="27.42578125" customWidth="1"/>
    <col min="2" max="10" width="13.85546875" customWidth="1"/>
  </cols>
  <sheetData>
    <row r="1" spans="1:10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2">
      <c r="A2" s="27"/>
      <c r="B2" s="28"/>
      <c r="C2" s="28"/>
      <c r="D2" s="28"/>
      <c r="E2" s="28"/>
      <c r="F2" s="28"/>
      <c r="G2" s="28"/>
      <c r="H2" s="28"/>
      <c r="I2" s="28"/>
      <c r="J2" s="42" t="s">
        <v>32</v>
      </c>
    </row>
    <row r="3" spans="1:10" ht="24.75" customHeight="1" x14ac:dyDescent="0.2">
      <c r="A3" s="27" t="s">
        <v>564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21" customHeight="1" x14ac:dyDescent="0.2">
      <c r="A4" s="200" t="s">
        <v>30</v>
      </c>
      <c r="B4" s="201" t="s">
        <v>338</v>
      </c>
      <c r="C4" s="141" t="s">
        <v>325</v>
      </c>
      <c r="D4" s="141"/>
      <c r="E4" s="141"/>
      <c r="F4" s="141"/>
      <c r="G4" s="141" t="s">
        <v>581</v>
      </c>
      <c r="H4" s="141"/>
      <c r="I4" s="141"/>
      <c r="J4" s="141"/>
    </row>
    <row r="5" spans="1:10" ht="33.75" customHeight="1" x14ac:dyDescent="0.2">
      <c r="A5" s="200"/>
      <c r="B5" s="202"/>
      <c r="C5" s="201" t="s">
        <v>354</v>
      </c>
      <c r="D5" s="204" t="s">
        <v>327</v>
      </c>
      <c r="E5" s="205"/>
      <c r="F5" s="206"/>
      <c r="G5" s="201" t="s">
        <v>354</v>
      </c>
      <c r="H5" s="204" t="s">
        <v>619</v>
      </c>
      <c r="I5" s="205"/>
      <c r="J5" s="206"/>
    </row>
    <row r="6" spans="1:10" ht="21" customHeight="1" x14ac:dyDescent="0.2">
      <c r="A6" s="200"/>
      <c r="B6" s="203"/>
      <c r="C6" s="203"/>
      <c r="D6" s="80" t="s">
        <v>47</v>
      </c>
      <c r="E6" s="80" t="s">
        <v>328</v>
      </c>
      <c r="F6" s="79" t="s">
        <v>329</v>
      </c>
      <c r="G6" s="203"/>
      <c r="H6" s="80" t="s">
        <v>47</v>
      </c>
      <c r="I6" s="80" t="s">
        <v>239</v>
      </c>
      <c r="J6" s="79" t="s">
        <v>240</v>
      </c>
    </row>
    <row r="7" spans="1:10" ht="20.45" customHeight="1" x14ac:dyDescent="0.2">
      <c r="A7" s="69" t="s">
        <v>0</v>
      </c>
      <c r="B7" s="49">
        <v>131504.2034342289</v>
      </c>
      <c r="C7" s="49">
        <v>1295.0225186347961</v>
      </c>
      <c r="D7" s="49">
        <v>1986.470110416413</v>
      </c>
      <c r="E7" s="49">
        <v>1259.9070243835449</v>
      </c>
      <c r="F7" s="49">
        <v>726.56308603286777</v>
      </c>
      <c r="G7" s="49">
        <v>5998.5955790281296</v>
      </c>
      <c r="H7" s="49">
        <v>141877.99372160449</v>
      </c>
      <c r="I7" s="49">
        <v>67724.853192806273</v>
      </c>
      <c r="J7" s="49">
        <v>74153.140528798162</v>
      </c>
    </row>
    <row r="8" spans="1:10" ht="20.45" customHeight="1" x14ac:dyDescent="0.2">
      <c r="A8" s="29" t="s">
        <v>1</v>
      </c>
      <c r="B8" s="51">
        <v>3999284.9654890299</v>
      </c>
      <c r="C8" s="51">
        <v>37894.872811436653</v>
      </c>
      <c r="D8" s="51">
        <v>72604.680059432911</v>
      </c>
      <c r="E8" s="51">
        <v>42836.055663704828</v>
      </c>
      <c r="F8" s="51">
        <v>29768.624395728126</v>
      </c>
      <c r="G8" s="51">
        <v>1831828.5499498844</v>
      </c>
      <c r="H8" s="51">
        <v>67657162.664147139</v>
      </c>
      <c r="I8" s="51">
        <v>26100325.688756108</v>
      </c>
      <c r="J8" s="51">
        <v>41556836.97539299</v>
      </c>
    </row>
    <row r="9" spans="1:10" ht="20.45" customHeight="1" x14ac:dyDescent="0.2">
      <c r="A9" s="30" t="s">
        <v>2</v>
      </c>
      <c r="B9" s="53">
        <v>425217.50214135647</v>
      </c>
      <c r="C9" s="53">
        <v>1059.8967934846878</v>
      </c>
      <c r="D9" s="53">
        <v>1234.9791566133501</v>
      </c>
      <c r="E9" s="53">
        <v>812.35024321079266</v>
      </c>
      <c r="F9" s="53">
        <v>422.62891340255737</v>
      </c>
      <c r="G9" s="53">
        <v>75148.290150880814</v>
      </c>
      <c r="H9" s="53">
        <v>897972.10277092212</v>
      </c>
      <c r="I9" s="53">
        <v>346023.6154016268</v>
      </c>
      <c r="J9" s="53">
        <v>551948.48736929835</v>
      </c>
    </row>
    <row r="10" spans="1:10" ht="20.45" customHeight="1" x14ac:dyDescent="0.2">
      <c r="A10" s="30" t="s">
        <v>3</v>
      </c>
      <c r="B10" s="53">
        <v>648449.97284579277</v>
      </c>
      <c r="C10" s="53">
        <v>1650.4189306497574</v>
      </c>
      <c r="D10" s="53">
        <v>2225.836735248567</v>
      </c>
      <c r="E10" s="53">
        <v>1401.7912551164625</v>
      </c>
      <c r="F10" s="53">
        <v>824.04548013210308</v>
      </c>
      <c r="G10" s="53">
        <v>207006.45215427876</v>
      </c>
      <c r="H10" s="53">
        <v>3598687.5915259309</v>
      </c>
      <c r="I10" s="53">
        <v>1381748.6108205307</v>
      </c>
      <c r="J10" s="53">
        <v>2216938.9807053767</v>
      </c>
    </row>
    <row r="11" spans="1:10" ht="20.45" customHeight="1" x14ac:dyDescent="0.2">
      <c r="A11" s="30" t="s">
        <v>4</v>
      </c>
      <c r="B11" s="53">
        <v>1430113.6145436764</v>
      </c>
      <c r="C11" s="53">
        <v>4946.9333125352859</v>
      </c>
      <c r="D11" s="53">
        <v>6195.3833063840866</v>
      </c>
      <c r="E11" s="53">
        <v>4366.2861064672452</v>
      </c>
      <c r="F11" s="53">
        <v>1829.0971999168389</v>
      </c>
      <c r="G11" s="53">
        <v>638675.88263177872</v>
      </c>
      <c r="H11" s="53">
        <v>16396538.461025754</v>
      </c>
      <c r="I11" s="53">
        <v>6272345.7917684754</v>
      </c>
      <c r="J11" s="53">
        <v>10124192.66925725</v>
      </c>
    </row>
    <row r="12" spans="1:10" ht="20.45" customHeight="1" x14ac:dyDescent="0.2">
      <c r="A12" s="30" t="s">
        <v>5</v>
      </c>
      <c r="B12" s="53">
        <v>945303.95051133633</v>
      </c>
      <c r="C12" s="53">
        <v>5466.7191555500031</v>
      </c>
      <c r="D12" s="53">
        <v>6929.7194118499729</v>
      </c>
      <c r="E12" s="53">
        <v>4923.7013916969327</v>
      </c>
      <c r="F12" s="53">
        <v>2006.0180201530461</v>
      </c>
      <c r="G12" s="53">
        <v>530886.47991931438</v>
      </c>
      <c r="H12" s="53">
        <v>20142685.881231721</v>
      </c>
      <c r="I12" s="53">
        <v>7733419.7743433788</v>
      </c>
      <c r="J12" s="53">
        <v>12409266.106888294</v>
      </c>
    </row>
    <row r="13" spans="1:10" ht="20.45" customHeight="1" x14ac:dyDescent="0.2">
      <c r="A13" s="30" t="s">
        <v>6</v>
      </c>
      <c r="B13" s="53">
        <v>427038.72920608521</v>
      </c>
      <c r="C13" s="53">
        <v>14856.17764544487</v>
      </c>
      <c r="D13" s="53">
        <v>33746.590297698975</v>
      </c>
      <c r="E13" s="53">
        <v>17305.029392480847</v>
      </c>
      <c r="F13" s="53">
        <v>16441.560905218128</v>
      </c>
      <c r="G13" s="53">
        <v>285124.54823207855</v>
      </c>
      <c r="H13" s="53">
        <v>16288036.734893782</v>
      </c>
      <c r="I13" s="53">
        <v>6262500.2579184584</v>
      </c>
      <c r="J13" s="53">
        <v>10025536.476975502</v>
      </c>
    </row>
    <row r="14" spans="1:10" ht="20.45" customHeight="1" x14ac:dyDescent="0.2">
      <c r="A14" s="30" t="s">
        <v>7</v>
      </c>
      <c r="B14" s="53">
        <v>81947.948482036591</v>
      </c>
      <c r="C14" s="53">
        <v>4690.5701642036438</v>
      </c>
      <c r="D14" s="53">
        <v>10000.474936008462</v>
      </c>
      <c r="E14" s="53">
        <v>6011.6952447891217</v>
      </c>
      <c r="F14" s="53">
        <v>3988.7796912193294</v>
      </c>
      <c r="G14" s="53">
        <v>61580.025953769684</v>
      </c>
      <c r="H14" s="53">
        <v>5547877.9435019614</v>
      </c>
      <c r="I14" s="53">
        <v>2123420.137217998</v>
      </c>
      <c r="J14" s="53">
        <v>3424457.8062839536</v>
      </c>
    </row>
    <row r="15" spans="1:10" ht="20.45" customHeight="1" x14ac:dyDescent="0.2">
      <c r="A15" s="30" t="s">
        <v>8</v>
      </c>
      <c r="B15" s="53">
        <v>25962.588759422302</v>
      </c>
      <c r="C15" s="53">
        <v>2242.9448094367981</v>
      </c>
      <c r="D15" s="53">
        <v>4880.8401880264319</v>
      </c>
      <c r="E15" s="53">
        <v>3019.9328653812413</v>
      </c>
      <c r="F15" s="53">
        <v>1860.9073226451867</v>
      </c>
      <c r="G15" s="53">
        <v>20668.425120830536</v>
      </c>
      <c r="H15" s="53">
        <v>2504392.7265961175</v>
      </c>
      <c r="I15" s="53">
        <v>1019745.2363274103</v>
      </c>
      <c r="J15" s="53">
        <v>1484647.490268707</v>
      </c>
    </row>
    <row r="16" spans="1:10" ht="20.45" customHeight="1" x14ac:dyDescent="0.2">
      <c r="A16" s="30" t="s">
        <v>9</v>
      </c>
      <c r="B16" s="53">
        <v>7396.839360833168</v>
      </c>
      <c r="C16" s="53">
        <v>1003.6580893993378</v>
      </c>
      <c r="D16" s="53">
        <v>2594.1640944480891</v>
      </c>
      <c r="E16" s="53">
        <v>1778.8629961013798</v>
      </c>
      <c r="F16" s="53">
        <v>815.30109834671043</v>
      </c>
      <c r="G16" s="53">
        <v>6137.3369804620743</v>
      </c>
      <c r="H16" s="53">
        <v>945498.38991177059</v>
      </c>
      <c r="I16" s="53">
        <v>391286.57634282112</v>
      </c>
      <c r="J16" s="53">
        <v>554211.81356894947</v>
      </c>
    </row>
    <row r="17" spans="1:10" ht="20.45" customHeight="1" x14ac:dyDescent="0.2">
      <c r="A17" s="30" t="s">
        <v>10</v>
      </c>
      <c r="B17" s="53">
        <v>6978.5904805660248</v>
      </c>
      <c r="C17" s="53">
        <v>1616.8861241340637</v>
      </c>
      <c r="D17" s="53">
        <v>3961.2357549667349</v>
      </c>
      <c r="E17" s="53">
        <v>2655.1447353363042</v>
      </c>
      <c r="F17" s="53">
        <v>1306.0910196304324</v>
      </c>
      <c r="G17" s="53">
        <v>5862.8699911832809</v>
      </c>
      <c r="H17" s="53">
        <v>1134683.0445713985</v>
      </c>
      <c r="I17" s="53">
        <v>498561.42490720673</v>
      </c>
      <c r="J17" s="53">
        <v>636121.61966419197</v>
      </c>
    </row>
    <row r="18" spans="1:10" ht="20.45" customHeight="1" x14ac:dyDescent="0.2">
      <c r="A18" s="30" t="s">
        <v>11</v>
      </c>
      <c r="B18" s="53">
        <v>875.2291579246521</v>
      </c>
      <c r="C18" s="53">
        <v>360.66778659820557</v>
      </c>
      <c r="D18" s="53">
        <v>835.45617818832363</v>
      </c>
      <c r="E18" s="53">
        <v>561.26143312454224</v>
      </c>
      <c r="F18" s="53">
        <v>274.19474506378174</v>
      </c>
      <c r="G18" s="53">
        <v>738.23881530761719</v>
      </c>
      <c r="H18" s="53">
        <v>200789.7881193161</v>
      </c>
      <c r="I18" s="53">
        <v>71274.263708591447</v>
      </c>
      <c r="J18" s="53">
        <v>129515.52441072464</v>
      </c>
    </row>
    <row r="19" spans="1:10" ht="20.45" customHeight="1" x14ac:dyDescent="0.2">
      <c r="A19" s="31" t="s">
        <v>12</v>
      </c>
      <c r="B19" s="25">
        <f>B7+B8</f>
        <v>4130789.1689232588</v>
      </c>
      <c r="C19" s="25">
        <f t="shared" ref="C19:J19" si="0">C7+C8</f>
        <v>39189.895330071449</v>
      </c>
      <c r="D19" s="25">
        <f t="shared" si="0"/>
        <v>74591.150169849323</v>
      </c>
      <c r="E19" s="25">
        <f t="shared" si="0"/>
        <v>44095.962688088373</v>
      </c>
      <c r="F19" s="25">
        <f t="shared" si="0"/>
        <v>30495.187481760993</v>
      </c>
      <c r="G19" s="25">
        <f t="shared" si="0"/>
        <v>1837827.1455289125</v>
      </c>
      <c r="H19" s="25">
        <f t="shared" si="0"/>
        <v>67799040.657868743</v>
      </c>
      <c r="I19" s="25">
        <f t="shared" si="0"/>
        <v>26168050.541948915</v>
      </c>
      <c r="J19" s="25">
        <f t="shared" si="0"/>
        <v>41630990.115921788</v>
      </c>
    </row>
    <row r="20" spans="1:10" ht="12" customHeight="1" x14ac:dyDescent="0.2"/>
  </sheetData>
  <mergeCells count="9">
    <mergeCell ref="A1:J1"/>
    <mergeCell ref="A4:A6"/>
    <mergeCell ref="B4:B6"/>
    <mergeCell ref="C4:F4"/>
    <mergeCell ref="G4:J4"/>
    <mergeCell ref="C5:C6"/>
    <mergeCell ref="D5:F5"/>
    <mergeCell ref="G5:G6"/>
    <mergeCell ref="H5:J5"/>
  </mergeCells>
  <conditionalFormatting sqref="B7:B19">
    <cfRule type="cellIs" dxfId="339" priority="17" stopIfTrue="1" operator="equal">
      <formula>0</formula>
    </cfRule>
  </conditionalFormatting>
  <conditionalFormatting sqref="C7:C19">
    <cfRule type="cellIs" dxfId="338" priority="16" stopIfTrue="1" operator="equal">
      <formula>0</formula>
    </cfRule>
  </conditionalFormatting>
  <conditionalFormatting sqref="D7:D19">
    <cfRule type="cellIs" dxfId="337" priority="15" stopIfTrue="1" operator="equal">
      <formula>0</formula>
    </cfRule>
  </conditionalFormatting>
  <conditionalFormatting sqref="E7:E19">
    <cfRule type="cellIs" dxfId="336" priority="14" stopIfTrue="1" operator="equal">
      <formula>0</formula>
    </cfRule>
  </conditionalFormatting>
  <conditionalFormatting sqref="F7:F19">
    <cfRule type="cellIs" dxfId="335" priority="13" stopIfTrue="1" operator="equal">
      <formula>0</formula>
    </cfRule>
  </conditionalFormatting>
  <conditionalFormatting sqref="G7:G19">
    <cfRule type="cellIs" dxfId="334" priority="12" stopIfTrue="1" operator="equal">
      <formula>0</formula>
    </cfRule>
  </conditionalFormatting>
  <conditionalFormatting sqref="H7:H19">
    <cfRule type="cellIs" dxfId="333" priority="11" stopIfTrue="1" operator="equal">
      <formula>0</formula>
    </cfRule>
  </conditionalFormatting>
  <conditionalFormatting sqref="I7:I19">
    <cfRule type="cellIs" dxfId="332" priority="10" stopIfTrue="1" operator="equal">
      <formula>0</formula>
    </cfRule>
  </conditionalFormatting>
  <conditionalFormatting sqref="J7:J19">
    <cfRule type="cellIs" dxfId="331" priority="9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90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5A8F-1892-49B9-B70A-DA6FC63BA459}">
  <sheetPr>
    <pageSetUpPr fitToPage="1"/>
  </sheetPr>
  <dimension ref="A1:J20"/>
  <sheetViews>
    <sheetView zoomScale="98" zoomScaleNormal="84" workbookViewId="0">
      <selection activeCell="C19" sqref="C19"/>
    </sheetView>
  </sheetViews>
  <sheetFormatPr defaultRowHeight="12.75" x14ac:dyDescent="0.2"/>
  <cols>
    <col min="1" max="1" width="23.85546875" customWidth="1"/>
    <col min="2" max="2" width="11.85546875" customWidth="1"/>
    <col min="3" max="3" width="12.5703125" customWidth="1"/>
    <col min="4" max="4" width="12.140625" customWidth="1"/>
    <col min="5" max="5" width="11.5703125" customWidth="1"/>
    <col min="6" max="6" width="11.85546875" customWidth="1"/>
    <col min="7" max="7" width="11.5703125" customWidth="1"/>
    <col min="8" max="8" width="12.5703125" customWidth="1"/>
    <col min="9" max="9" width="12.85546875" customWidth="1"/>
    <col min="10" max="10" width="13.140625" customWidth="1"/>
  </cols>
  <sheetData>
    <row r="1" spans="1:10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2">
      <c r="A2" s="27"/>
      <c r="B2" s="28"/>
      <c r="C2" s="28"/>
      <c r="D2" s="28"/>
      <c r="E2" s="28"/>
      <c r="F2" s="28"/>
      <c r="G2" s="28"/>
      <c r="H2" s="42"/>
      <c r="I2" s="27"/>
      <c r="J2" s="42" t="s">
        <v>32</v>
      </c>
    </row>
    <row r="3" spans="1:10" ht="24.75" customHeight="1" x14ac:dyDescent="0.2">
      <c r="A3" s="27" t="s">
        <v>565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21" customHeight="1" x14ac:dyDescent="0.2">
      <c r="A4" s="207" t="s">
        <v>30</v>
      </c>
      <c r="B4" s="201" t="s">
        <v>338</v>
      </c>
      <c r="C4" s="204" t="s">
        <v>326</v>
      </c>
      <c r="D4" s="205"/>
      <c r="E4" s="205"/>
      <c r="F4" s="206"/>
      <c r="G4" s="204" t="s">
        <v>330</v>
      </c>
      <c r="H4" s="205"/>
      <c r="I4" s="205"/>
      <c r="J4" s="206"/>
    </row>
    <row r="5" spans="1:10" ht="33.75" customHeight="1" x14ac:dyDescent="0.2">
      <c r="A5" s="208"/>
      <c r="B5" s="202"/>
      <c r="C5" s="201" t="s">
        <v>354</v>
      </c>
      <c r="D5" s="204" t="s">
        <v>619</v>
      </c>
      <c r="E5" s="205"/>
      <c r="F5" s="206"/>
      <c r="G5" s="201" t="s">
        <v>354</v>
      </c>
      <c r="H5" s="204" t="s">
        <v>619</v>
      </c>
      <c r="I5" s="205"/>
      <c r="J5" s="206"/>
    </row>
    <row r="6" spans="1:10" ht="21" customHeight="1" x14ac:dyDescent="0.2">
      <c r="A6" s="209"/>
      <c r="B6" s="203"/>
      <c r="C6" s="203"/>
      <c r="D6" s="80" t="s">
        <v>47</v>
      </c>
      <c r="E6" s="80" t="s">
        <v>239</v>
      </c>
      <c r="F6" s="79" t="s">
        <v>240</v>
      </c>
      <c r="G6" s="203"/>
      <c r="H6" s="80" t="s">
        <v>47</v>
      </c>
      <c r="I6" s="80" t="s">
        <v>239</v>
      </c>
      <c r="J6" s="79" t="s">
        <v>240</v>
      </c>
    </row>
    <row r="7" spans="1:10" ht="20.45" customHeight="1" x14ac:dyDescent="0.2">
      <c r="A7" s="69" t="s">
        <v>0</v>
      </c>
      <c r="B7" s="49">
        <v>131504.2034342289</v>
      </c>
      <c r="C7" s="49">
        <v>4071.8100689649582</v>
      </c>
      <c r="D7" s="49">
        <v>49348.152035474777</v>
      </c>
      <c r="E7" s="49">
        <v>19648.57111954689</v>
      </c>
      <c r="F7" s="49">
        <v>29699.580915927894</v>
      </c>
      <c r="G7" s="49">
        <v>268.41550350189209</v>
      </c>
      <c r="H7" s="49">
        <v>3921.9549636840816</v>
      </c>
      <c r="I7" s="49">
        <v>2312.8568067550659</v>
      </c>
      <c r="J7" s="49">
        <v>1609.0981569290154</v>
      </c>
    </row>
    <row r="8" spans="1:10" ht="20.45" customHeight="1" x14ac:dyDescent="0.2">
      <c r="A8" s="29" t="s">
        <v>1</v>
      </c>
      <c r="B8" s="51">
        <v>3999284.9654890299</v>
      </c>
      <c r="C8" s="51">
        <v>1733442.3366742134</v>
      </c>
      <c r="D8" s="51">
        <v>37254006.031830221</v>
      </c>
      <c r="E8" s="51">
        <v>14164431.981446957</v>
      </c>
      <c r="F8" s="51">
        <v>23089574.050383009</v>
      </c>
      <c r="G8" s="51">
        <v>100897.80200171471</v>
      </c>
      <c r="H8" s="51">
        <v>2489145.0591561906</v>
      </c>
      <c r="I8" s="51">
        <v>1297555.943536164</v>
      </c>
      <c r="J8" s="51">
        <v>1191589.1156200161</v>
      </c>
    </row>
    <row r="9" spans="1:10" ht="20.45" customHeight="1" x14ac:dyDescent="0.2">
      <c r="A9" s="30" t="s">
        <v>2</v>
      </c>
      <c r="B9" s="53">
        <v>425217.50214135647</v>
      </c>
      <c r="C9" s="53">
        <v>87608.964893937111</v>
      </c>
      <c r="D9" s="53">
        <v>979834.28414154379</v>
      </c>
      <c r="E9" s="53">
        <v>348222.61443650816</v>
      </c>
      <c r="F9" s="53">
        <v>631611.66970503365</v>
      </c>
      <c r="G9" s="53">
        <v>2520.0756959915161</v>
      </c>
      <c r="H9" s="53">
        <v>22513.239603996277</v>
      </c>
      <c r="I9" s="53">
        <v>8696.2045416832007</v>
      </c>
      <c r="J9" s="53">
        <v>13817.035062313082</v>
      </c>
    </row>
    <row r="10" spans="1:10" ht="20.45" customHeight="1" x14ac:dyDescent="0.2">
      <c r="A10" s="30" t="s">
        <v>3</v>
      </c>
      <c r="B10" s="53">
        <v>648449.97284579277</v>
      </c>
      <c r="C10" s="53">
        <v>272118.84596920013</v>
      </c>
      <c r="D10" s="53">
        <v>4175712.3093315172</v>
      </c>
      <c r="E10" s="53">
        <v>1498570.6931107021</v>
      </c>
      <c r="F10" s="53">
        <v>2677141.616220843</v>
      </c>
      <c r="G10" s="53">
        <v>7624.4594820737839</v>
      </c>
      <c r="H10" s="53">
        <v>81655.300541639343</v>
      </c>
      <c r="I10" s="53">
        <v>39766.085357904441</v>
      </c>
      <c r="J10" s="53">
        <v>41889.215183734908</v>
      </c>
    </row>
    <row r="11" spans="1:10" ht="20.45" customHeight="1" x14ac:dyDescent="0.2">
      <c r="A11" s="30" t="s">
        <v>4</v>
      </c>
      <c r="B11" s="53">
        <v>1430113.6145436764</v>
      </c>
      <c r="C11" s="53">
        <v>703609.70465409756</v>
      </c>
      <c r="D11" s="53">
        <v>14348790.059579972</v>
      </c>
      <c r="E11" s="53">
        <v>5299178.207467434</v>
      </c>
      <c r="F11" s="53">
        <v>9049611.8521124162</v>
      </c>
      <c r="G11" s="53">
        <v>28982.172068238258</v>
      </c>
      <c r="H11" s="53">
        <v>458337.5271568296</v>
      </c>
      <c r="I11" s="53">
        <v>243705.02079987497</v>
      </c>
      <c r="J11" s="53">
        <v>214632.50635695463</v>
      </c>
    </row>
    <row r="12" spans="1:10" ht="20.45" customHeight="1" x14ac:dyDescent="0.2">
      <c r="A12" s="30" t="s">
        <v>5</v>
      </c>
      <c r="B12" s="53">
        <v>945303.95051133633</v>
      </c>
      <c r="C12" s="53">
        <v>453610.65545594692</v>
      </c>
      <c r="D12" s="53">
        <v>11347725.138820812</v>
      </c>
      <c r="E12" s="53">
        <v>4392421.2338862456</v>
      </c>
      <c r="F12" s="53">
        <v>6955303.9049345087</v>
      </c>
      <c r="G12" s="53">
        <v>29926.995532989502</v>
      </c>
      <c r="H12" s="53">
        <v>658904.19674420438</v>
      </c>
      <c r="I12" s="53">
        <v>358284.56141054601</v>
      </c>
      <c r="J12" s="53">
        <v>300619.63533365738</v>
      </c>
    </row>
    <row r="13" spans="1:10" ht="20.45" customHeight="1" x14ac:dyDescent="0.2">
      <c r="A13" s="30" t="s">
        <v>6</v>
      </c>
      <c r="B13" s="53">
        <v>427038.72920608521</v>
      </c>
      <c r="C13" s="53">
        <v>179158.01678621769</v>
      </c>
      <c r="D13" s="53">
        <v>5183090.2272804892</v>
      </c>
      <c r="E13" s="53">
        <v>2105928.9677256234</v>
      </c>
      <c r="F13" s="53">
        <v>3077161.2595548765</v>
      </c>
      <c r="G13" s="53">
        <v>20850.663819789886</v>
      </c>
      <c r="H13" s="53">
        <v>667427.05223059736</v>
      </c>
      <c r="I13" s="53">
        <v>340489.99155998341</v>
      </c>
      <c r="J13" s="53">
        <v>326937.060670615</v>
      </c>
    </row>
    <row r="14" spans="1:10" ht="20.45" customHeight="1" x14ac:dyDescent="0.2">
      <c r="A14" s="30" t="s">
        <v>7</v>
      </c>
      <c r="B14" s="53">
        <v>81947.948482036591</v>
      </c>
      <c r="C14" s="53">
        <v>27266.607841730118</v>
      </c>
      <c r="D14" s="53">
        <v>865426.46867597068</v>
      </c>
      <c r="E14" s="53">
        <v>361039.13103079697</v>
      </c>
      <c r="F14" s="53">
        <v>504387.33764517144</v>
      </c>
      <c r="G14" s="53">
        <v>6354.6718709468842</v>
      </c>
      <c r="H14" s="53">
        <v>282337.95740151429</v>
      </c>
      <c r="I14" s="53">
        <v>139806.66839718827</v>
      </c>
      <c r="J14" s="53">
        <v>142531.28900432581</v>
      </c>
    </row>
    <row r="15" spans="1:10" ht="20.45" customHeight="1" x14ac:dyDescent="0.2">
      <c r="A15" s="30" t="s">
        <v>8</v>
      </c>
      <c r="B15" s="53">
        <v>25962.588759422302</v>
      </c>
      <c r="C15" s="53">
        <v>7046.2304276227951</v>
      </c>
      <c r="D15" s="53">
        <v>245379.56930768484</v>
      </c>
      <c r="E15" s="53">
        <v>109567.06829404835</v>
      </c>
      <c r="F15" s="53">
        <v>135812.50101363662</v>
      </c>
      <c r="G15" s="53">
        <v>2731.2020149230957</v>
      </c>
      <c r="H15" s="53">
        <v>144300.10035824773</v>
      </c>
      <c r="I15" s="53">
        <v>79030.882383823395</v>
      </c>
      <c r="J15" s="53">
        <v>65269.217974424369</v>
      </c>
    </row>
    <row r="16" spans="1:10" ht="20.45" customHeight="1" x14ac:dyDescent="0.2">
      <c r="A16" s="30" t="s">
        <v>9</v>
      </c>
      <c r="B16" s="53">
        <v>7396.839360833168</v>
      </c>
      <c r="C16" s="53">
        <v>1767.7073866128922</v>
      </c>
      <c r="D16" s="53">
        <v>60993.029942154877</v>
      </c>
      <c r="E16" s="53">
        <v>27791.009526491165</v>
      </c>
      <c r="F16" s="53">
        <v>33202.020415663712</v>
      </c>
      <c r="G16" s="53">
        <v>909.45155572891235</v>
      </c>
      <c r="H16" s="53">
        <v>71409.783351898193</v>
      </c>
      <c r="I16" s="53">
        <v>33933.908975601196</v>
      </c>
      <c r="J16" s="53">
        <v>37475.874376296997</v>
      </c>
    </row>
    <row r="17" spans="1:10" ht="20.45" customHeight="1" x14ac:dyDescent="0.2">
      <c r="A17" s="30" t="s">
        <v>10</v>
      </c>
      <c r="B17" s="53">
        <v>6978.5904805660248</v>
      </c>
      <c r="C17" s="53">
        <v>1101.0755155086517</v>
      </c>
      <c r="D17" s="53">
        <v>40757.818364620194</v>
      </c>
      <c r="E17" s="53">
        <v>18758.008752822883</v>
      </c>
      <c r="F17" s="53">
        <v>21999.809611797333</v>
      </c>
      <c r="G17" s="53">
        <v>871.06303787231445</v>
      </c>
      <c r="H17" s="53">
        <v>93263.217593669906</v>
      </c>
      <c r="I17" s="53">
        <v>48560.939398765564</v>
      </c>
      <c r="J17" s="53">
        <v>44702.278194904349</v>
      </c>
    </row>
    <row r="18" spans="1:10" ht="20.45" customHeight="1" x14ac:dyDescent="0.2">
      <c r="A18" s="30" t="s">
        <v>11</v>
      </c>
      <c r="B18" s="53">
        <v>875.2291579246521</v>
      </c>
      <c r="C18" s="53">
        <v>154.52774333953857</v>
      </c>
      <c r="D18" s="53">
        <v>6297.1263856887799</v>
      </c>
      <c r="E18" s="53">
        <v>2955.0472164154048</v>
      </c>
      <c r="F18" s="53">
        <v>3342.0791692733765</v>
      </c>
      <c r="G18" s="53">
        <v>127.04692316055298</v>
      </c>
      <c r="H18" s="53">
        <v>8996.6841735839844</v>
      </c>
      <c r="I18" s="53">
        <v>5281.6807107925406</v>
      </c>
      <c r="J18" s="53">
        <v>3715.0034627914429</v>
      </c>
    </row>
    <row r="19" spans="1:10" ht="20.45" customHeight="1" x14ac:dyDescent="0.2">
      <c r="A19" s="31" t="s">
        <v>12</v>
      </c>
      <c r="B19" s="25">
        <f>B7+B8</f>
        <v>4130789.1689232588</v>
      </c>
      <c r="C19" s="25">
        <f t="shared" ref="C19:J19" si="0">C7+C8</f>
        <v>1737514.1467431784</v>
      </c>
      <c r="D19" s="25">
        <f t="shared" si="0"/>
        <v>37303354.183865696</v>
      </c>
      <c r="E19" s="25">
        <f t="shared" si="0"/>
        <v>14184080.552566504</v>
      </c>
      <c r="F19" s="25">
        <f t="shared" si="0"/>
        <v>23119273.631298937</v>
      </c>
      <c r="G19" s="25">
        <f t="shared" si="0"/>
        <v>101166.2175052166</v>
      </c>
      <c r="H19" s="25">
        <f t="shared" si="0"/>
        <v>2493067.0141198747</v>
      </c>
      <c r="I19" s="25">
        <f t="shared" si="0"/>
        <v>1299868.8003429191</v>
      </c>
      <c r="J19" s="25">
        <f t="shared" si="0"/>
        <v>1193198.2137769451</v>
      </c>
    </row>
    <row r="20" spans="1:10" ht="12" customHeight="1" x14ac:dyDescent="0.2"/>
  </sheetData>
  <mergeCells count="9">
    <mergeCell ref="C5:C6"/>
    <mergeCell ref="D5:F5"/>
    <mergeCell ref="G5:G6"/>
    <mergeCell ref="H5:J5"/>
    <mergeCell ref="A1:J1"/>
    <mergeCell ref="A4:A6"/>
    <mergeCell ref="B4:B6"/>
    <mergeCell ref="C4:F4"/>
    <mergeCell ref="G4:J4"/>
  </mergeCells>
  <conditionalFormatting sqref="B7:B19">
    <cfRule type="cellIs" dxfId="330" priority="17" stopIfTrue="1" operator="equal">
      <formula>0</formula>
    </cfRule>
  </conditionalFormatting>
  <conditionalFormatting sqref="C7:C19">
    <cfRule type="cellIs" dxfId="329" priority="8" stopIfTrue="1" operator="equal">
      <formula>0</formula>
    </cfRule>
  </conditionalFormatting>
  <conditionalFormatting sqref="D7:D19">
    <cfRule type="cellIs" dxfId="328" priority="7" stopIfTrue="1" operator="equal">
      <formula>0</formula>
    </cfRule>
  </conditionalFormatting>
  <conditionalFormatting sqref="E7:E19">
    <cfRule type="cellIs" dxfId="327" priority="6" stopIfTrue="1" operator="equal">
      <formula>0</formula>
    </cfRule>
  </conditionalFormatting>
  <conditionalFormatting sqref="F7:F19">
    <cfRule type="cellIs" dxfId="326" priority="5" stopIfTrue="1" operator="equal">
      <formula>0</formula>
    </cfRule>
  </conditionalFormatting>
  <conditionalFormatting sqref="G7:G19">
    <cfRule type="cellIs" dxfId="325" priority="4" stopIfTrue="1" operator="equal">
      <formula>0</formula>
    </cfRule>
  </conditionalFormatting>
  <conditionalFormatting sqref="H7:H19">
    <cfRule type="cellIs" dxfId="324" priority="3" stopIfTrue="1" operator="equal">
      <formula>0</formula>
    </cfRule>
  </conditionalFormatting>
  <conditionalFormatting sqref="I7:I19">
    <cfRule type="cellIs" dxfId="323" priority="2" stopIfTrue="1" operator="equal">
      <formula>0</formula>
    </cfRule>
  </conditionalFormatting>
  <conditionalFormatting sqref="J7:J19">
    <cfRule type="cellIs" dxfId="32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2ACC-6141-47F8-AC69-0B8D0E379572}">
  <dimension ref="A1:M20"/>
  <sheetViews>
    <sheetView zoomScale="111" zoomScaleNormal="146" workbookViewId="0">
      <selection activeCell="C19" sqref="C19"/>
    </sheetView>
  </sheetViews>
  <sheetFormatPr defaultRowHeight="12.75" x14ac:dyDescent="0.2"/>
  <cols>
    <col min="1" max="1" width="22.85546875" customWidth="1"/>
    <col min="2" max="2" width="11.5703125" customWidth="1"/>
    <col min="3" max="3" width="10.5703125" customWidth="1"/>
    <col min="4" max="4" width="12.140625" customWidth="1"/>
    <col min="5" max="6" width="11.5703125" customWidth="1"/>
    <col min="7" max="7" width="10.42578125" customWidth="1"/>
    <col min="8" max="8" width="10.140625" customWidth="1"/>
    <col min="9" max="9" width="11.5703125" customWidth="1"/>
    <col min="10" max="10" width="9" customWidth="1"/>
    <col min="11" max="11" width="9.85546875" customWidth="1"/>
    <col min="12" max="12" width="11.5703125" customWidth="1"/>
    <col min="13" max="13" width="9.140625" customWidth="1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A2" s="27"/>
      <c r="B2" s="28"/>
      <c r="C2" s="28"/>
      <c r="D2" s="28"/>
      <c r="E2" s="28"/>
      <c r="F2" s="28"/>
      <c r="G2" s="28"/>
      <c r="H2" s="28"/>
      <c r="I2" s="28"/>
      <c r="J2" s="42"/>
      <c r="K2" s="27"/>
      <c r="L2" s="27"/>
      <c r="M2" s="42" t="s">
        <v>32</v>
      </c>
    </row>
    <row r="3" spans="1:13" ht="16.5" customHeight="1" x14ac:dyDescent="0.2">
      <c r="A3" s="83" t="s">
        <v>566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s="7" customFormat="1" ht="16.5" customHeight="1" x14ac:dyDescent="0.2">
      <c r="A4" s="123" t="s">
        <v>30</v>
      </c>
      <c r="B4" s="126" t="s">
        <v>338</v>
      </c>
      <c r="C4" s="191" t="s">
        <v>443</v>
      </c>
      <c r="D4" s="124" t="s">
        <v>442</v>
      </c>
      <c r="E4" s="128"/>
      <c r="F4" s="128"/>
      <c r="G4" s="128"/>
      <c r="H4" s="128"/>
      <c r="I4" s="128"/>
      <c r="J4" s="128"/>
      <c r="K4" s="128"/>
      <c r="L4" s="128"/>
      <c r="M4" s="125"/>
    </row>
    <row r="5" spans="1:13" s="7" customFormat="1" ht="57" customHeight="1" x14ac:dyDescent="0.2">
      <c r="A5" s="123"/>
      <c r="B5" s="127"/>
      <c r="C5" s="191"/>
      <c r="D5" s="95" t="s">
        <v>331</v>
      </c>
      <c r="E5" s="95" t="s">
        <v>620</v>
      </c>
      <c r="F5" s="95" t="s">
        <v>621</v>
      </c>
      <c r="G5" s="95" t="s">
        <v>622</v>
      </c>
      <c r="H5" s="95" t="s">
        <v>332</v>
      </c>
      <c r="I5" s="95" t="s">
        <v>333</v>
      </c>
      <c r="J5" s="95" t="s">
        <v>334</v>
      </c>
      <c r="K5" s="77" t="s">
        <v>335</v>
      </c>
      <c r="L5" s="67" t="s">
        <v>623</v>
      </c>
      <c r="M5" s="77" t="s">
        <v>249</v>
      </c>
    </row>
    <row r="6" spans="1:13" s="6" customFormat="1" ht="20.45" customHeight="1" x14ac:dyDescent="0.2">
      <c r="A6" s="69" t="s">
        <v>0</v>
      </c>
      <c r="B6" s="49">
        <v>131504.2034342289</v>
      </c>
      <c r="C6" s="49">
        <v>8490.9144659042358</v>
      </c>
      <c r="D6" s="49">
        <v>3244.6443243026706</v>
      </c>
      <c r="E6" s="49">
        <v>573.96788740158013</v>
      </c>
      <c r="F6" s="49">
        <v>1053.3013854026792</v>
      </c>
      <c r="G6" s="49">
        <v>1056.8882741928103</v>
      </c>
      <c r="H6" s="49">
        <v>784.84768581390404</v>
      </c>
      <c r="I6" s="49">
        <v>1271.2714757919334</v>
      </c>
      <c r="J6" s="49">
        <v>955.86263918876568</v>
      </c>
      <c r="K6" s="49">
        <v>38.043211936950762</v>
      </c>
      <c r="L6" s="49">
        <v>1292.7799630165121</v>
      </c>
      <c r="M6" s="49">
        <v>256.76777172088651</v>
      </c>
    </row>
    <row r="7" spans="1:13" s="6" customFormat="1" ht="20.45" customHeight="1" x14ac:dyDescent="0.2">
      <c r="A7" s="29" t="s">
        <v>1</v>
      </c>
      <c r="B7" s="51">
        <v>3999284.9654890299</v>
      </c>
      <c r="C7" s="51">
        <v>474717.09676289558</v>
      </c>
      <c r="D7" s="51">
        <v>184308.29596197719</v>
      </c>
      <c r="E7" s="51">
        <v>28037.593712329312</v>
      </c>
      <c r="F7" s="51">
        <v>56881.750633955176</v>
      </c>
      <c r="G7" s="51">
        <v>60203.880627749371</v>
      </c>
      <c r="H7" s="51">
        <v>59360.641101359375</v>
      </c>
      <c r="I7" s="51">
        <v>65394.71584057877</v>
      </c>
      <c r="J7" s="51">
        <v>64093.371266364229</v>
      </c>
      <c r="K7" s="51">
        <v>2629.7005879878434</v>
      </c>
      <c r="L7" s="51">
        <v>54118.80515718495</v>
      </c>
      <c r="M7" s="51">
        <v>10375.537804961026</v>
      </c>
    </row>
    <row r="8" spans="1:13" ht="20.45" customHeight="1" x14ac:dyDescent="0.2">
      <c r="A8" s="30" t="s">
        <v>2</v>
      </c>
      <c r="B8" s="53">
        <v>425217.50214135647</v>
      </c>
      <c r="C8" s="53">
        <v>22779.743124246597</v>
      </c>
      <c r="D8" s="53">
        <v>8821.0137770176152</v>
      </c>
      <c r="E8" s="53">
        <v>1132.3721911907201</v>
      </c>
      <c r="F8" s="53">
        <v>2246.1735277175944</v>
      </c>
      <c r="G8" s="53">
        <v>2450.9964165687638</v>
      </c>
      <c r="H8" s="53">
        <v>2909.9831278324123</v>
      </c>
      <c r="I8" s="53">
        <v>3524.0378966331373</v>
      </c>
      <c r="J8" s="53">
        <v>3742.2307000159658</v>
      </c>
      <c r="K8" s="53">
        <v>156.96508979797261</v>
      </c>
      <c r="L8" s="53">
        <v>2824.4237813949799</v>
      </c>
      <c r="M8" s="53">
        <v>399.67907571792733</v>
      </c>
    </row>
    <row r="9" spans="1:13" ht="20.45" customHeight="1" x14ac:dyDescent="0.2">
      <c r="A9" s="30" t="s">
        <v>3</v>
      </c>
      <c r="B9" s="53">
        <v>648449.97284579277</v>
      </c>
      <c r="C9" s="53">
        <v>55156.792893648148</v>
      </c>
      <c r="D9" s="53">
        <v>22648.656765818516</v>
      </c>
      <c r="E9" s="53">
        <v>1903.4277139902181</v>
      </c>
      <c r="F9" s="53">
        <v>4308.3770041465923</v>
      </c>
      <c r="G9" s="53">
        <v>6084.9140286445609</v>
      </c>
      <c r="H9" s="53">
        <v>6427.734148263934</v>
      </c>
      <c r="I9" s="53">
        <v>8820.5939562321273</v>
      </c>
      <c r="J9" s="53">
        <v>8894.5316901207225</v>
      </c>
      <c r="K9" s="53">
        <v>319.88422203064135</v>
      </c>
      <c r="L9" s="53">
        <v>6020.472477436093</v>
      </c>
      <c r="M9" s="53">
        <v>1181.2343158721994</v>
      </c>
    </row>
    <row r="10" spans="1:13" ht="20.45" customHeight="1" x14ac:dyDescent="0.2">
      <c r="A10" s="30" t="s">
        <v>4</v>
      </c>
      <c r="B10" s="53">
        <v>1430113.6145436764</v>
      </c>
      <c r="C10" s="53">
        <v>160771.10734772682</v>
      </c>
      <c r="D10" s="53">
        <v>63401.985524177122</v>
      </c>
      <c r="E10" s="53">
        <v>7426.289153814414</v>
      </c>
      <c r="F10" s="53">
        <v>16222.931277155869</v>
      </c>
      <c r="G10" s="53">
        <v>19807.271800041206</v>
      </c>
      <c r="H10" s="53">
        <v>20299.557470083324</v>
      </c>
      <c r="I10" s="53">
        <v>22627.121322750929</v>
      </c>
      <c r="J10" s="53">
        <v>23141.576073169759</v>
      </c>
      <c r="K10" s="53">
        <v>820.88420963286728</v>
      </c>
      <c r="L10" s="53">
        <v>18167.099925398685</v>
      </c>
      <c r="M10" s="53">
        <v>3438.5627768039949</v>
      </c>
    </row>
    <row r="11" spans="1:13" ht="20.45" customHeight="1" x14ac:dyDescent="0.2">
      <c r="A11" s="30" t="s">
        <v>5</v>
      </c>
      <c r="B11" s="53">
        <v>945303.95051133633</v>
      </c>
      <c r="C11" s="53">
        <v>135205.55311822891</v>
      </c>
      <c r="D11" s="53">
        <v>52338.826463579891</v>
      </c>
      <c r="E11" s="53">
        <v>8051.2577277421906</v>
      </c>
      <c r="F11" s="53">
        <v>15672.034483909607</v>
      </c>
      <c r="G11" s="53">
        <v>17854.1567537786</v>
      </c>
      <c r="H11" s="53">
        <v>17359.683952569827</v>
      </c>
      <c r="I11" s="53">
        <v>19136.81366860872</v>
      </c>
      <c r="J11" s="53">
        <v>17332.784517764769</v>
      </c>
      <c r="K11" s="53">
        <v>701.41288137435163</v>
      </c>
      <c r="L11" s="53">
        <v>15678.16206455228</v>
      </c>
      <c r="M11" s="53">
        <v>2887.1937201022852</v>
      </c>
    </row>
    <row r="12" spans="1:13" ht="20.45" customHeight="1" x14ac:dyDescent="0.2">
      <c r="A12" s="30" t="s">
        <v>6</v>
      </c>
      <c r="B12" s="53">
        <v>427038.72920608521</v>
      </c>
      <c r="C12" s="53">
        <v>73672.979362130165</v>
      </c>
      <c r="D12" s="53">
        <v>28411.063132762585</v>
      </c>
      <c r="E12" s="53">
        <v>5866.5321238041188</v>
      </c>
      <c r="F12" s="53">
        <v>11630.033587336509</v>
      </c>
      <c r="G12" s="53">
        <v>10436.57961368557</v>
      </c>
      <c r="H12" s="53">
        <v>9192.4656405448059</v>
      </c>
      <c r="I12" s="53">
        <v>8600.7369438409878</v>
      </c>
      <c r="J12" s="53">
        <v>8529.1017093659048</v>
      </c>
      <c r="K12" s="53">
        <v>444.9649288654262</v>
      </c>
      <c r="L12" s="53">
        <v>8570.8714693784405</v>
      </c>
      <c r="M12" s="53">
        <v>1693.1576063632886</v>
      </c>
    </row>
    <row r="13" spans="1:13" ht="20.45" customHeight="1" x14ac:dyDescent="0.2">
      <c r="A13" s="30" t="s">
        <v>7</v>
      </c>
      <c r="B13" s="53">
        <v>81947.948482036591</v>
      </c>
      <c r="C13" s="53">
        <v>16480.699316978455</v>
      </c>
      <c r="D13" s="53">
        <v>5723.4932885169992</v>
      </c>
      <c r="E13" s="53">
        <v>1791.7124028205867</v>
      </c>
      <c r="F13" s="53">
        <v>3638.0694847106952</v>
      </c>
      <c r="G13" s="53">
        <v>1970.8296331167232</v>
      </c>
      <c r="H13" s="53">
        <v>1909.4113073349035</v>
      </c>
      <c r="I13" s="53">
        <v>1792.4087772369332</v>
      </c>
      <c r="J13" s="53">
        <v>1686.1207294464145</v>
      </c>
      <c r="K13" s="53">
        <v>103.12838268280072</v>
      </c>
      <c r="L13" s="53">
        <v>1773.6844320297325</v>
      </c>
      <c r="M13" s="53">
        <v>387.85245335102263</v>
      </c>
    </row>
    <row r="14" spans="1:13" ht="20.45" customHeight="1" x14ac:dyDescent="0.2">
      <c r="A14" s="30" t="s">
        <v>8</v>
      </c>
      <c r="B14" s="53">
        <v>25962.588759422302</v>
      </c>
      <c r="C14" s="53">
        <v>6097.9832569360733</v>
      </c>
      <c r="D14" s="53">
        <v>1751.1210070848451</v>
      </c>
      <c r="E14" s="53">
        <v>922.09413766861201</v>
      </c>
      <c r="F14" s="53">
        <v>1696.205507755282</v>
      </c>
      <c r="G14" s="53">
        <v>933.14190387725682</v>
      </c>
      <c r="H14" s="53">
        <v>708.06901454925548</v>
      </c>
      <c r="I14" s="53">
        <v>582.21209812164238</v>
      </c>
      <c r="J14" s="53">
        <v>486.32108449935885</v>
      </c>
      <c r="K14" s="53">
        <v>36.694027900695829</v>
      </c>
      <c r="L14" s="53">
        <v>830.12480449676411</v>
      </c>
      <c r="M14" s="53">
        <v>161.33615446090715</v>
      </c>
    </row>
    <row r="15" spans="1:13" ht="20.45" customHeight="1" x14ac:dyDescent="0.2">
      <c r="A15" s="30" t="s">
        <v>9</v>
      </c>
      <c r="B15" s="53">
        <v>7396.839360833168</v>
      </c>
      <c r="C15" s="53">
        <v>2058.4926117658615</v>
      </c>
      <c r="D15" s="53">
        <v>612.13135719299282</v>
      </c>
      <c r="E15" s="53">
        <v>312.61680841445906</v>
      </c>
      <c r="F15" s="53">
        <v>646.49605846405029</v>
      </c>
      <c r="G15" s="53">
        <v>339.65296649932844</v>
      </c>
      <c r="H15" s="53">
        <v>262.34079253673553</v>
      </c>
      <c r="I15" s="53">
        <v>153.57404267787942</v>
      </c>
      <c r="J15" s="53">
        <v>181.20496606826779</v>
      </c>
      <c r="K15" s="53">
        <v>22.117626190185558</v>
      </c>
      <c r="L15" s="53">
        <v>106.29087543487555</v>
      </c>
      <c r="M15" s="53">
        <v>110.08136463165286</v>
      </c>
    </row>
    <row r="16" spans="1:13" ht="20.45" customHeight="1" x14ac:dyDescent="0.2">
      <c r="A16" s="30" t="s">
        <v>10</v>
      </c>
      <c r="B16" s="53">
        <v>6978.5904805660248</v>
      </c>
      <c r="C16" s="53">
        <v>2157.6040676832199</v>
      </c>
      <c r="D16" s="53">
        <v>494.41550016403221</v>
      </c>
      <c r="E16" s="53">
        <v>551.41055822372437</v>
      </c>
      <c r="F16" s="53">
        <v>684.28527498245217</v>
      </c>
      <c r="G16" s="53">
        <v>304.53833436965908</v>
      </c>
      <c r="H16" s="53">
        <v>248.18247234821337</v>
      </c>
      <c r="I16" s="53">
        <v>132.93938636779782</v>
      </c>
      <c r="J16" s="53">
        <v>99.49979591369636</v>
      </c>
      <c r="K16" s="53">
        <v>10.350840568542473</v>
      </c>
      <c r="L16" s="53">
        <v>98.90533995628347</v>
      </c>
      <c r="M16" s="53">
        <v>116.44033765792834</v>
      </c>
    </row>
    <row r="17" spans="1:13" ht="20.45" customHeight="1" x14ac:dyDescent="0.2">
      <c r="A17" s="30" t="s">
        <v>11</v>
      </c>
      <c r="B17" s="53">
        <v>875.2291579246521</v>
      </c>
      <c r="C17" s="53">
        <v>336.14166355133057</v>
      </c>
      <c r="D17" s="53">
        <v>105.58914566040039</v>
      </c>
      <c r="E17" s="53">
        <v>79.880894660949693</v>
      </c>
      <c r="F17" s="53">
        <v>137.14442777633667</v>
      </c>
      <c r="G17" s="53">
        <v>21.799177169799805</v>
      </c>
      <c r="H17" s="53">
        <v>43.213175296783447</v>
      </c>
      <c r="I17" s="53">
        <v>24.277748107910156</v>
      </c>
      <c r="J17" s="53">
        <v>0</v>
      </c>
      <c r="K17" s="53">
        <v>13.298378944396973</v>
      </c>
      <c r="L17" s="53">
        <v>48.769987106323242</v>
      </c>
      <c r="M17" s="53">
        <v>0</v>
      </c>
    </row>
    <row r="18" spans="1:13" s="6" customFormat="1" ht="20.45" customHeight="1" x14ac:dyDescent="0.2">
      <c r="A18" s="31" t="s">
        <v>12</v>
      </c>
      <c r="B18" s="25">
        <f>B6+B7</f>
        <v>4130789.1689232588</v>
      </c>
      <c r="C18" s="25">
        <f t="shared" ref="C18:M18" si="0">C6+C7</f>
        <v>483208.01122879982</v>
      </c>
      <c r="D18" s="25">
        <f t="shared" si="0"/>
        <v>187552.94028627986</v>
      </c>
      <c r="E18" s="25">
        <f t="shared" si="0"/>
        <v>28611.561599730892</v>
      </c>
      <c r="F18" s="25">
        <f t="shared" si="0"/>
        <v>57935.052019357856</v>
      </c>
      <c r="G18" s="25">
        <f t="shared" si="0"/>
        <v>61260.768901942181</v>
      </c>
      <c r="H18" s="25">
        <f t="shared" si="0"/>
        <v>60145.488787173279</v>
      </c>
      <c r="I18" s="25">
        <f t="shared" si="0"/>
        <v>66665.987316370709</v>
      </c>
      <c r="J18" s="25">
        <f t="shared" si="0"/>
        <v>65049.233905552996</v>
      </c>
      <c r="K18" s="25">
        <f t="shared" si="0"/>
        <v>2667.7437999247941</v>
      </c>
      <c r="L18" s="25">
        <f t="shared" si="0"/>
        <v>55411.58512020146</v>
      </c>
      <c r="M18" s="25">
        <f t="shared" si="0"/>
        <v>10632.305576681912</v>
      </c>
    </row>
    <row r="20" spans="1:13" ht="12" customHeight="1" x14ac:dyDescent="0.2"/>
  </sheetData>
  <mergeCells count="5">
    <mergeCell ref="A4:A5"/>
    <mergeCell ref="C4:C5"/>
    <mergeCell ref="A1:M1"/>
    <mergeCell ref="B4:B5"/>
    <mergeCell ref="D4:M4"/>
  </mergeCells>
  <conditionalFormatting sqref="B6:B18">
    <cfRule type="cellIs" dxfId="321" priority="13" stopIfTrue="1" operator="equal">
      <formula>0</formula>
    </cfRule>
  </conditionalFormatting>
  <conditionalFormatting sqref="C6:C18">
    <cfRule type="cellIs" dxfId="320" priority="12" stopIfTrue="1" operator="equal">
      <formula>0</formula>
    </cfRule>
  </conditionalFormatting>
  <conditionalFormatting sqref="D6:D18">
    <cfRule type="cellIs" dxfId="319" priority="10" stopIfTrue="1" operator="equal">
      <formula>0</formula>
    </cfRule>
  </conditionalFormatting>
  <conditionalFormatting sqref="E6:E18">
    <cfRule type="cellIs" dxfId="318" priority="9" stopIfTrue="1" operator="equal">
      <formula>0</formula>
    </cfRule>
  </conditionalFormatting>
  <conditionalFormatting sqref="F6:F18">
    <cfRule type="cellIs" dxfId="317" priority="8" stopIfTrue="1" operator="equal">
      <formula>0</formula>
    </cfRule>
  </conditionalFormatting>
  <conditionalFormatting sqref="G6:G18">
    <cfRule type="cellIs" dxfId="316" priority="7" stopIfTrue="1" operator="equal">
      <formula>0</formula>
    </cfRule>
  </conditionalFormatting>
  <conditionalFormatting sqref="H6:H18">
    <cfRule type="cellIs" dxfId="315" priority="6" stopIfTrue="1" operator="equal">
      <formula>0</formula>
    </cfRule>
  </conditionalFormatting>
  <conditionalFormatting sqref="I6:I18">
    <cfRule type="cellIs" dxfId="314" priority="5" stopIfTrue="1" operator="equal">
      <formula>0</formula>
    </cfRule>
  </conditionalFormatting>
  <conditionalFormatting sqref="J6:J18">
    <cfRule type="cellIs" dxfId="313" priority="4" stopIfTrue="1" operator="equal">
      <formula>0</formula>
    </cfRule>
  </conditionalFormatting>
  <conditionalFormatting sqref="K6:K18">
    <cfRule type="cellIs" dxfId="312" priority="3" stopIfTrue="1" operator="equal">
      <formula>0</formula>
    </cfRule>
  </conditionalFormatting>
  <conditionalFormatting sqref="L6:L18">
    <cfRule type="cellIs" dxfId="311" priority="2" stopIfTrue="1" operator="equal">
      <formula>0</formula>
    </cfRule>
  </conditionalFormatting>
  <conditionalFormatting sqref="M6:M18">
    <cfRule type="cellIs" dxfId="31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CADC-0319-407B-8CCE-1B4C72F90680}">
  <dimension ref="A1:M20"/>
  <sheetViews>
    <sheetView zoomScale="95" zoomScaleNormal="136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2.42578125" customWidth="1"/>
    <col min="4" max="4" width="11.5703125" customWidth="1"/>
    <col min="5" max="5" width="10.85546875" customWidth="1"/>
    <col min="6" max="6" width="11.42578125" customWidth="1"/>
    <col min="7" max="7" width="12.5703125" customWidth="1"/>
    <col min="8" max="11" width="11.140625" customWidth="1"/>
    <col min="12" max="12" width="12" customWidth="1"/>
    <col min="13" max="13" width="8.85546875" customWidth="1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42" t="s">
        <v>32</v>
      </c>
    </row>
    <row r="3" spans="1:13" ht="16.5" customHeight="1" x14ac:dyDescent="0.2">
      <c r="A3" s="83" t="s">
        <v>624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s="7" customFormat="1" ht="15.6" customHeight="1" x14ac:dyDescent="0.2">
      <c r="A4" s="123" t="s">
        <v>324</v>
      </c>
      <c r="B4" s="126" t="s">
        <v>338</v>
      </c>
      <c r="C4" s="154" t="s">
        <v>559</v>
      </c>
      <c r="D4" s="122" t="s">
        <v>444</v>
      </c>
      <c r="E4" s="122"/>
      <c r="F4" s="122"/>
      <c r="G4" s="122"/>
      <c r="H4" s="122"/>
      <c r="I4" s="122"/>
      <c r="J4" s="122"/>
      <c r="K4" s="122"/>
      <c r="L4" s="122"/>
      <c r="M4" s="122"/>
    </row>
    <row r="5" spans="1:13" s="7" customFormat="1" ht="60.6" customHeight="1" x14ac:dyDescent="0.2">
      <c r="A5" s="123"/>
      <c r="B5" s="127"/>
      <c r="C5" s="155"/>
      <c r="D5" s="95" t="s">
        <v>625</v>
      </c>
      <c r="E5" s="95" t="s">
        <v>336</v>
      </c>
      <c r="F5" s="89" t="s">
        <v>446</v>
      </c>
      <c r="G5" s="95" t="s">
        <v>445</v>
      </c>
      <c r="H5" s="95" t="s">
        <v>337</v>
      </c>
      <c r="I5" s="95" t="s">
        <v>323</v>
      </c>
      <c r="J5" s="95" t="s">
        <v>319</v>
      </c>
      <c r="K5" s="95" t="s">
        <v>536</v>
      </c>
      <c r="L5" s="95" t="s">
        <v>447</v>
      </c>
      <c r="M5" s="95" t="s">
        <v>249</v>
      </c>
    </row>
    <row r="6" spans="1:13" s="6" customFormat="1" ht="20.45" customHeight="1" x14ac:dyDescent="0.2">
      <c r="A6" s="69" t="s">
        <v>0</v>
      </c>
      <c r="B6" s="49">
        <v>131504.2034342289</v>
      </c>
      <c r="C6" s="49">
        <v>34497.323557496071</v>
      </c>
      <c r="D6" s="49">
        <v>2769.7434897422791</v>
      </c>
      <c r="E6" s="49">
        <v>1271.7688717842102</v>
      </c>
      <c r="F6" s="49">
        <v>912.84038901329041</v>
      </c>
      <c r="G6" s="49">
        <v>25871.954883217812</v>
      </c>
      <c r="H6" s="49">
        <v>432.00391006469727</v>
      </c>
      <c r="I6" s="49">
        <v>416.74207377433777</v>
      </c>
      <c r="J6" s="49">
        <v>287.1633243560791</v>
      </c>
      <c r="K6" s="49">
        <v>116.70069646835327</v>
      </c>
      <c r="L6" s="49">
        <v>1356.8330643177032</v>
      </c>
      <c r="M6" s="49">
        <v>1061.572854757309</v>
      </c>
    </row>
    <row r="7" spans="1:13" s="6" customFormat="1" ht="20.45" customHeight="1" x14ac:dyDescent="0.2">
      <c r="A7" s="29" t="s">
        <v>1</v>
      </c>
      <c r="B7" s="51">
        <v>3999284.9654890299</v>
      </c>
      <c r="C7" s="51">
        <v>1380500.1566405296</v>
      </c>
      <c r="D7" s="51">
        <v>454818.1973259449</v>
      </c>
      <c r="E7" s="51">
        <v>175371.97049427032</v>
      </c>
      <c r="F7" s="51">
        <v>146671.93867921829</v>
      </c>
      <c r="G7" s="51">
        <v>492405.59232544899</v>
      </c>
      <c r="H7" s="51">
        <v>20211.295726537704</v>
      </c>
      <c r="I7" s="51">
        <v>14242.497910022736</v>
      </c>
      <c r="J7" s="51">
        <v>7123.9724562168121</v>
      </c>
      <c r="K7" s="51">
        <v>4580.5482664108276</v>
      </c>
      <c r="L7" s="51">
        <v>38700.295754790306</v>
      </c>
      <c r="M7" s="51">
        <v>26373.847701668739</v>
      </c>
    </row>
    <row r="8" spans="1:13" ht="20.45" customHeight="1" x14ac:dyDescent="0.2">
      <c r="A8" s="30" t="s">
        <v>2</v>
      </c>
      <c r="B8" s="53">
        <v>425217.50214135647</v>
      </c>
      <c r="C8" s="53">
        <v>104351.65401339531</v>
      </c>
      <c r="D8" s="53">
        <v>25172.503569126129</v>
      </c>
      <c r="E8" s="53">
        <v>9417.8415199518204</v>
      </c>
      <c r="F8" s="53">
        <v>7036.1257708072662</v>
      </c>
      <c r="G8" s="53">
        <v>52252.140671133995</v>
      </c>
      <c r="H8" s="53">
        <v>816.70502138137817</v>
      </c>
      <c r="I8" s="53">
        <v>1493.1371474266052</v>
      </c>
      <c r="J8" s="53">
        <v>1117.1736283302307</v>
      </c>
      <c r="K8" s="53">
        <v>1084.1874589920044</v>
      </c>
      <c r="L8" s="53">
        <v>3418.8674876689911</v>
      </c>
      <c r="M8" s="53">
        <v>2542.971738576889</v>
      </c>
    </row>
    <row r="9" spans="1:13" ht="20.45" customHeight="1" x14ac:dyDescent="0.2">
      <c r="A9" s="30" t="s">
        <v>3</v>
      </c>
      <c r="B9" s="53">
        <v>648449.97284579277</v>
      </c>
      <c r="C9" s="53">
        <v>197620.29726266861</v>
      </c>
      <c r="D9" s="53">
        <v>56921.710436224937</v>
      </c>
      <c r="E9" s="53">
        <v>26480.059589028358</v>
      </c>
      <c r="F9" s="53">
        <v>17078.441642642021</v>
      </c>
      <c r="G9" s="53">
        <v>81491.996739983559</v>
      </c>
      <c r="H9" s="53">
        <v>1826.0579521656036</v>
      </c>
      <c r="I9" s="53">
        <v>2179.0320320129395</v>
      </c>
      <c r="J9" s="53">
        <v>1716.8262357711792</v>
      </c>
      <c r="K9" s="53">
        <v>601.85871410369873</v>
      </c>
      <c r="L9" s="53">
        <v>5311.3398852348328</v>
      </c>
      <c r="M9" s="53">
        <v>4012.9740355014801</v>
      </c>
    </row>
    <row r="10" spans="1:13" ht="20.45" customHeight="1" x14ac:dyDescent="0.2">
      <c r="A10" s="30" t="s">
        <v>4</v>
      </c>
      <c r="B10" s="53">
        <v>1430113.6145436764</v>
      </c>
      <c r="C10" s="53">
        <v>497626.86271333694</v>
      </c>
      <c r="D10" s="53">
        <v>161733.98792457581</v>
      </c>
      <c r="E10" s="53">
        <v>65444.555631041527</v>
      </c>
      <c r="F10" s="53">
        <v>51192.743106484413</v>
      </c>
      <c r="G10" s="53">
        <v>182551.06023085117</v>
      </c>
      <c r="H10" s="53">
        <v>5791.6541016101837</v>
      </c>
      <c r="I10" s="53">
        <v>5538.2988011837006</v>
      </c>
      <c r="J10" s="53">
        <v>2149.9869470596313</v>
      </c>
      <c r="K10" s="53">
        <v>1221.3846383094788</v>
      </c>
      <c r="L10" s="53">
        <v>13611.444530010223</v>
      </c>
      <c r="M10" s="53">
        <v>8391.7468022108078</v>
      </c>
    </row>
    <row r="11" spans="1:13" ht="20.45" customHeight="1" x14ac:dyDescent="0.2">
      <c r="A11" s="30" t="s">
        <v>5</v>
      </c>
      <c r="B11" s="53">
        <v>945303.95051133633</v>
      </c>
      <c r="C11" s="53">
        <v>355214.17687177658</v>
      </c>
      <c r="D11" s="53">
        <v>126277.32838225365</v>
      </c>
      <c r="E11" s="53">
        <v>46282.129906415939</v>
      </c>
      <c r="F11" s="53">
        <v>40397.163341283798</v>
      </c>
      <c r="G11" s="53">
        <v>114497.551014781</v>
      </c>
      <c r="H11" s="53">
        <v>5677.1030802726746</v>
      </c>
      <c r="I11" s="53">
        <v>3281.1243915557861</v>
      </c>
      <c r="J11" s="53">
        <v>1384.7235770225525</v>
      </c>
      <c r="K11" s="53">
        <v>960.72817659378052</v>
      </c>
      <c r="L11" s="53">
        <v>9941.6297600269318</v>
      </c>
      <c r="M11" s="53">
        <v>6514.6952415704727</v>
      </c>
    </row>
    <row r="12" spans="1:13" ht="20.45" customHeight="1" x14ac:dyDescent="0.2">
      <c r="A12" s="30" t="s">
        <v>6</v>
      </c>
      <c r="B12" s="53">
        <v>427038.72920608521</v>
      </c>
      <c r="C12" s="53">
        <v>172061.00718045235</v>
      </c>
      <c r="D12" s="53">
        <v>64005.394901514053</v>
      </c>
      <c r="E12" s="53">
        <v>21409.025069475174</v>
      </c>
      <c r="F12" s="53">
        <v>22829.892259120941</v>
      </c>
      <c r="G12" s="53">
        <v>49231.566767215729</v>
      </c>
      <c r="H12" s="53">
        <v>3711.0880968570709</v>
      </c>
      <c r="I12" s="53">
        <v>1393.1357526779175</v>
      </c>
      <c r="J12" s="53">
        <v>585.35717463493347</v>
      </c>
      <c r="K12" s="53">
        <v>529.2393856048584</v>
      </c>
      <c r="L12" s="53">
        <v>4765.5205973386765</v>
      </c>
      <c r="M12" s="53">
        <v>3600.7871760129929</v>
      </c>
    </row>
    <row r="13" spans="1:13" ht="20.45" customHeight="1" x14ac:dyDescent="0.2">
      <c r="A13" s="30" t="s">
        <v>7</v>
      </c>
      <c r="B13" s="53">
        <v>81947.948482036591</v>
      </c>
      <c r="C13" s="53">
        <v>34909.775697231293</v>
      </c>
      <c r="D13" s="53">
        <v>13631.750519037247</v>
      </c>
      <c r="E13" s="53">
        <v>4038.6864378452301</v>
      </c>
      <c r="F13" s="53">
        <v>5066.2507658004761</v>
      </c>
      <c r="G13" s="53">
        <v>8429.2023565769196</v>
      </c>
      <c r="H13" s="53">
        <v>1504.0243964195251</v>
      </c>
      <c r="I13" s="53">
        <v>273.25305199623108</v>
      </c>
      <c r="J13" s="53">
        <v>127.10186052322388</v>
      </c>
      <c r="K13" s="53">
        <v>131.98014354705811</v>
      </c>
      <c r="L13" s="53">
        <v>867.88957834243774</v>
      </c>
      <c r="M13" s="53">
        <v>839.63658714294434</v>
      </c>
    </row>
    <row r="14" spans="1:13" ht="20.45" customHeight="1" x14ac:dyDescent="0.2">
      <c r="A14" s="30" t="s">
        <v>8</v>
      </c>
      <c r="B14" s="53">
        <v>25962.588759422302</v>
      </c>
      <c r="C14" s="53">
        <v>11522.367370247841</v>
      </c>
      <c r="D14" s="53">
        <v>4366.0021678209305</v>
      </c>
      <c r="E14" s="53">
        <v>1409.1308152675629</v>
      </c>
      <c r="F14" s="53">
        <v>1790.3229942321777</v>
      </c>
      <c r="G14" s="53">
        <v>2573.709813117981</v>
      </c>
      <c r="H14" s="53">
        <v>489.84899234771729</v>
      </c>
      <c r="I14" s="53">
        <v>76.966994762420654</v>
      </c>
      <c r="J14" s="53">
        <v>31.511091232299805</v>
      </c>
      <c r="K14" s="53">
        <v>43.111488342285156</v>
      </c>
      <c r="L14" s="53">
        <v>420.97598028182983</v>
      </c>
      <c r="M14" s="53">
        <v>320.78703284263611</v>
      </c>
    </row>
    <row r="15" spans="1:13" ht="20.45" customHeight="1" x14ac:dyDescent="0.2">
      <c r="A15" s="30" t="s">
        <v>9</v>
      </c>
      <c r="B15" s="53">
        <v>7396.839360833168</v>
      </c>
      <c r="C15" s="53">
        <v>3532.2730187177658</v>
      </c>
      <c r="D15" s="53">
        <v>1295.1464929580688</v>
      </c>
      <c r="E15" s="53">
        <v>540.62477958202362</v>
      </c>
      <c r="F15" s="53">
        <v>665.57819890975952</v>
      </c>
      <c r="G15" s="53">
        <v>670.57939672470093</v>
      </c>
      <c r="H15" s="53">
        <v>152.7998628616333</v>
      </c>
      <c r="I15" s="53">
        <v>7.5497384071350098</v>
      </c>
      <c r="J15" s="53">
        <v>11.29194164276123</v>
      </c>
      <c r="K15" s="53">
        <v>8.0582609176635742</v>
      </c>
      <c r="L15" s="53">
        <v>117.137535572052</v>
      </c>
      <c r="M15" s="53">
        <v>63.506811141967773</v>
      </c>
    </row>
    <row r="16" spans="1:13" ht="20.45" customHeight="1" x14ac:dyDescent="0.2">
      <c r="A16" s="30" t="s">
        <v>10</v>
      </c>
      <c r="B16" s="53">
        <v>6978.5904805660248</v>
      </c>
      <c r="C16" s="53">
        <v>3273.8690576553345</v>
      </c>
      <c r="D16" s="53">
        <v>1265.1953439712524</v>
      </c>
      <c r="E16" s="53">
        <v>316.60650205612183</v>
      </c>
      <c r="F16" s="53">
        <v>533.42915439605713</v>
      </c>
      <c r="G16" s="53">
        <v>685.88384199142456</v>
      </c>
      <c r="H16" s="53">
        <v>184.53138494491577</v>
      </c>
      <c r="I16" s="53">
        <v>0</v>
      </c>
      <c r="J16" s="53">
        <v>0</v>
      </c>
      <c r="K16" s="53">
        <v>0</v>
      </c>
      <c r="L16" s="53">
        <v>214.30500984191895</v>
      </c>
      <c r="M16" s="53">
        <v>73.917820453643799</v>
      </c>
    </row>
    <row r="17" spans="1:13" ht="20.45" customHeight="1" x14ac:dyDescent="0.2">
      <c r="A17" s="30" t="s">
        <v>11</v>
      </c>
      <c r="B17" s="53">
        <v>875.2291579246521</v>
      </c>
      <c r="C17" s="53">
        <v>387.87345504760742</v>
      </c>
      <c r="D17" s="53">
        <v>149.17758846282959</v>
      </c>
      <c r="E17" s="53">
        <v>33.310243606567383</v>
      </c>
      <c r="F17" s="53">
        <v>81.991445541381836</v>
      </c>
      <c r="G17" s="53">
        <v>21.901493072509766</v>
      </c>
      <c r="H17" s="53">
        <v>57.482837677001953</v>
      </c>
      <c r="I17" s="53">
        <v>0</v>
      </c>
      <c r="J17" s="53">
        <v>0</v>
      </c>
      <c r="K17" s="53">
        <v>0</v>
      </c>
      <c r="L17" s="53">
        <v>31.185390472412109</v>
      </c>
      <c r="M17" s="53">
        <v>12.824456214904785</v>
      </c>
    </row>
    <row r="18" spans="1:13" s="6" customFormat="1" ht="20.45" customHeight="1" x14ac:dyDescent="0.2">
      <c r="A18" s="31" t="s">
        <v>12</v>
      </c>
      <c r="B18" s="25">
        <f>B6+B7</f>
        <v>4130789.1689232588</v>
      </c>
      <c r="C18" s="25">
        <f t="shared" ref="C18:M18" si="0">C6+C7</f>
        <v>1414997.4801980257</v>
      </c>
      <c r="D18" s="25">
        <f t="shared" si="0"/>
        <v>457587.94081568718</v>
      </c>
      <c r="E18" s="25">
        <f t="shared" si="0"/>
        <v>176643.73936605453</v>
      </c>
      <c r="F18" s="25">
        <f t="shared" si="0"/>
        <v>147584.77906823158</v>
      </c>
      <c r="G18" s="25">
        <f t="shared" si="0"/>
        <v>518277.5472086668</v>
      </c>
      <c r="H18" s="25">
        <f t="shared" si="0"/>
        <v>20643.299636602402</v>
      </c>
      <c r="I18" s="25">
        <f t="shared" si="0"/>
        <v>14659.239983797073</v>
      </c>
      <c r="J18" s="25">
        <f t="shared" si="0"/>
        <v>7411.1357805728912</v>
      </c>
      <c r="K18" s="25">
        <f t="shared" si="0"/>
        <v>4697.2489628791809</v>
      </c>
      <c r="L18" s="25">
        <f t="shared" si="0"/>
        <v>40057.128819108009</v>
      </c>
      <c r="M18" s="25">
        <f t="shared" si="0"/>
        <v>27435.420556426048</v>
      </c>
    </row>
    <row r="20" spans="1:13" ht="12" customHeight="1" x14ac:dyDescent="0.2"/>
  </sheetData>
  <mergeCells count="5">
    <mergeCell ref="A1:M1"/>
    <mergeCell ref="A4:A5"/>
    <mergeCell ref="C4:C5"/>
    <mergeCell ref="D4:M4"/>
    <mergeCell ref="B4:B5"/>
  </mergeCells>
  <conditionalFormatting sqref="B6:B18">
    <cfRule type="cellIs" dxfId="309" priority="12" stopIfTrue="1" operator="equal">
      <formula>0</formula>
    </cfRule>
  </conditionalFormatting>
  <conditionalFormatting sqref="C6:C18">
    <cfRule type="cellIs" dxfId="308" priority="11" stopIfTrue="1" operator="equal">
      <formula>0</formula>
    </cfRule>
  </conditionalFormatting>
  <conditionalFormatting sqref="D6:D18">
    <cfRule type="cellIs" dxfId="307" priority="10" stopIfTrue="1" operator="equal">
      <formula>0</formula>
    </cfRule>
  </conditionalFormatting>
  <conditionalFormatting sqref="E6:E18">
    <cfRule type="cellIs" dxfId="306" priority="9" stopIfTrue="1" operator="equal">
      <formula>0</formula>
    </cfRule>
  </conditionalFormatting>
  <conditionalFormatting sqref="F6:F18">
    <cfRule type="cellIs" dxfId="305" priority="8" stopIfTrue="1" operator="equal">
      <formula>0</formula>
    </cfRule>
  </conditionalFormatting>
  <conditionalFormatting sqref="G6:G18">
    <cfRule type="cellIs" dxfId="304" priority="7" stopIfTrue="1" operator="equal">
      <formula>0</formula>
    </cfRule>
  </conditionalFormatting>
  <conditionalFormatting sqref="H6:H18">
    <cfRule type="cellIs" dxfId="303" priority="6" stopIfTrue="1" operator="equal">
      <formula>0</formula>
    </cfRule>
  </conditionalFormatting>
  <conditionalFormatting sqref="I6:I18">
    <cfRule type="cellIs" dxfId="302" priority="5" stopIfTrue="1" operator="equal">
      <formula>0</formula>
    </cfRule>
  </conditionalFormatting>
  <conditionalFormatting sqref="J6:J18">
    <cfRule type="cellIs" dxfId="301" priority="4" stopIfTrue="1" operator="equal">
      <formula>0</formula>
    </cfRule>
  </conditionalFormatting>
  <conditionalFormatting sqref="K6:K18">
    <cfRule type="cellIs" dxfId="300" priority="3" stopIfTrue="1" operator="equal">
      <formula>0</formula>
    </cfRule>
  </conditionalFormatting>
  <conditionalFormatting sqref="L6:L18">
    <cfRule type="cellIs" dxfId="299" priority="2" stopIfTrue="1" operator="equal">
      <formula>0</formula>
    </cfRule>
  </conditionalFormatting>
  <conditionalFormatting sqref="M6:M18">
    <cfRule type="cellIs" dxfId="298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C51D-F7EF-4E50-828C-2BF553A112CB}">
  <sheetPr>
    <tabColor rgb="FFFFFF00"/>
  </sheetPr>
  <dimension ref="A1:O20"/>
  <sheetViews>
    <sheetView zoomScale="102" zoomScaleNormal="146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1.42578125" customWidth="1"/>
    <col min="4" max="5" width="10.140625" customWidth="1"/>
    <col min="6" max="6" width="11.42578125" customWidth="1"/>
    <col min="7" max="12" width="10.140625" customWidth="1"/>
    <col min="13" max="13" width="11.85546875" customWidth="1"/>
    <col min="14" max="14" width="12.42578125" customWidth="1"/>
    <col min="15" max="15" width="10.140625" customWidth="1"/>
  </cols>
  <sheetData>
    <row r="1" spans="1:1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42"/>
      <c r="N2" s="27"/>
      <c r="O2" s="42" t="s">
        <v>32</v>
      </c>
    </row>
    <row r="3" spans="1:15" ht="16.5" customHeight="1" x14ac:dyDescent="0.2">
      <c r="A3" s="83" t="s">
        <v>567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s="7" customFormat="1" ht="28.7" customHeight="1" x14ac:dyDescent="0.2">
      <c r="A4" s="123" t="s">
        <v>30</v>
      </c>
      <c r="B4" s="126" t="s">
        <v>338</v>
      </c>
      <c r="C4" s="154" t="s">
        <v>626</v>
      </c>
      <c r="D4" s="122" t="s">
        <v>628</v>
      </c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</row>
    <row r="5" spans="1:15" s="7" customFormat="1" ht="64.349999999999994" customHeight="1" x14ac:dyDescent="0.2">
      <c r="A5" s="123"/>
      <c r="B5" s="127"/>
      <c r="C5" s="155"/>
      <c r="D5" s="95" t="s">
        <v>448</v>
      </c>
      <c r="E5" s="95" t="s">
        <v>449</v>
      </c>
      <c r="F5" s="95" t="s">
        <v>538</v>
      </c>
      <c r="G5" s="95" t="s">
        <v>450</v>
      </c>
      <c r="H5" s="95" t="s">
        <v>339</v>
      </c>
      <c r="I5" s="95" t="s">
        <v>340</v>
      </c>
      <c r="J5" s="95" t="s">
        <v>480</v>
      </c>
      <c r="K5" s="95" t="s">
        <v>323</v>
      </c>
      <c r="L5" s="95" t="s">
        <v>319</v>
      </c>
      <c r="M5" s="95" t="s">
        <v>537</v>
      </c>
      <c r="N5" s="95" t="s">
        <v>447</v>
      </c>
      <c r="O5" s="95" t="s">
        <v>249</v>
      </c>
    </row>
    <row r="6" spans="1:15" s="6" customFormat="1" ht="20.45" customHeight="1" x14ac:dyDescent="0.2">
      <c r="A6" s="69" t="s">
        <v>0</v>
      </c>
      <c r="B6" s="49">
        <v>131504.2034342289</v>
      </c>
      <c r="C6" s="49">
        <v>3927.0098829269409</v>
      </c>
      <c r="D6" s="49">
        <v>100.83520746231115</v>
      </c>
      <c r="E6" s="49">
        <v>20.443563461303697</v>
      </c>
      <c r="F6" s="49">
        <v>10.18202209472661</v>
      </c>
      <c r="G6" s="49">
        <v>37.634123802184938</v>
      </c>
      <c r="H6" s="49">
        <v>3316.3691544532794</v>
      </c>
      <c r="I6" s="49">
        <v>461.54316329956032</v>
      </c>
      <c r="J6" s="49">
        <v>136.53631496429472</v>
      </c>
      <c r="K6" s="49">
        <v>8.8262987136840838</v>
      </c>
      <c r="L6" s="49">
        <v>0</v>
      </c>
      <c r="M6" s="49">
        <v>0</v>
      </c>
      <c r="N6" s="49">
        <v>0</v>
      </c>
      <c r="O6" s="49">
        <v>20.316281318664625</v>
      </c>
    </row>
    <row r="7" spans="1:15" s="6" customFormat="1" ht="20.45" customHeight="1" x14ac:dyDescent="0.2">
      <c r="A7" s="29" t="s">
        <v>1</v>
      </c>
      <c r="B7" s="51">
        <v>3999284.9654890299</v>
      </c>
      <c r="C7" s="51">
        <v>178514.44014596939</v>
      </c>
      <c r="D7" s="51">
        <v>13930.942955374881</v>
      </c>
      <c r="E7" s="51">
        <v>5798.6419984102386</v>
      </c>
      <c r="F7" s="51">
        <v>5207.5553296805565</v>
      </c>
      <c r="G7" s="51">
        <v>3116.8404328823331</v>
      </c>
      <c r="H7" s="51">
        <v>150645.73344683435</v>
      </c>
      <c r="I7" s="51">
        <v>9127.3519470689662</v>
      </c>
      <c r="J7" s="51">
        <v>4196.4400274754025</v>
      </c>
      <c r="K7" s="51">
        <v>1366.0847625732235</v>
      </c>
      <c r="L7" s="51">
        <v>1373.7908415794536</v>
      </c>
      <c r="M7" s="51">
        <v>803.87030816080573</v>
      </c>
      <c r="N7" s="51">
        <v>1097.3698401451009</v>
      </c>
      <c r="O7" s="51">
        <v>808.89382839201494</v>
      </c>
    </row>
    <row r="8" spans="1:15" ht="20.45" customHeight="1" x14ac:dyDescent="0.2">
      <c r="A8" s="30" t="s">
        <v>2</v>
      </c>
      <c r="B8" s="53">
        <v>425217.50214135647</v>
      </c>
      <c r="C8" s="53">
        <v>7957.3608901500702</v>
      </c>
      <c r="D8" s="53">
        <v>797.76737499236947</v>
      </c>
      <c r="E8" s="53">
        <v>234.30119085311881</v>
      </c>
      <c r="F8" s="53">
        <v>192.2466492652876</v>
      </c>
      <c r="G8" s="53">
        <v>231.53103208541989</v>
      </c>
      <c r="H8" s="53">
        <v>6526.7396690846081</v>
      </c>
      <c r="I8" s="53">
        <v>842.66467046738603</v>
      </c>
      <c r="J8" s="53">
        <v>185.45907592773409</v>
      </c>
      <c r="K8" s="53">
        <v>147.11592864990129</v>
      </c>
      <c r="L8" s="53">
        <v>78.448612213134822</v>
      </c>
      <c r="M8" s="53">
        <v>52.542987823486243</v>
      </c>
      <c r="N8" s="53">
        <v>77.289601325989324</v>
      </c>
      <c r="O8" s="53">
        <v>24.878776550292969</v>
      </c>
    </row>
    <row r="9" spans="1:15" ht="20.45" customHeight="1" x14ac:dyDescent="0.2">
      <c r="A9" s="30" t="s">
        <v>3</v>
      </c>
      <c r="B9" s="53">
        <v>648449.97284579277</v>
      </c>
      <c r="C9" s="53">
        <v>18982.125389575958</v>
      </c>
      <c r="D9" s="53">
        <v>1641.5884256363049</v>
      </c>
      <c r="E9" s="53">
        <v>695.0995728969574</v>
      </c>
      <c r="F9" s="53">
        <v>633.92590665817409</v>
      </c>
      <c r="G9" s="53">
        <v>283.18310022354086</v>
      </c>
      <c r="H9" s="53">
        <v>15706.918533802147</v>
      </c>
      <c r="I9" s="53">
        <v>1144.0536780357515</v>
      </c>
      <c r="J9" s="53">
        <v>372.99190521239979</v>
      </c>
      <c r="K9" s="53">
        <v>258.53636789321848</v>
      </c>
      <c r="L9" s="53">
        <v>265.43568611145088</v>
      </c>
      <c r="M9" s="53">
        <v>79.239545106888343</v>
      </c>
      <c r="N9" s="53">
        <v>47.877492904662581</v>
      </c>
      <c r="O9" s="53">
        <v>71.649241447448532</v>
      </c>
    </row>
    <row r="10" spans="1:15" ht="20.45" customHeight="1" x14ac:dyDescent="0.2">
      <c r="A10" s="30" t="s">
        <v>4</v>
      </c>
      <c r="B10" s="53">
        <v>1430113.6145436764</v>
      </c>
      <c r="C10" s="53">
        <v>64637.879702568054</v>
      </c>
      <c r="D10" s="53">
        <v>4961.2568165063549</v>
      </c>
      <c r="E10" s="53">
        <v>1882.7093518972338</v>
      </c>
      <c r="F10" s="53">
        <v>1892.677770495402</v>
      </c>
      <c r="G10" s="53">
        <v>783.26478767395145</v>
      </c>
      <c r="H10" s="53">
        <v>55489.304347991412</v>
      </c>
      <c r="I10" s="53">
        <v>2897.1573393344825</v>
      </c>
      <c r="J10" s="53">
        <v>1116.6639299392634</v>
      </c>
      <c r="K10" s="53">
        <v>564.43749856950035</v>
      </c>
      <c r="L10" s="53">
        <v>450.46500539779566</v>
      </c>
      <c r="M10" s="53">
        <v>360.02478885650999</v>
      </c>
      <c r="N10" s="53">
        <v>262.1309900283843</v>
      </c>
      <c r="O10" s="53">
        <v>245.67623901366929</v>
      </c>
    </row>
    <row r="11" spans="1:15" ht="20.45" customHeight="1" x14ac:dyDescent="0.2">
      <c r="A11" s="30" t="s">
        <v>5</v>
      </c>
      <c r="B11" s="53">
        <v>945303.95051133633</v>
      </c>
      <c r="C11" s="53">
        <v>52112.500846505165</v>
      </c>
      <c r="D11" s="53">
        <v>3441.10387134551</v>
      </c>
      <c r="E11" s="53">
        <v>1737.1915807723863</v>
      </c>
      <c r="F11" s="53">
        <v>1385.0645561218259</v>
      </c>
      <c r="G11" s="53">
        <v>632.61741757393463</v>
      </c>
      <c r="H11" s="53">
        <v>44913.26323461521</v>
      </c>
      <c r="I11" s="53">
        <v>2308.1336460113553</v>
      </c>
      <c r="J11" s="53">
        <v>923.56061232089439</v>
      </c>
      <c r="K11" s="53">
        <v>224.67580413818447</v>
      </c>
      <c r="L11" s="53">
        <v>329.83702611923161</v>
      </c>
      <c r="M11" s="53">
        <v>219.10219097137323</v>
      </c>
      <c r="N11" s="53">
        <v>231.91648292541083</v>
      </c>
      <c r="O11" s="53">
        <v>241.48218631744194</v>
      </c>
    </row>
    <row r="12" spans="1:15" ht="20.45" customHeight="1" x14ac:dyDescent="0.2">
      <c r="A12" s="30" t="s">
        <v>6</v>
      </c>
      <c r="B12" s="53">
        <v>427038.72920608521</v>
      </c>
      <c r="C12" s="53">
        <v>25356.795839548111</v>
      </c>
      <c r="D12" s="53">
        <v>2128.8071835040923</v>
      </c>
      <c r="E12" s="53">
        <v>858.44223117828824</v>
      </c>
      <c r="F12" s="53">
        <v>696.39494705200514</v>
      </c>
      <c r="G12" s="53">
        <v>576.58483123778922</v>
      </c>
      <c r="H12" s="53">
        <v>21068.23364984987</v>
      </c>
      <c r="I12" s="53">
        <v>1372.7266511917107</v>
      </c>
      <c r="J12" s="53">
        <v>812.82200634480398</v>
      </c>
      <c r="K12" s="53">
        <v>123.42007350921523</v>
      </c>
      <c r="L12" s="53">
        <v>200.94592666625999</v>
      </c>
      <c r="M12" s="53">
        <v>38.552975654602342</v>
      </c>
      <c r="N12" s="53">
        <v>297.24587821960449</v>
      </c>
      <c r="O12" s="53">
        <v>97.066880702972156</v>
      </c>
    </row>
    <row r="13" spans="1:15" ht="20.45" customHeight="1" x14ac:dyDescent="0.2">
      <c r="A13" s="30" t="s">
        <v>7</v>
      </c>
      <c r="B13" s="53">
        <v>81947.948482036591</v>
      </c>
      <c r="C13" s="53">
        <v>5642.5000677108765</v>
      </c>
      <c r="D13" s="53">
        <v>526.43811845779305</v>
      </c>
      <c r="E13" s="53">
        <v>169.8453559875488</v>
      </c>
      <c r="F13" s="53">
        <v>156.36351156234753</v>
      </c>
      <c r="G13" s="53">
        <v>337.17671871185343</v>
      </c>
      <c r="H13" s="53">
        <v>4318.6758570671054</v>
      </c>
      <c r="I13" s="53">
        <v>332.94328117370588</v>
      </c>
      <c r="J13" s="53">
        <v>346.15436267852601</v>
      </c>
      <c r="K13" s="53">
        <v>36.699609756469826</v>
      </c>
      <c r="L13" s="53">
        <v>37.459105014800834</v>
      </c>
      <c r="M13" s="53">
        <v>34.511878967285256</v>
      </c>
      <c r="N13" s="53">
        <v>78.975824356079102</v>
      </c>
      <c r="O13" s="53">
        <v>80.673563957214029</v>
      </c>
    </row>
    <row r="14" spans="1:15" ht="20.45" customHeight="1" x14ac:dyDescent="0.2">
      <c r="A14" s="30" t="s">
        <v>8</v>
      </c>
      <c r="B14" s="53">
        <v>25962.588759422302</v>
      </c>
      <c r="C14" s="53">
        <v>1886.9752898216248</v>
      </c>
      <c r="D14" s="53">
        <v>230.36985826492298</v>
      </c>
      <c r="E14" s="53">
        <v>68.835348606109577</v>
      </c>
      <c r="F14" s="53">
        <v>94.747661590576229</v>
      </c>
      <c r="G14" s="53">
        <v>73.139323234558063</v>
      </c>
      <c r="H14" s="53">
        <v>1448.7145957946748</v>
      </c>
      <c r="I14" s="53">
        <v>91.039057254791118</v>
      </c>
      <c r="J14" s="53">
        <v>233.11521005630462</v>
      </c>
      <c r="K14" s="53">
        <v>11.199480056762685</v>
      </c>
      <c r="L14" s="53">
        <v>11.199480056762685</v>
      </c>
      <c r="M14" s="53">
        <v>0</v>
      </c>
      <c r="N14" s="53">
        <v>46.146979331970236</v>
      </c>
      <c r="O14" s="53">
        <v>32.10285663604737</v>
      </c>
    </row>
    <row r="15" spans="1:15" ht="20.45" customHeight="1" x14ac:dyDescent="0.2">
      <c r="A15" s="30" t="s">
        <v>9</v>
      </c>
      <c r="B15" s="53">
        <v>7396.839360833168</v>
      </c>
      <c r="C15" s="53">
        <v>868.71877527236938</v>
      </c>
      <c r="D15" s="53">
        <v>89.688622474670453</v>
      </c>
      <c r="E15" s="53">
        <v>58.374399185180671</v>
      </c>
      <c r="F15" s="53">
        <v>47.851583480835025</v>
      </c>
      <c r="G15" s="53">
        <v>70.451731681823745</v>
      </c>
      <c r="H15" s="53">
        <v>596.67761707305897</v>
      </c>
      <c r="I15" s="53">
        <v>58.595492839813126</v>
      </c>
      <c r="J15" s="53">
        <v>44.730670928955064</v>
      </c>
      <c r="K15" s="53">
        <v>0</v>
      </c>
      <c r="L15" s="53">
        <v>0</v>
      </c>
      <c r="M15" s="53">
        <v>0</v>
      </c>
      <c r="N15" s="53">
        <v>25.393226146698009</v>
      </c>
      <c r="O15" s="53">
        <v>9.9932632446289222</v>
      </c>
    </row>
    <row r="16" spans="1:15" ht="20.45" customHeight="1" x14ac:dyDescent="0.2">
      <c r="A16" s="30" t="s">
        <v>10</v>
      </c>
      <c r="B16" s="53">
        <v>6978.5904805660248</v>
      </c>
      <c r="C16" s="53">
        <v>905.42498576641083</v>
      </c>
      <c r="D16" s="53">
        <v>94.864416599273554</v>
      </c>
      <c r="E16" s="53">
        <v>67.662689208984418</v>
      </c>
      <c r="F16" s="53">
        <v>85.5389080047607</v>
      </c>
      <c r="G16" s="53">
        <v>72.25573778152463</v>
      </c>
      <c r="H16" s="53">
        <v>511.2572616338731</v>
      </c>
      <c r="I16" s="53">
        <v>65.601194381713839</v>
      </c>
      <c r="J16" s="53">
        <v>145.64736032485965</v>
      </c>
      <c r="K16" s="53">
        <v>0</v>
      </c>
      <c r="L16" s="53">
        <v>0</v>
      </c>
      <c r="M16" s="53">
        <v>19.895940780639634</v>
      </c>
      <c r="N16" s="53">
        <v>30.393364906311024</v>
      </c>
      <c r="O16" s="53">
        <v>5.3708205223083487</v>
      </c>
    </row>
    <row r="17" spans="1:15" ht="20.45" customHeight="1" x14ac:dyDescent="0.2">
      <c r="A17" s="30" t="s">
        <v>11</v>
      </c>
      <c r="B17" s="53">
        <v>875.2291579246521</v>
      </c>
      <c r="C17" s="53">
        <v>164.15835905075073</v>
      </c>
      <c r="D17" s="53">
        <v>19.058267593383793</v>
      </c>
      <c r="E17" s="53">
        <v>26.180277824401852</v>
      </c>
      <c r="F17" s="53">
        <v>22.74383544921875</v>
      </c>
      <c r="G17" s="53">
        <v>56.63575267791748</v>
      </c>
      <c r="H17" s="53">
        <v>65.948679924011216</v>
      </c>
      <c r="I17" s="53">
        <v>14.436936378479002</v>
      </c>
      <c r="J17" s="53">
        <v>15.294893741607661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</row>
    <row r="18" spans="1:15" s="6" customFormat="1" ht="20.45" customHeight="1" x14ac:dyDescent="0.2">
      <c r="A18" s="31" t="s">
        <v>12</v>
      </c>
      <c r="B18" s="25">
        <f>B6+B7</f>
        <v>4130789.1689232588</v>
      </c>
      <c r="C18" s="25">
        <f t="shared" ref="C18:O18" si="0">C6+C7</f>
        <v>182441.45002889633</v>
      </c>
      <c r="D18" s="25">
        <f t="shared" si="0"/>
        <v>14031.778162837192</v>
      </c>
      <c r="E18" s="25">
        <f t="shared" si="0"/>
        <v>5819.0855618715423</v>
      </c>
      <c r="F18" s="25">
        <f t="shared" si="0"/>
        <v>5217.7373517752831</v>
      </c>
      <c r="G18" s="25">
        <f t="shared" si="0"/>
        <v>3154.4745566845181</v>
      </c>
      <c r="H18" s="25">
        <f t="shared" si="0"/>
        <v>153962.10260128762</v>
      </c>
      <c r="I18" s="25">
        <f t="shared" si="0"/>
        <v>9588.8951103685267</v>
      </c>
      <c r="J18" s="25">
        <f t="shared" si="0"/>
        <v>4332.976342439697</v>
      </c>
      <c r="K18" s="25">
        <f t="shared" si="0"/>
        <v>1374.9110612869076</v>
      </c>
      <c r="L18" s="25">
        <f t="shared" si="0"/>
        <v>1373.7908415794536</v>
      </c>
      <c r="M18" s="25">
        <f t="shared" si="0"/>
        <v>803.87030816080573</v>
      </c>
      <c r="N18" s="25">
        <f t="shared" si="0"/>
        <v>1097.3698401451009</v>
      </c>
      <c r="O18" s="25">
        <f t="shared" si="0"/>
        <v>829.2101097106796</v>
      </c>
    </row>
    <row r="20" spans="1:15" ht="12" customHeight="1" x14ac:dyDescent="0.2"/>
  </sheetData>
  <mergeCells count="5">
    <mergeCell ref="A4:A5"/>
    <mergeCell ref="C4:C5"/>
    <mergeCell ref="B4:B5"/>
    <mergeCell ref="D4:O4"/>
    <mergeCell ref="A1:O1"/>
  </mergeCells>
  <conditionalFormatting sqref="B6:B18">
    <cfRule type="cellIs" dxfId="297" priority="14" stopIfTrue="1" operator="equal">
      <formula>0</formula>
    </cfRule>
  </conditionalFormatting>
  <conditionalFormatting sqref="C6:C18">
    <cfRule type="cellIs" dxfId="296" priority="13" stopIfTrue="1" operator="equal">
      <formula>0</formula>
    </cfRule>
  </conditionalFormatting>
  <conditionalFormatting sqref="D6:D18">
    <cfRule type="cellIs" dxfId="295" priority="12" stopIfTrue="1" operator="equal">
      <formula>0</formula>
    </cfRule>
  </conditionalFormatting>
  <conditionalFormatting sqref="E6:E18">
    <cfRule type="cellIs" dxfId="294" priority="11" stopIfTrue="1" operator="equal">
      <formula>0</formula>
    </cfRule>
  </conditionalFormatting>
  <conditionalFormatting sqref="F6:F18">
    <cfRule type="cellIs" dxfId="293" priority="10" stopIfTrue="1" operator="equal">
      <formula>0</formula>
    </cfRule>
  </conditionalFormatting>
  <conditionalFormatting sqref="G6:G18">
    <cfRule type="cellIs" dxfId="292" priority="9" stopIfTrue="1" operator="equal">
      <formula>0</formula>
    </cfRule>
  </conditionalFormatting>
  <conditionalFormatting sqref="H6:H18">
    <cfRule type="cellIs" dxfId="291" priority="8" stopIfTrue="1" operator="equal">
      <formula>0</formula>
    </cfRule>
  </conditionalFormatting>
  <conditionalFormatting sqref="I6:I18">
    <cfRule type="cellIs" dxfId="290" priority="7" stopIfTrue="1" operator="equal">
      <formula>0</formula>
    </cfRule>
  </conditionalFormatting>
  <conditionalFormatting sqref="J6:J18">
    <cfRule type="cellIs" dxfId="289" priority="6" stopIfTrue="1" operator="equal">
      <formula>0</formula>
    </cfRule>
  </conditionalFormatting>
  <conditionalFormatting sqref="K6:K18">
    <cfRule type="cellIs" dxfId="288" priority="5" stopIfTrue="1" operator="equal">
      <formula>0</formula>
    </cfRule>
  </conditionalFormatting>
  <conditionalFormatting sqref="L6:L18">
    <cfRule type="cellIs" dxfId="287" priority="4" stopIfTrue="1" operator="equal">
      <formula>0</formula>
    </cfRule>
  </conditionalFormatting>
  <conditionalFormatting sqref="M6:M18">
    <cfRule type="cellIs" dxfId="286" priority="3" stopIfTrue="1" operator="equal">
      <formula>0</formula>
    </cfRule>
  </conditionalFormatting>
  <conditionalFormatting sqref="N6:N18">
    <cfRule type="cellIs" dxfId="285" priority="2" stopIfTrue="1" operator="equal">
      <formula>0</formula>
    </cfRule>
  </conditionalFormatting>
  <conditionalFormatting sqref="O6:O18">
    <cfRule type="cellIs" dxfId="28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0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B6BA-1BBD-47B0-890B-EB12B40A3006}">
  <sheetPr>
    <tabColor rgb="FFFFFF00"/>
  </sheetPr>
  <dimension ref="A1:M20"/>
  <sheetViews>
    <sheetView zoomScale="98" zoomScaleNormal="15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140625" customWidth="1"/>
    <col min="3" max="3" width="11.42578125" customWidth="1"/>
    <col min="4" max="5" width="10.140625" customWidth="1"/>
    <col min="6" max="6" width="11.85546875" customWidth="1"/>
    <col min="7" max="11" width="10.140625" customWidth="1"/>
    <col min="12" max="12" width="11.42578125" customWidth="1"/>
    <col min="13" max="13" width="10.140625" customWidth="1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42" t="s">
        <v>32</v>
      </c>
    </row>
    <row r="3" spans="1:13" ht="16.5" customHeight="1" x14ac:dyDescent="0.2">
      <c r="A3" s="83" t="s">
        <v>629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s="7" customFormat="1" ht="21" customHeight="1" x14ac:dyDescent="0.2">
      <c r="A4" s="123" t="s">
        <v>30</v>
      </c>
      <c r="B4" s="126" t="s">
        <v>338</v>
      </c>
      <c r="C4" s="154" t="s">
        <v>341</v>
      </c>
      <c r="D4" s="122" t="s">
        <v>630</v>
      </c>
      <c r="E4" s="122"/>
      <c r="F4" s="122"/>
      <c r="G4" s="122"/>
      <c r="H4" s="122"/>
      <c r="I4" s="122"/>
      <c r="J4" s="122"/>
      <c r="K4" s="122"/>
      <c r="L4" s="122"/>
      <c r="M4" s="122"/>
    </row>
    <row r="5" spans="1:13" s="7" customFormat="1" ht="64.349999999999994" customHeight="1" x14ac:dyDescent="0.2">
      <c r="A5" s="123"/>
      <c r="B5" s="127"/>
      <c r="C5" s="155"/>
      <c r="D5" s="95" t="s">
        <v>342</v>
      </c>
      <c r="E5" s="95" t="s">
        <v>343</v>
      </c>
      <c r="F5" s="95" t="s">
        <v>631</v>
      </c>
      <c r="G5" s="95" t="s">
        <v>336</v>
      </c>
      <c r="H5" s="89" t="s">
        <v>552</v>
      </c>
      <c r="I5" s="89" t="s">
        <v>553</v>
      </c>
      <c r="J5" s="95" t="s">
        <v>627</v>
      </c>
      <c r="K5" s="95" t="s">
        <v>344</v>
      </c>
      <c r="L5" s="95" t="s">
        <v>632</v>
      </c>
      <c r="M5" s="95" t="s">
        <v>249</v>
      </c>
    </row>
    <row r="6" spans="1:13" s="6" customFormat="1" ht="20.45" customHeight="1" x14ac:dyDescent="0.2">
      <c r="A6" s="69" t="s">
        <v>0</v>
      </c>
      <c r="B6" s="49">
        <v>131504.2034342289</v>
      </c>
      <c r="C6" s="49">
        <v>2199.2484129667282</v>
      </c>
      <c r="D6" s="49">
        <v>834.11271095276072</v>
      </c>
      <c r="E6" s="49">
        <v>26.563197135925325</v>
      </c>
      <c r="F6" s="49">
        <v>214.02779197692826</v>
      </c>
      <c r="G6" s="49">
        <v>76.107272148132637</v>
      </c>
      <c r="H6" s="49">
        <v>63.449756622314361</v>
      </c>
      <c r="I6" s="49">
        <v>102.48349046707185</v>
      </c>
      <c r="J6" s="49">
        <v>574.53989291191408</v>
      </c>
      <c r="K6" s="49">
        <v>120.32043600082436</v>
      </c>
      <c r="L6" s="49">
        <v>382.81251490116256</v>
      </c>
      <c r="M6" s="49">
        <v>255.98897457122757</v>
      </c>
    </row>
    <row r="7" spans="1:13" s="6" customFormat="1" ht="20.45" customHeight="1" x14ac:dyDescent="0.2">
      <c r="A7" s="29" t="s">
        <v>1</v>
      </c>
      <c r="B7" s="51">
        <v>3999284.9654890299</v>
      </c>
      <c r="C7" s="51">
        <v>306312.96737587452</v>
      </c>
      <c r="D7" s="51">
        <v>141741.90501928586</v>
      </c>
      <c r="E7" s="51">
        <v>5717.1195739507193</v>
      </c>
      <c r="F7" s="51">
        <v>23983.549135923757</v>
      </c>
      <c r="G7" s="51">
        <v>17351.011004566968</v>
      </c>
      <c r="H7" s="51">
        <v>4525.9558935165533</v>
      </c>
      <c r="I7" s="51">
        <v>14584.561298131679</v>
      </c>
      <c r="J7" s="51">
        <v>108221.45095527101</v>
      </c>
      <c r="K7" s="51">
        <v>8154.3369538782708</v>
      </c>
      <c r="L7" s="51">
        <v>46444.350513935475</v>
      </c>
      <c r="M7" s="51">
        <v>15884.573134422324</v>
      </c>
    </row>
    <row r="8" spans="1:13" ht="20.45" customHeight="1" x14ac:dyDescent="0.2">
      <c r="A8" s="30" t="s">
        <v>2</v>
      </c>
      <c r="B8" s="53">
        <v>425217.50214135647</v>
      </c>
      <c r="C8" s="53">
        <v>19139.332754969597</v>
      </c>
      <c r="D8" s="53">
        <v>11004.660207748329</v>
      </c>
      <c r="E8" s="53">
        <v>400.52135229110678</v>
      </c>
      <c r="F8" s="53">
        <v>702.67801427841096</v>
      </c>
      <c r="G8" s="53">
        <v>550.34921193122875</v>
      </c>
      <c r="H8" s="53">
        <v>194.19311094284095</v>
      </c>
      <c r="I8" s="53">
        <v>618.02319908141828</v>
      </c>
      <c r="J8" s="53">
        <v>6156.6093610525368</v>
      </c>
      <c r="K8" s="53">
        <v>687.67578506469306</v>
      </c>
      <c r="L8" s="53">
        <v>1670.9749662876129</v>
      </c>
      <c r="M8" s="53">
        <v>815.78604459762334</v>
      </c>
    </row>
    <row r="9" spans="1:13" ht="20.45" customHeight="1" x14ac:dyDescent="0.2">
      <c r="A9" s="30" t="s">
        <v>3</v>
      </c>
      <c r="B9" s="53">
        <v>648449.97284579277</v>
      </c>
      <c r="C9" s="53">
        <v>34835.746397256851</v>
      </c>
      <c r="D9" s="53">
        <v>16321.009840726791</v>
      </c>
      <c r="E9" s="53">
        <v>843.91209423541659</v>
      </c>
      <c r="F9" s="53">
        <v>2239.9510303735824</v>
      </c>
      <c r="G9" s="53">
        <v>1746.5222129821807</v>
      </c>
      <c r="H9" s="53">
        <v>506.96938467025751</v>
      </c>
      <c r="I9" s="53">
        <v>1224.0299959182562</v>
      </c>
      <c r="J9" s="53">
        <v>13062.897754192376</v>
      </c>
      <c r="K9" s="53">
        <v>879.21180534362736</v>
      </c>
      <c r="L9" s="53">
        <v>3585.5818259715875</v>
      </c>
      <c r="M9" s="53">
        <v>1735.832434177403</v>
      </c>
    </row>
    <row r="10" spans="1:13" ht="20.45" customHeight="1" x14ac:dyDescent="0.2">
      <c r="A10" s="30" t="s">
        <v>4</v>
      </c>
      <c r="B10" s="53">
        <v>1430113.6145436764</v>
      </c>
      <c r="C10" s="53">
        <v>101139.36945724487</v>
      </c>
      <c r="D10" s="53">
        <v>44571.463200926213</v>
      </c>
      <c r="E10" s="53">
        <v>2045.2464679479708</v>
      </c>
      <c r="F10" s="53">
        <v>7281.5466094018266</v>
      </c>
      <c r="G10" s="53">
        <v>5178.502190589883</v>
      </c>
      <c r="H10" s="53">
        <v>1645.3626999854896</v>
      </c>
      <c r="I10" s="53">
        <v>4039.366428613605</v>
      </c>
      <c r="J10" s="53">
        <v>37383.996112704473</v>
      </c>
      <c r="K10" s="53">
        <v>2523.5097286701434</v>
      </c>
      <c r="L10" s="53">
        <v>14352.791519999389</v>
      </c>
      <c r="M10" s="53">
        <v>5821.5310746431205</v>
      </c>
    </row>
    <row r="11" spans="1:13" ht="20.45" customHeight="1" x14ac:dyDescent="0.2">
      <c r="A11" s="30" t="s">
        <v>5</v>
      </c>
      <c r="B11" s="53">
        <v>945303.95051133633</v>
      </c>
      <c r="C11" s="53">
        <v>87162.320454120636</v>
      </c>
      <c r="D11" s="53">
        <v>40742.992281556188</v>
      </c>
      <c r="E11" s="53">
        <v>1317.0531696080932</v>
      </c>
      <c r="F11" s="53">
        <v>7515.8113471269944</v>
      </c>
      <c r="G11" s="53">
        <v>5129.5711165666435</v>
      </c>
      <c r="H11" s="53">
        <v>1033.2556991577192</v>
      </c>
      <c r="I11" s="53">
        <v>4246.3997230529349</v>
      </c>
      <c r="J11" s="53">
        <v>30191.65981924492</v>
      </c>
      <c r="K11" s="53">
        <v>2303.3118820190521</v>
      </c>
      <c r="L11" s="53">
        <v>14174.189281940466</v>
      </c>
      <c r="M11" s="53">
        <v>4117.3924717903401</v>
      </c>
    </row>
    <row r="12" spans="1:13" ht="20.45" customHeight="1" x14ac:dyDescent="0.2">
      <c r="A12" s="30" t="s">
        <v>6</v>
      </c>
      <c r="B12" s="53">
        <v>427038.72920608521</v>
      </c>
      <c r="C12" s="53">
        <v>47850.996314764023</v>
      </c>
      <c r="D12" s="53">
        <v>21870.866050005014</v>
      </c>
      <c r="E12" s="53">
        <v>795.79419088364318</v>
      </c>
      <c r="F12" s="53">
        <v>4531.4942970275606</v>
      </c>
      <c r="G12" s="53">
        <v>3047.2282557487652</v>
      </c>
      <c r="H12" s="53">
        <v>751.11276960372527</v>
      </c>
      <c r="I12" s="53">
        <v>3116.4685168266706</v>
      </c>
      <c r="J12" s="53">
        <v>16497.982270121651</v>
      </c>
      <c r="K12" s="53">
        <v>1256.4102506637439</v>
      </c>
      <c r="L12" s="53">
        <v>9274.4256967305791</v>
      </c>
      <c r="M12" s="53">
        <v>2351.8836209773849</v>
      </c>
    </row>
    <row r="13" spans="1:13" ht="20.45" customHeight="1" x14ac:dyDescent="0.2">
      <c r="A13" s="30" t="s">
        <v>7</v>
      </c>
      <c r="B13" s="53">
        <v>81947.948482036591</v>
      </c>
      <c r="C13" s="53">
        <v>10099.038462758064</v>
      </c>
      <c r="D13" s="53">
        <v>4693.4054274558994</v>
      </c>
      <c r="E13" s="53">
        <v>172.01335573196494</v>
      </c>
      <c r="F13" s="53">
        <v>1159.7802615165699</v>
      </c>
      <c r="G13" s="53">
        <v>809.65466904639925</v>
      </c>
      <c r="H13" s="53">
        <v>171.69188976287913</v>
      </c>
      <c r="I13" s="53">
        <v>791.98982524871724</v>
      </c>
      <c r="J13" s="53">
        <v>3028.7673788070801</v>
      </c>
      <c r="K13" s="53">
        <v>274.54957580566509</v>
      </c>
      <c r="L13" s="53">
        <v>2003.8643696308195</v>
      </c>
      <c r="M13" s="53">
        <v>577.33917152881691</v>
      </c>
    </row>
    <row r="14" spans="1:13" ht="20.45" customHeight="1" x14ac:dyDescent="0.2">
      <c r="A14" s="30" t="s">
        <v>8</v>
      </c>
      <c r="B14" s="53">
        <v>25962.588759422302</v>
      </c>
      <c r="C14" s="53">
        <v>3578.4488254785538</v>
      </c>
      <c r="D14" s="53">
        <v>1714.8055906295763</v>
      </c>
      <c r="E14" s="53">
        <v>69.349123954772821</v>
      </c>
      <c r="F14" s="53">
        <v>330.10322999954201</v>
      </c>
      <c r="G14" s="53">
        <v>411.81494140624943</v>
      </c>
      <c r="H14" s="53">
        <v>138.35804462432864</v>
      </c>
      <c r="I14" s="53">
        <v>330.02620458602888</v>
      </c>
      <c r="J14" s="53">
        <v>1093.8664442300801</v>
      </c>
      <c r="K14" s="53">
        <v>151.9777812957762</v>
      </c>
      <c r="L14" s="53">
        <v>756.26914215088004</v>
      </c>
      <c r="M14" s="53">
        <v>223.71722459793145</v>
      </c>
    </row>
    <row r="15" spans="1:13" ht="20.45" customHeight="1" x14ac:dyDescent="0.2">
      <c r="A15" s="30" t="s">
        <v>9</v>
      </c>
      <c r="B15" s="53">
        <v>7396.839360833168</v>
      </c>
      <c r="C15" s="53">
        <v>1262.0476636886597</v>
      </c>
      <c r="D15" s="53">
        <v>393.14075422286999</v>
      </c>
      <c r="E15" s="53">
        <v>41.345528125762996</v>
      </c>
      <c r="F15" s="53">
        <v>85.335761070251593</v>
      </c>
      <c r="G15" s="53">
        <v>190.70902442932126</v>
      </c>
      <c r="H15" s="53">
        <v>74.718767166137724</v>
      </c>
      <c r="I15" s="53">
        <v>126.51152801513659</v>
      </c>
      <c r="J15" s="53">
        <v>345.51164722442559</v>
      </c>
      <c r="K15" s="53">
        <v>31.860669136047349</v>
      </c>
      <c r="L15" s="53">
        <v>258.58379554748524</v>
      </c>
      <c r="M15" s="53">
        <v>147.0418882369994</v>
      </c>
    </row>
    <row r="16" spans="1:13" ht="20.45" customHeight="1" x14ac:dyDescent="0.2">
      <c r="A16" s="30" t="s">
        <v>10</v>
      </c>
      <c r="B16" s="53">
        <v>6978.5904805660248</v>
      </c>
      <c r="C16" s="53">
        <v>1031.344386100769</v>
      </c>
      <c r="D16" s="53">
        <v>340.27673196792603</v>
      </c>
      <c r="E16" s="53">
        <v>23.388185977935812</v>
      </c>
      <c r="F16" s="53">
        <v>97.216374397277704</v>
      </c>
      <c r="G16" s="53">
        <v>183.49571990966803</v>
      </c>
      <c r="H16" s="53">
        <v>10.293527603149428</v>
      </c>
      <c r="I16" s="53">
        <v>80.813581943512034</v>
      </c>
      <c r="J16" s="53">
        <v>386.56155967712385</v>
      </c>
      <c r="K16" s="53">
        <v>35.910096645355225</v>
      </c>
      <c r="L16" s="53">
        <v>254.9117932319642</v>
      </c>
      <c r="M16" s="53">
        <v>72.216017723083482</v>
      </c>
    </row>
    <row r="17" spans="1:13" ht="20.45" customHeight="1" x14ac:dyDescent="0.2">
      <c r="A17" s="30" t="s">
        <v>11</v>
      </c>
      <c r="B17" s="53">
        <v>875.2291579246521</v>
      </c>
      <c r="C17" s="53">
        <v>214.32265949249268</v>
      </c>
      <c r="D17" s="53">
        <v>89.284934043884235</v>
      </c>
      <c r="E17" s="53">
        <v>8.4961051940917987</v>
      </c>
      <c r="F17" s="53">
        <v>39.632210731506333</v>
      </c>
      <c r="G17" s="53">
        <v>103.1636619567871</v>
      </c>
      <c r="H17" s="53">
        <v>0</v>
      </c>
      <c r="I17" s="53">
        <v>10.932294845581049</v>
      </c>
      <c r="J17" s="53">
        <v>73.598608016967759</v>
      </c>
      <c r="K17" s="53">
        <v>9.9193792343139631</v>
      </c>
      <c r="L17" s="53">
        <v>112.75812244415287</v>
      </c>
      <c r="M17" s="53">
        <v>21.833186149597168</v>
      </c>
    </row>
    <row r="18" spans="1:13" s="6" customFormat="1" ht="20.45" customHeight="1" x14ac:dyDescent="0.2">
      <c r="A18" s="31" t="s">
        <v>12</v>
      </c>
      <c r="B18" s="25">
        <f>B6+B7</f>
        <v>4130789.1689232588</v>
      </c>
      <c r="C18" s="25">
        <f t="shared" ref="C18:M18" si="0">C6+C7</f>
        <v>308512.21578884125</v>
      </c>
      <c r="D18" s="25">
        <f t="shared" si="0"/>
        <v>142576.01773023861</v>
      </c>
      <c r="E18" s="25">
        <f t="shared" si="0"/>
        <v>5743.6827710866446</v>
      </c>
      <c r="F18" s="25">
        <f t="shared" si="0"/>
        <v>24197.576927900685</v>
      </c>
      <c r="G18" s="25">
        <f t="shared" si="0"/>
        <v>17427.1182767151</v>
      </c>
      <c r="H18" s="25">
        <f t="shared" si="0"/>
        <v>4589.4056501388677</v>
      </c>
      <c r="I18" s="25">
        <f t="shared" si="0"/>
        <v>14687.044788598751</v>
      </c>
      <c r="J18" s="25">
        <f t="shared" si="0"/>
        <v>108795.99084818292</v>
      </c>
      <c r="K18" s="25">
        <f t="shared" si="0"/>
        <v>8274.6573898790957</v>
      </c>
      <c r="L18" s="25">
        <f t="shared" si="0"/>
        <v>46827.163028836636</v>
      </c>
      <c r="M18" s="25">
        <f t="shared" si="0"/>
        <v>16140.562108993552</v>
      </c>
    </row>
    <row r="20" spans="1:13" ht="12" customHeight="1" x14ac:dyDescent="0.2"/>
  </sheetData>
  <mergeCells count="5">
    <mergeCell ref="A1:M1"/>
    <mergeCell ref="A4:A5"/>
    <mergeCell ref="B4:B5"/>
    <mergeCell ref="C4:C5"/>
    <mergeCell ref="D4:M4"/>
  </mergeCells>
  <conditionalFormatting sqref="B6:B18">
    <cfRule type="cellIs" dxfId="283" priority="12" stopIfTrue="1" operator="equal">
      <formula>0</formula>
    </cfRule>
  </conditionalFormatting>
  <conditionalFormatting sqref="C6:C18">
    <cfRule type="cellIs" dxfId="282" priority="11" stopIfTrue="1" operator="equal">
      <formula>0</formula>
    </cfRule>
  </conditionalFormatting>
  <conditionalFormatting sqref="D6:D18">
    <cfRule type="cellIs" dxfId="281" priority="10" stopIfTrue="1" operator="equal">
      <formula>0</formula>
    </cfRule>
  </conditionalFormatting>
  <conditionalFormatting sqref="E6:E18">
    <cfRule type="cellIs" dxfId="280" priority="9" stopIfTrue="1" operator="equal">
      <formula>0</formula>
    </cfRule>
  </conditionalFormatting>
  <conditionalFormatting sqref="F6:F18">
    <cfRule type="cellIs" dxfId="279" priority="8" stopIfTrue="1" operator="equal">
      <formula>0</formula>
    </cfRule>
  </conditionalFormatting>
  <conditionalFormatting sqref="G6:G18">
    <cfRule type="cellIs" dxfId="278" priority="7" stopIfTrue="1" operator="equal">
      <formula>0</formula>
    </cfRule>
  </conditionalFormatting>
  <conditionalFormatting sqref="H6:H18">
    <cfRule type="cellIs" dxfId="277" priority="6" stopIfTrue="1" operator="equal">
      <formula>0</formula>
    </cfRule>
  </conditionalFormatting>
  <conditionalFormatting sqref="I6:I18">
    <cfRule type="cellIs" dxfId="276" priority="5" stopIfTrue="1" operator="equal">
      <formula>0</formula>
    </cfRule>
  </conditionalFormatting>
  <conditionalFormatting sqref="J6:J18">
    <cfRule type="cellIs" dxfId="275" priority="4" stopIfTrue="1" operator="equal">
      <formula>0</formula>
    </cfRule>
  </conditionalFormatting>
  <conditionalFormatting sqref="K6:K18">
    <cfRule type="cellIs" dxfId="274" priority="3" stopIfTrue="1" operator="equal">
      <formula>0</formula>
    </cfRule>
  </conditionalFormatting>
  <conditionalFormatting sqref="L6:L18">
    <cfRule type="cellIs" dxfId="273" priority="2" stopIfTrue="1" operator="equal">
      <formula>0</formula>
    </cfRule>
  </conditionalFormatting>
  <conditionalFormatting sqref="M6:M18">
    <cfRule type="cellIs" dxfId="27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6E2A-4149-42F4-BF9F-EABDD26DA1BC}">
  <sheetPr>
    <tabColor rgb="FFFFFF00"/>
  </sheetPr>
  <dimension ref="A1:L20"/>
  <sheetViews>
    <sheetView zoomScale="98" zoomScaleNormal="141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1" customWidth="1"/>
    <col min="3" max="3" width="12.5703125" customWidth="1"/>
    <col min="4" max="5" width="10.140625" customWidth="1"/>
    <col min="6" max="6" width="12.140625" customWidth="1"/>
    <col min="7" max="7" width="10.140625" customWidth="1"/>
    <col min="8" max="8" width="12.5703125" customWidth="1"/>
    <col min="9" max="9" width="10.85546875" customWidth="1"/>
    <col min="10" max="10" width="12.42578125" customWidth="1"/>
    <col min="11" max="11" width="13.85546875" customWidth="1"/>
    <col min="12" max="12" width="12.140625" customWidth="1"/>
  </cols>
  <sheetData>
    <row r="1" spans="1:12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x14ac:dyDescent="0.2">
      <c r="A2" s="27"/>
      <c r="B2" s="28"/>
      <c r="C2" s="28"/>
      <c r="D2" s="28"/>
      <c r="E2" s="28"/>
      <c r="F2" s="28"/>
      <c r="G2" s="28"/>
      <c r="H2" s="28"/>
      <c r="I2" s="27"/>
      <c r="J2" s="27"/>
      <c r="K2" s="42"/>
      <c r="L2" s="42" t="s">
        <v>32</v>
      </c>
    </row>
    <row r="3" spans="1:12" ht="16.5" customHeight="1" x14ac:dyDescent="0.2">
      <c r="A3" s="96" t="s">
        <v>568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s="7" customFormat="1" ht="37.700000000000003" customHeight="1" x14ac:dyDescent="0.2">
      <c r="A4" s="129" t="s">
        <v>30</v>
      </c>
      <c r="B4" s="122" t="s">
        <v>47</v>
      </c>
      <c r="C4" s="122"/>
      <c r="D4" s="120" t="s">
        <v>345</v>
      </c>
      <c r="E4" s="120"/>
      <c r="F4" s="128" t="s">
        <v>349</v>
      </c>
      <c r="G4" s="128"/>
      <c r="H4" s="128"/>
      <c r="I4" s="128"/>
      <c r="J4" s="128"/>
      <c r="K4" s="125"/>
      <c r="L4" s="121" t="s">
        <v>350</v>
      </c>
    </row>
    <row r="5" spans="1:12" s="7" customFormat="1" ht="25.7" customHeight="1" x14ac:dyDescent="0.2">
      <c r="A5" s="130"/>
      <c r="B5" s="126" t="s">
        <v>41</v>
      </c>
      <c r="C5" s="126" t="s">
        <v>21</v>
      </c>
      <c r="D5" s="126" t="s">
        <v>80</v>
      </c>
      <c r="E5" s="126" t="s">
        <v>21</v>
      </c>
      <c r="F5" s="152" t="s">
        <v>346</v>
      </c>
      <c r="G5" s="153"/>
      <c r="H5" s="152" t="s">
        <v>347</v>
      </c>
      <c r="I5" s="153"/>
      <c r="J5" s="124" t="s">
        <v>348</v>
      </c>
      <c r="K5" s="125"/>
      <c r="L5" s="121"/>
    </row>
    <row r="6" spans="1:12" s="7" customFormat="1" ht="42.6" customHeight="1" x14ac:dyDescent="0.2">
      <c r="A6" s="131"/>
      <c r="B6" s="127"/>
      <c r="C6" s="127"/>
      <c r="D6" s="127"/>
      <c r="E6" s="127"/>
      <c r="F6" s="98" t="s">
        <v>80</v>
      </c>
      <c r="G6" s="34" t="s">
        <v>451</v>
      </c>
      <c r="H6" s="98" t="s">
        <v>80</v>
      </c>
      <c r="I6" s="34" t="s">
        <v>451</v>
      </c>
      <c r="J6" s="98" t="s">
        <v>80</v>
      </c>
      <c r="K6" s="34" t="s">
        <v>451</v>
      </c>
      <c r="L6" s="121"/>
    </row>
    <row r="7" spans="1:12" s="6" customFormat="1" ht="20.45" customHeight="1" x14ac:dyDescent="0.2">
      <c r="A7" s="69" t="s">
        <v>0</v>
      </c>
      <c r="B7" s="49">
        <v>131504.2034342289</v>
      </c>
      <c r="C7" s="50">
        <v>8412.8188356442006</v>
      </c>
      <c r="D7" s="49">
        <v>713.24581360816956</v>
      </c>
      <c r="E7" s="50">
        <v>84.926885014233491</v>
      </c>
      <c r="F7" s="49">
        <v>1500.6862853765488</v>
      </c>
      <c r="G7" s="50">
        <v>62.847212709749606</v>
      </c>
      <c r="H7" s="49">
        <v>95.813872337341309</v>
      </c>
      <c r="I7" s="50">
        <v>7.5559091477831606</v>
      </c>
      <c r="J7" s="49">
        <v>2203.6089073419571</v>
      </c>
      <c r="K7" s="50">
        <v>42.453411254323299</v>
      </c>
      <c r="L7" s="49">
        <v>942.92198753356934</v>
      </c>
    </row>
    <row r="8" spans="1:12" s="6" customFormat="1" ht="20.45" customHeight="1" x14ac:dyDescent="0.2">
      <c r="A8" s="29" t="s">
        <v>1</v>
      </c>
      <c r="B8" s="51">
        <v>3999284.9654890299</v>
      </c>
      <c r="C8" s="52">
        <v>2209997.0997300968</v>
      </c>
      <c r="D8" s="51">
        <v>106470.31931996346</v>
      </c>
      <c r="E8" s="52">
        <v>18847.635304734558</v>
      </c>
      <c r="F8" s="51">
        <v>344243.60572934151</v>
      </c>
      <c r="G8" s="52">
        <v>37855.193307856018</v>
      </c>
      <c r="H8" s="51">
        <v>32202.246035575867</v>
      </c>
      <c r="I8" s="52">
        <v>4352.6466318088114</v>
      </c>
      <c r="J8" s="51">
        <v>360005.12394344807</v>
      </c>
      <c r="K8" s="52">
        <v>31742.201479290143</v>
      </c>
      <c r="L8" s="51">
        <v>104893.99319553375</v>
      </c>
    </row>
    <row r="9" spans="1:12" ht="20.45" customHeight="1" x14ac:dyDescent="0.2">
      <c r="A9" s="30" t="s">
        <v>2</v>
      </c>
      <c r="B9" s="53">
        <v>425217.50214135647</v>
      </c>
      <c r="C9" s="54">
        <v>25509.306759483829</v>
      </c>
      <c r="D9" s="53">
        <v>1593.351814031601</v>
      </c>
      <c r="E9" s="54">
        <v>47.473264239311931</v>
      </c>
      <c r="F9" s="53">
        <v>17224.534977555275</v>
      </c>
      <c r="G9" s="54">
        <v>270.77557230219259</v>
      </c>
      <c r="H9" s="53">
        <v>1263.0740718841553</v>
      </c>
      <c r="I9" s="54">
        <v>18.814917471848897</v>
      </c>
      <c r="J9" s="53">
        <v>15661.382020950317</v>
      </c>
      <c r="K9" s="54">
        <v>152.55076729771048</v>
      </c>
      <c r="L9" s="53">
        <v>5918.8471391201019</v>
      </c>
    </row>
    <row r="10" spans="1:12" ht="20.45" customHeight="1" x14ac:dyDescent="0.2">
      <c r="A10" s="30" t="s">
        <v>3</v>
      </c>
      <c r="B10" s="53">
        <v>648449.97284579277</v>
      </c>
      <c r="C10" s="54">
        <v>96299.338873014785</v>
      </c>
      <c r="D10" s="53">
        <v>6449.9672850370407</v>
      </c>
      <c r="E10" s="54">
        <v>347.16750921939393</v>
      </c>
      <c r="F10" s="53">
        <v>43662.04926943779</v>
      </c>
      <c r="G10" s="54">
        <v>1399.7587930444724</v>
      </c>
      <c r="H10" s="53">
        <v>3271.9352197647095</v>
      </c>
      <c r="I10" s="54">
        <v>108.08761350599279</v>
      </c>
      <c r="J10" s="53">
        <v>41692.771548032761</v>
      </c>
      <c r="K10" s="54">
        <v>879.94154527380181</v>
      </c>
      <c r="L10" s="53">
        <v>13224.831729888916</v>
      </c>
    </row>
    <row r="11" spans="1:12" ht="20.45" customHeight="1" x14ac:dyDescent="0.2">
      <c r="A11" s="30" t="s">
        <v>4</v>
      </c>
      <c r="B11" s="53">
        <v>1430113.6145436764</v>
      </c>
      <c r="C11" s="54">
        <v>478190.54053741047</v>
      </c>
      <c r="D11" s="53">
        <v>28167.153397202492</v>
      </c>
      <c r="E11" s="54">
        <v>2229.7358976041901</v>
      </c>
      <c r="F11" s="53">
        <v>127115.79746890068</v>
      </c>
      <c r="G11" s="54">
        <v>8060.0475996080149</v>
      </c>
      <c r="H11" s="53">
        <v>10345.875075340271</v>
      </c>
      <c r="I11" s="54">
        <v>679.36647403531072</v>
      </c>
      <c r="J11" s="53">
        <v>125882.55716609955</v>
      </c>
      <c r="K11" s="54">
        <v>5760.5350019312245</v>
      </c>
      <c r="L11" s="53">
        <v>37663.882849097252</v>
      </c>
    </row>
    <row r="12" spans="1:12" ht="20.45" customHeight="1" x14ac:dyDescent="0.2">
      <c r="A12" s="30" t="s">
        <v>5</v>
      </c>
      <c r="B12" s="53">
        <v>945303.95051133633</v>
      </c>
      <c r="C12" s="54">
        <v>660203.10200041207</v>
      </c>
      <c r="D12" s="53">
        <v>35050.872073054314</v>
      </c>
      <c r="E12" s="54">
        <v>4474.4769359399652</v>
      </c>
      <c r="F12" s="53">
        <v>93182.698713064194</v>
      </c>
      <c r="G12" s="54">
        <v>11062.513838956864</v>
      </c>
      <c r="H12" s="53">
        <v>9707.3800988197327</v>
      </c>
      <c r="I12" s="54">
        <v>1242.7950738922846</v>
      </c>
      <c r="J12" s="53">
        <v>102808.01410257816</v>
      </c>
      <c r="K12" s="54">
        <v>9263.6960191577527</v>
      </c>
      <c r="L12" s="53">
        <v>27779.913232326508</v>
      </c>
    </row>
    <row r="13" spans="1:12" ht="20.45" customHeight="1" x14ac:dyDescent="0.2">
      <c r="A13" s="30" t="s">
        <v>6</v>
      </c>
      <c r="B13" s="53">
        <v>427038.72920608521</v>
      </c>
      <c r="C13" s="54">
        <v>576346.75913770939</v>
      </c>
      <c r="D13" s="53">
        <v>25017.186439633369</v>
      </c>
      <c r="E13" s="54">
        <v>6234.3457255059329</v>
      </c>
      <c r="F13" s="53">
        <v>47508.854147315025</v>
      </c>
      <c r="G13" s="54">
        <v>9982.7079114336648</v>
      </c>
      <c r="H13" s="53">
        <v>5468.1252937316895</v>
      </c>
      <c r="I13" s="54">
        <v>1278.958488655295</v>
      </c>
      <c r="J13" s="53">
        <v>55544.88046336174</v>
      </c>
      <c r="K13" s="54">
        <v>9177.9325782380838</v>
      </c>
      <c r="L13" s="53">
        <v>14962.187796711922</v>
      </c>
    </row>
    <row r="14" spans="1:12" ht="20.45" customHeight="1" x14ac:dyDescent="0.2">
      <c r="A14" s="30" t="s">
        <v>7</v>
      </c>
      <c r="B14" s="53">
        <v>81947.948482036591</v>
      </c>
      <c r="C14" s="54">
        <v>194230.78136854045</v>
      </c>
      <c r="D14" s="53">
        <v>6459.2183756828308</v>
      </c>
      <c r="E14" s="54">
        <v>2728.0213795217469</v>
      </c>
      <c r="F14" s="53">
        <v>10226.323619365692</v>
      </c>
      <c r="G14" s="54">
        <v>3527.8137604849558</v>
      </c>
      <c r="H14" s="53">
        <v>1186.9191870689392</v>
      </c>
      <c r="I14" s="54">
        <v>464.91242145599864</v>
      </c>
      <c r="J14" s="53">
        <v>11972.157832622528</v>
      </c>
      <c r="K14" s="54">
        <v>3343.5694654991867</v>
      </c>
      <c r="L14" s="53">
        <v>3131.6727149486542</v>
      </c>
    </row>
    <row r="15" spans="1:12" ht="20.45" customHeight="1" x14ac:dyDescent="0.2">
      <c r="A15" s="30" t="s">
        <v>8</v>
      </c>
      <c r="B15" s="53">
        <v>25962.588759422302</v>
      </c>
      <c r="C15" s="54">
        <v>88368.61314559725</v>
      </c>
      <c r="D15" s="53">
        <v>2167.9554224014282</v>
      </c>
      <c r="E15" s="54">
        <v>1326.7451616212541</v>
      </c>
      <c r="F15" s="53">
        <v>3146.6751356124878</v>
      </c>
      <c r="G15" s="54">
        <v>1577.0799280689869</v>
      </c>
      <c r="H15" s="53">
        <v>618.29380369186401</v>
      </c>
      <c r="I15" s="54">
        <v>282.82948589889145</v>
      </c>
      <c r="J15" s="53">
        <v>4001.0723552703857</v>
      </c>
      <c r="K15" s="54">
        <v>1537.6716543028926</v>
      </c>
      <c r="L15" s="53">
        <v>1200.639790058136</v>
      </c>
    </row>
    <row r="16" spans="1:12" ht="20.45" customHeight="1" x14ac:dyDescent="0.2">
      <c r="A16" s="30" t="s">
        <v>9</v>
      </c>
      <c r="B16" s="53">
        <v>7396.839360833168</v>
      </c>
      <c r="C16" s="54">
        <v>32799.663934678501</v>
      </c>
      <c r="D16" s="53">
        <v>686.22880792617798</v>
      </c>
      <c r="E16" s="54">
        <v>506.49057395170837</v>
      </c>
      <c r="F16" s="53">
        <v>873.9020733833313</v>
      </c>
      <c r="G16" s="54">
        <v>586.21365449510142</v>
      </c>
      <c r="H16" s="53">
        <v>169.9508752822876</v>
      </c>
      <c r="I16" s="54">
        <v>92.995353664845226</v>
      </c>
      <c r="J16" s="53">
        <v>1225.2446551322937</v>
      </c>
      <c r="K16" s="54">
        <v>601.55398570643649</v>
      </c>
      <c r="L16" s="53">
        <v>401.87918281555176</v>
      </c>
    </row>
    <row r="17" spans="1:12" ht="20.45" customHeight="1" x14ac:dyDescent="0.2">
      <c r="A17" s="30" t="s">
        <v>10</v>
      </c>
      <c r="B17" s="53">
        <v>6978.5904805660248</v>
      </c>
      <c r="C17" s="54">
        <v>44892.867958983035</v>
      </c>
      <c r="D17" s="53">
        <v>778.90574026107788</v>
      </c>
      <c r="E17" s="54">
        <v>906.76786071203878</v>
      </c>
      <c r="F17" s="53">
        <v>1159.0563988685608</v>
      </c>
      <c r="G17" s="54">
        <v>1152.3997047460919</v>
      </c>
      <c r="H17" s="53">
        <v>141.46211528778076</v>
      </c>
      <c r="I17" s="54">
        <v>125.64293857198547</v>
      </c>
      <c r="J17" s="53">
        <v>1035.4998269081116</v>
      </c>
      <c r="K17" s="54">
        <v>749.40175601674866</v>
      </c>
      <c r="L17" s="53">
        <v>531.70000743865967</v>
      </c>
    </row>
    <row r="18" spans="1:12" ht="20.45" customHeight="1" x14ac:dyDescent="0.2">
      <c r="A18" s="30" t="s">
        <v>11</v>
      </c>
      <c r="B18" s="53">
        <v>875.2291579246521</v>
      </c>
      <c r="C18" s="54">
        <v>13156.126014231626</v>
      </c>
      <c r="D18" s="53">
        <v>99.479964733123779</v>
      </c>
      <c r="E18" s="54">
        <v>46.41099641899411</v>
      </c>
      <c r="F18" s="53">
        <v>143.71392583847046</v>
      </c>
      <c r="G18" s="54">
        <v>235.88254471568027</v>
      </c>
      <c r="H18" s="53">
        <v>29.230294704437256</v>
      </c>
      <c r="I18" s="54">
        <v>58.243864656351946</v>
      </c>
      <c r="J18" s="53">
        <v>181.54397249221802</v>
      </c>
      <c r="K18" s="54">
        <v>275.3487058663996</v>
      </c>
      <c r="L18" s="53">
        <v>78.438753128051758</v>
      </c>
    </row>
    <row r="19" spans="1:12" s="6" customFormat="1" ht="20.45" customHeight="1" x14ac:dyDescent="0.2">
      <c r="A19" s="31" t="s">
        <v>12</v>
      </c>
      <c r="B19" s="25">
        <f>B7+B8</f>
        <v>4130789.1689232588</v>
      </c>
      <c r="C19" s="26">
        <f>C7+C8</f>
        <v>2218409.9185657408</v>
      </c>
      <c r="D19" s="25">
        <f t="shared" ref="D19:L19" si="0">D7+D8</f>
        <v>107183.56513357162</v>
      </c>
      <c r="E19" s="26">
        <f t="shared" si="0"/>
        <v>18932.562189748791</v>
      </c>
      <c r="F19" s="25">
        <f t="shared" si="0"/>
        <v>345744.29201471806</v>
      </c>
      <c r="G19" s="26">
        <f t="shared" si="0"/>
        <v>37918.040520565766</v>
      </c>
      <c r="H19" s="25">
        <f t="shared" si="0"/>
        <v>32298.059907913208</v>
      </c>
      <c r="I19" s="26">
        <f t="shared" si="0"/>
        <v>4360.2025409565949</v>
      </c>
      <c r="J19" s="25">
        <f t="shared" si="0"/>
        <v>362208.73285079002</v>
      </c>
      <c r="K19" s="26">
        <f t="shared" si="0"/>
        <v>31784.654890544465</v>
      </c>
      <c r="L19" s="25">
        <f t="shared" si="0"/>
        <v>105836.91518306732</v>
      </c>
    </row>
    <row r="20" spans="1:12" ht="12" customHeight="1" x14ac:dyDescent="0.2"/>
  </sheetData>
  <mergeCells count="13">
    <mergeCell ref="D5:D6"/>
    <mergeCell ref="D4:E4"/>
    <mergeCell ref="L4:L6"/>
    <mergeCell ref="A1:L1"/>
    <mergeCell ref="E5:E6"/>
    <mergeCell ref="A4:A6"/>
    <mergeCell ref="F5:G5"/>
    <mergeCell ref="H5:I5"/>
    <mergeCell ref="J5:K5"/>
    <mergeCell ref="F4:K4"/>
    <mergeCell ref="B4:C4"/>
    <mergeCell ref="B5:B6"/>
    <mergeCell ref="C5:C6"/>
  </mergeCells>
  <conditionalFormatting sqref="B7:B19">
    <cfRule type="cellIs" dxfId="271" priority="13" stopIfTrue="1" operator="equal">
      <formula>0</formula>
    </cfRule>
  </conditionalFormatting>
  <conditionalFormatting sqref="C7:C19 E7:E19 G7:G19 I7:I19 K7:K19">
    <cfRule type="cellIs" dxfId="270" priority="12" stopIfTrue="1" operator="equal">
      <formula>0</formula>
    </cfRule>
  </conditionalFormatting>
  <conditionalFormatting sqref="D7:D19">
    <cfRule type="cellIs" dxfId="269" priority="5" stopIfTrue="1" operator="equal">
      <formula>0</formula>
    </cfRule>
  </conditionalFormatting>
  <conditionalFormatting sqref="F7:F19">
    <cfRule type="cellIs" dxfId="268" priority="4" stopIfTrue="1" operator="equal">
      <formula>0</formula>
    </cfRule>
  </conditionalFormatting>
  <conditionalFormatting sqref="H7:H19">
    <cfRule type="cellIs" dxfId="267" priority="3" stopIfTrue="1" operator="equal">
      <formula>0</formula>
    </cfRule>
  </conditionalFormatting>
  <conditionalFormatting sqref="J7:J19">
    <cfRule type="cellIs" dxfId="266" priority="2" stopIfTrue="1" operator="equal">
      <formula>0</formula>
    </cfRule>
  </conditionalFormatting>
  <conditionalFormatting sqref="L7:L19">
    <cfRule type="cellIs" dxfId="265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FDB8-14D9-4546-A0ED-34B468CC9DEF}">
  <sheetPr>
    <tabColor rgb="FFFFFF00"/>
  </sheetPr>
  <dimension ref="A1:H20"/>
  <sheetViews>
    <sheetView zoomScale="108" zoomScaleNormal="126" workbookViewId="0">
      <selection activeCell="C19" sqref="C19"/>
    </sheetView>
  </sheetViews>
  <sheetFormatPr defaultRowHeight="12.75" x14ac:dyDescent="0.2"/>
  <cols>
    <col min="1" max="1" width="23.85546875" bestFit="1" customWidth="1"/>
    <col min="2" max="7" width="13.5703125" customWidth="1"/>
    <col min="8" max="8" width="16" customWidth="1"/>
  </cols>
  <sheetData>
    <row r="1" spans="1:8" x14ac:dyDescent="0.2">
      <c r="A1" s="119" t="s">
        <v>34</v>
      </c>
      <c r="B1" s="119"/>
      <c r="C1" s="119"/>
      <c r="D1" s="119"/>
      <c r="E1" s="119"/>
      <c r="F1" s="119"/>
      <c r="G1" s="119"/>
      <c r="H1" s="119"/>
    </row>
    <row r="2" spans="1:8" x14ac:dyDescent="0.2">
      <c r="A2" s="27"/>
      <c r="B2" s="28"/>
      <c r="C2" s="28"/>
      <c r="D2" s="28"/>
      <c r="E2" s="28"/>
      <c r="F2" s="28"/>
      <c r="G2" s="28"/>
      <c r="H2" s="42" t="s">
        <v>32</v>
      </c>
    </row>
    <row r="3" spans="1:8" ht="30" customHeight="1" x14ac:dyDescent="0.2">
      <c r="A3" s="179" t="s">
        <v>569</v>
      </c>
      <c r="B3" s="179"/>
      <c r="C3" s="179"/>
      <c r="D3" s="179"/>
      <c r="E3" s="179"/>
      <c r="F3" s="179"/>
      <c r="G3" s="179"/>
      <c r="H3" s="179"/>
    </row>
    <row r="4" spans="1:8" s="7" customFormat="1" ht="16.5" customHeight="1" x14ac:dyDescent="0.2">
      <c r="A4" s="129" t="s">
        <v>30</v>
      </c>
      <c r="B4" s="122" t="s">
        <v>47</v>
      </c>
      <c r="C4" s="122"/>
      <c r="D4" s="124" t="s">
        <v>452</v>
      </c>
      <c r="E4" s="128"/>
      <c r="F4" s="128"/>
      <c r="G4" s="128"/>
      <c r="H4" s="125"/>
    </row>
    <row r="5" spans="1:8" s="7" customFormat="1" ht="25.7" customHeight="1" x14ac:dyDescent="0.2">
      <c r="A5" s="130"/>
      <c r="B5" s="126" t="s">
        <v>41</v>
      </c>
      <c r="C5" s="126" t="s">
        <v>21</v>
      </c>
      <c r="D5" s="126" t="s">
        <v>580</v>
      </c>
      <c r="E5" s="152" t="s">
        <v>351</v>
      </c>
      <c r="F5" s="153"/>
      <c r="G5" s="152" t="s">
        <v>352</v>
      </c>
      <c r="H5" s="153"/>
    </row>
    <row r="6" spans="1:8" s="7" customFormat="1" ht="35.25" customHeight="1" x14ac:dyDescent="0.2">
      <c r="A6" s="131"/>
      <c r="B6" s="127"/>
      <c r="C6" s="127"/>
      <c r="D6" s="127"/>
      <c r="E6" s="98" t="s">
        <v>80</v>
      </c>
      <c r="F6" s="34" t="s">
        <v>451</v>
      </c>
      <c r="G6" s="98" t="s">
        <v>80</v>
      </c>
      <c r="H6" s="34" t="s">
        <v>451</v>
      </c>
    </row>
    <row r="7" spans="1:8" s="6" customFormat="1" ht="20.45" customHeight="1" x14ac:dyDescent="0.2">
      <c r="A7" s="69" t="s">
        <v>0</v>
      </c>
      <c r="B7" s="49">
        <v>131504.2034342289</v>
      </c>
      <c r="C7" s="50">
        <v>8412.8188356442006</v>
      </c>
      <c r="D7" s="49">
        <v>396.92522883415222</v>
      </c>
      <c r="E7" s="49">
        <v>357.94295573234558</v>
      </c>
      <c r="F7" s="50">
        <v>5.9883132425491015</v>
      </c>
      <c r="G7" s="49">
        <v>38.982273101806641</v>
      </c>
      <c r="H7" s="50">
        <v>1.6646952451321031</v>
      </c>
    </row>
    <row r="8" spans="1:8" s="6" customFormat="1" ht="20.45" customHeight="1" x14ac:dyDescent="0.2">
      <c r="A8" s="29" t="s">
        <v>1</v>
      </c>
      <c r="B8" s="51">
        <v>3999284.9654890299</v>
      </c>
      <c r="C8" s="52">
        <v>2209997.0997300968</v>
      </c>
      <c r="D8" s="51">
        <v>96777.454263687134</v>
      </c>
      <c r="E8" s="51">
        <v>94073.570072054863</v>
      </c>
      <c r="F8" s="52">
        <v>4434.5967273716351</v>
      </c>
      <c r="G8" s="51">
        <v>4830.5290017127991</v>
      </c>
      <c r="H8" s="52">
        <v>216.96737458411064</v>
      </c>
    </row>
    <row r="9" spans="1:8" ht="20.45" customHeight="1" x14ac:dyDescent="0.2">
      <c r="A9" s="30" t="s">
        <v>2</v>
      </c>
      <c r="B9" s="53">
        <v>425217.50214135647</v>
      </c>
      <c r="C9" s="54">
        <v>25509.306759483829</v>
      </c>
      <c r="D9" s="53">
        <v>5567.1749527454376</v>
      </c>
      <c r="E9" s="53">
        <v>5471.8887722492218</v>
      </c>
      <c r="F9" s="54">
        <v>108.96035248681733</v>
      </c>
      <c r="G9" s="53">
        <v>245.27564907073975</v>
      </c>
      <c r="H9" s="54">
        <v>3.5083642663957959</v>
      </c>
    </row>
    <row r="10" spans="1:8" ht="20.45" customHeight="1" x14ac:dyDescent="0.2">
      <c r="A10" s="30" t="s">
        <v>3</v>
      </c>
      <c r="B10" s="53">
        <v>648449.97284579277</v>
      </c>
      <c r="C10" s="54">
        <v>96299.338873014785</v>
      </c>
      <c r="D10" s="53">
        <v>12410.767742156982</v>
      </c>
      <c r="E10" s="53">
        <v>12092.076677680016</v>
      </c>
      <c r="F10" s="54">
        <v>397.50425949310124</v>
      </c>
      <c r="G10" s="53">
        <v>779.81371223926544</v>
      </c>
      <c r="H10" s="54">
        <v>21.775329564340147</v>
      </c>
    </row>
    <row r="11" spans="1:8" ht="20.45" customHeight="1" x14ac:dyDescent="0.2">
      <c r="A11" s="30" t="s">
        <v>4</v>
      </c>
      <c r="B11" s="53">
        <v>1430113.6145436764</v>
      </c>
      <c r="C11" s="54">
        <v>478190.54053741047</v>
      </c>
      <c r="D11" s="53">
        <v>33322.887150406837</v>
      </c>
      <c r="E11" s="53">
        <v>32300.40565431118</v>
      </c>
      <c r="F11" s="54">
        <v>1350.1752209414283</v>
      </c>
      <c r="G11" s="53">
        <v>1655.2529261112213</v>
      </c>
      <c r="H11" s="54">
        <v>52.295345503134968</v>
      </c>
    </row>
    <row r="12" spans="1:8" ht="20.45" customHeight="1" x14ac:dyDescent="0.2">
      <c r="A12" s="30" t="s">
        <v>5</v>
      </c>
      <c r="B12" s="53">
        <v>945303.95051133633</v>
      </c>
      <c r="C12" s="54">
        <v>660203.10200041207</v>
      </c>
      <c r="D12" s="53">
        <v>26351.005462050438</v>
      </c>
      <c r="E12" s="53">
        <v>25773.423178076744</v>
      </c>
      <c r="F12" s="54">
        <v>1248.1684151519298</v>
      </c>
      <c r="G12" s="53">
        <v>1056.2272282838821</v>
      </c>
      <c r="H12" s="54">
        <v>50.629030642671651</v>
      </c>
    </row>
    <row r="13" spans="1:8" ht="20.45" customHeight="1" x14ac:dyDescent="0.2">
      <c r="A13" s="30" t="s">
        <v>6</v>
      </c>
      <c r="B13" s="53">
        <v>427038.72920608521</v>
      </c>
      <c r="C13" s="54">
        <v>576346.75913770939</v>
      </c>
      <c r="D13" s="53">
        <v>14482.893075704575</v>
      </c>
      <c r="E13" s="53">
        <v>13947.944617271423</v>
      </c>
      <c r="F13" s="54">
        <v>866.93199277049746</v>
      </c>
      <c r="G13" s="53">
        <v>852.6703794002533</v>
      </c>
      <c r="H13" s="54">
        <v>74.183988521336488</v>
      </c>
    </row>
    <row r="14" spans="1:8" ht="20.45" customHeight="1" x14ac:dyDescent="0.2">
      <c r="A14" s="30" t="s">
        <v>7</v>
      </c>
      <c r="B14" s="53">
        <v>81947.948482036591</v>
      </c>
      <c r="C14" s="54">
        <v>194230.78136854045</v>
      </c>
      <c r="D14" s="53">
        <v>2989.9375865459442</v>
      </c>
      <c r="E14" s="53">
        <v>2879.7317614555359</v>
      </c>
      <c r="F14" s="54">
        <v>169.78049741835136</v>
      </c>
      <c r="G14" s="53">
        <v>155.44538116455078</v>
      </c>
      <c r="H14" s="54">
        <v>8.8406862052536681</v>
      </c>
    </row>
    <row r="15" spans="1:8" ht="20.45" customHeight="1" x14ac:dyDescent="0.2">
      <c r="A15" s="30" t="s">
        <v>8</v>
      </c>
      <c r="B15" s="53">
        <v>25962.588759422302</v>
      </c>
      <c r="C15" s="54">
        <v>88368.61314559725</v>
      </c>
      <c r="D15" s="53">
        <v>1014.2981464862823</v>
      </c>
      <c r="E15" s="53">
        <v>997.77066326141357</v>
      </c>
      <c r="F15" s="54">
        <v>95.248299696970761</v>
      </c>
      <c r="G15" s="53">
        <v>16.527483224868774</v>
      </c>
      <c r="H15" s="54">
        <v>4.3580157902417334</v>
      </c>
    </row>
    <row r="16" spans="1:8" ht="20.45" customHeight="1" x14ac:dyDescent="0.2">
      <c r="A16" s="30" t="s">
        <v>9</v>
      </c>
      <c r="B16" s="53">
        <v>7396.839360833168</v>
      </c>
      <c r="C16" s="54">
        <v>32799.663934678501</v>
      </c>
      <c r="D16" s="53">
        <v>324.79586935043335</v>
      </c>
      <c r="E16" s="53">
        <v>311.59064245223999</v>
      </c>
      <c r="F16" s="54">
        <v>49.543911960729552</v>
      </c>
      <c r="G16" s="53">
        <v>54.360069274902344</v>
      </c>
      <c r="H16" s="54">
        <v>0.99618886231735548</v>
      </c>
    </row>
    <row r="17" spans="1:8" ht="20.45" customHeight="1" x14ac:dyDescent="0.2">
      <c r="A17" s="30" t="s">
        <v>10</v>
      </c>
      <c r="B17" s="53">
        <v>6978.5904805660248</v>
      </c>
      <c r="C17" s="54">
        <v>44892.867958983035</v>
      </c>
      <c r="D17" s="53">
        <v>296.68271493911743</v>
      </c>
      <c r="E17" s="53">
        <v>281.7265419960022</v>
      </c>
      <c r="F17" s="54">
        <v>120.58673508502402</v>
      </c>
      <c r="G17" s="53">
        <v>14.956172943115234</v>
      </c>
      <c r="H17" s="54">
        <v>0.38042522841890758</v>
      </c>
    </row>
    <row r="18" spans="1:8" ht="20.45" customHeight="1" x14ac:dyDescent="0.2">
      <c r="A18" s="30" t="s">
        <v>11</v>
      </c>
      <c r="B18" s="53">
        <v>875.2291579246521</v>
      </c>
      <c r="C18" s="54">
        <v>13156.126014231626</v>
      </c>
      <c r="D18" s="53">
        <v>17.011563301086426</v>
      </c>
      <c r="E18" s="53">
        <v>17.011563301086426</v>
      </c>
      <c r="F18" s="54">
        <v>27.697042366781627</v>
      </c>
      <c r="G18" s="53">
        <v>0</v>
      </c>
      <c r="H18" s="54"/>
    </row>
    <row r="19" spans="1:8" s="6" customFormat="1" ht="20.45" customHeight="1" x14ac:dyDescent="0.2">
      <c r="A19" s="31" t="s">
        <v>12</v>
      </c>
      <c r="B19" s="25">
        <f t="shared" ref="B19:H19" si="0">B7+B8</f>
        <v>4130789.1689232588</v>
      </c>
      <c r="C19" s="26">
        <f t="shared" si="0"/>
        <v>2218409.9185657408</v>
      </c>
      <c r="D19" s="25">
        <f t="shared" si="0"/>
        <v>97174.379492521286</v>
      </c>
      <c r="E19" s="25">
        <f t="shared" si="0"/>
        <v>94431.513027787209</v>
      </c>
      <c r="F19" s="26">
        <f t="shared" si="0"/>
        <v>4440.5850406141844</v>
      </c>
      <c r="G19" s="25">
        <f t="shared" si="0"/>
        <v>4869.5112748146057</v>
      </c>
      <c r="H19" s="26">
        <f t="shared" si="0"/>
        <v>218.63206982924274</v>
      </c>
    </row>
    <row r="20" spans="1:8" ht="12" customHeight="1" x14ac:dyDescent="0.2"/>
  </sheetData>
  <mergeCells count="10">
    <mergeCell ref="D4:H4"/>
    <mergeCell ref="G5:H5"/>
    <mergeCell ref="A1:H1"/>
    <mergeCell ref="A4:A6"/>
    <mergeCell ref="B4:C4"/>
    <mergeCell ref="B5:B6"/>
    <mergeCell ref="C5:C6"/>
    <mergeCell ref="E5:F5"/>
    <mergeCell ref="A3:H3"/>
    <mergeCell ref="D5:D6"/>
  </mergeCells>
  <conditionalFormatting sqref="B7:B19">
    <cfRule type="cellIs" dxfId="264" priority="10" stopIfTrue="1" operator="equal">
      <formula>0</formula>
    </cfRule>
  </conditionalFormatting>
  <conditionalFormatting sqref="F7:F19 H7:H19 C7:C19">
    <cfRule type="cellIs" dxfId="263" priority="9" stopIfTrue="1" operator="equal">
      <formula>0</formula>
    </cfRule>
  </conditionalFormatting>
  <conditionalFormatting sqref="G7:G19">
    <cfRule type="cellIs" dxfId="262" priority="5" stopIfTrue="1" operator="equal">
      <formula>0</formula>
    </cfRule>
  </conditionalFormatting>
  <conditionalFormatting sqref="E7:E19">
    <cfRule type="cellIs" dxfId="261" priority="3" stopIfTrue="1" operator="equal">
      <formula>0</formula>
    </cfRule>
  </conditionalFormatting>
  <conditionalFormatting sqref="D7:D19">
    <cfRule type="cellIs" dxfId="26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1704-8289-48A2-A41C-D90A2B640979}">
  <sheetPr>
    <tabColor rgb="FFFFFF00"/>
  </sheetPr>
  <dimension ref="A1:N20"/>
  <sheetViews>
    <sheetView zoomScale="88" zoomScaleNormal="15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1.140625" customWidth="1"/>
    <col min="3" max="3" width="10.85546875" customWidth="1"/>
    <col min="4" max="4" width="11.5703125" customWidth="1"/>
    <col min="5" max="5" width="10.85546875" customWidth="1"/>
    <col min="6" max="6" width="10.140625" customWidth="1"/>
    <col min="7" max="7" width="11.42578125" customWidth="1"/>
    <col min="8" max="8" width="9.85546875" customWidth="1"/>
    <col min="9" max="9" width="9.5703125" customWidth="1"/>
    <col min="10" max="10" width="10.85546875" customWidth="1"/>
    <col min="11" max="11" width="11.140625" customWidth="1"/>
    <col min="12" max="12" width="9.42578125" customWidth="1"/>
    <col min="13" max="13" width="12.140625" customWidth="1"/>
    <col min="14" max="14" width="8.42578125" customWidth="1"/>
  </cols>
  <sheetData>
    <row r="1" spans="1:14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x14ac:dyDescent="0.2">
      <c r="A2" s="27"/>
      <c r="B2" s="28"/>
      <c r="C2" s="28"/>
      <c r="D2" s="28"/>
      <c r="E2" s="28"/>
      <c r="F2" s="28"/>
      <c r="G2" s="27"/>
      <c r="H2" s="27"/>
      <c r="I2" s="27"/>
      <c r="J2" s="27"/>
      <c r="K2" s="27"/>
      <c r="L2" s="27"/>
      <c r="M2" s="27"/>
      <c r="N2" s="42" t="s">
        <v>32</v>
      </c>
    </row>
    <row r="3" spans="1:14" ht="16.5" customHeight="1" x14ac:dyDescent="0.2">
      <c r="A3" s="83" t="s">
        <v>636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s="7" customFormat="1" ht="16.5" customHeight="1" x14ac:dyDescent="0.2">
      <c r="A4" s="123" t="s">
        <v>30</v>
      </c>
      <c r="B4" s="121" t="s">
        <v>338</v>
      </c>
      <c r="C4" s="191" t="s">
        <v>634</v>
      </c>
      <c r="D4" s="120" t="s">
        <v>635</v>
      </c>
      <c r="E4" s="122" t="s">
        <v>633</v>
      </c>
      <c r="F4" s="122"/>
      <c r="G4" s="122"/>
      <c r="H4" s="122"/>
      <c r="I4" s="122"/>
      <c r="J4" s="122"/>
      <c r="K4" s="122"/>
      <c r="L4" s="122"/>
      <c r="M4" s="122"/>
      <c r="N4" s="122"/>
    </row>
    <row r="5" spans="1:14" s="7" customFormat="1" ht="109.7" customHeight="1" x14ac:dyDescent="0.2">
      <c r="A5" s="123"/>
      <c r="B5" s="121"/>
      <c r="C5" s="191"/>
      <c r="D5" s="120"/>
      <c r="E5" s="34" t="s">
        <v>355</v>
      </c>
      <c r="F5" s="34" t="s">
        <v>356</v>
      </c>
      <c r="G5" s="89" t="s">
        <v>540</v>
      </c>
      <c r="H5" s="67" t="s">
        <v>357</v>
      </c>
      <c r="I5" s="67" t="s">
        <v>453</v>
      </c>
      <c r="J5" s="67" t="s">
        <v>358</v>
      </c>
      <c r="K5" s="79" t="s">
        <v>360</v>
      </c>
      <c r="L5" s="67" t="s">
        <v>359</v>
      </c>
      <c r="M5" s="67" t="s">
        <v>470</v>
      </c>
      <c r="N5" s="77" t="s">
        <v>249</v>
      </c>
    </row>
    <row r="6" spans="1:14" s="6" customFormat="1" ht="20.45" customHeight="1" x14ac:dyDescent="0.2">
      <c r="A6" s="69" t="s">
        <v>0</v>
      </c>
      <c r="B6" s="49">
        <v>131504.2034342289</v>
      </c>
      <c r="C6" s="49">
        <v>31682.911846518498</v>
      </c>
      <c r="D6" s="49">
        <v>21188.686643719673</v>
      </c>
      <c r="E6" s="49">
        <v>14094.474454283745</v>
      </c>
      <c r="F6" s="49">
        <v>1600.4914939403536</v>
      </c>
      <c r="G6" s="49">
        <v>4173.0176540613102</v>
      </c>
      <c r="H6" s="49">
        <v>3347.0651693344134</v>
      </c>
      <c r="I6" s="49">
        <v>5793.4089627265867</v>
      </c>
      <c r="J6" s="49">
        <v>9178.8869727849888</v>
      </c>
      <c r="K6" s="49">
        <v>10483.244391322138</v>
      </c>
      <c r="L6" s="49">
        <v>2762.2115805149119</v>
      </c>
      <c r="M6" s="49">
        <v>1926.2353099584552</v>
      </c>
      <c r="N6" s="49">
        <v>404.77601242065458</v>
      </c>
    </row>
    <row r="7" spans="1:14" s="6" customFormat="1" ht="20.45" customHeight="1" x14ac:dyDescent="0.2">
      <c r="A7" s="29" t="s">
        <v>1</v>
      </c>
      <c r="B7" s="51">
        <v>3999284.9654890299</v>
      </c>
      <c r="C7" s="51">
        <v>1775289.8358318806</v>
      </c>
      <c r="D7" s="51">
        <v>1617642.9776810408</v>
      </c>
      <c r="E7" s="51">
        <v>1372710.8339870777</v>
      </c>
      <c r="F7" s="51">
        <v>151331.39674996966</v>
      </c>
      <c r="G7" s="51">
        <v>410471.65976727474</v>
      </c>
      <c r="H7" s="51">
        <v>331711.98994123784</v>
      </c>
      <c r="I7" s="51">
        <v>663239.39436936926</v>
      </c>
      <c r="J7" s="51">
        <v>874557.00057374756</v>
      </c>
      <c r="K7" s="51">
        <v>986222.3696584712</v>
      </c>
      <c r="L7" s="51">
        <v>94643.603700282183</v>
      </c>
      <c r="M7" s="51">
        <v>92559.680061104067</v>
      </c>
      <c r="N7" s="51">
        <v>3267.6831226348554</v>
      </c>
    </row>
    <row r="8" spans="1:14" ht="20.45" customHeight="1" x14ac:dyDescent="0.2">
      <c r="A8" s="30" t="s">
        <v>2</v>
      </c>
      <c r="B8" s="53">
        <v>425217.50214135647</v>
      </c>
      <c r="C8" s="53">
        <v>162733.01631140709</v>
      </c>
      <c r="D8" s="53">
        <v>137598.97976660728</v>
      </c>
      <c r="E8" s="53">
        <v>111307.07841467838</v>
      </c>
      <c r="F8" s="53">
        <v>13394.213209390673</v>
      </c>
      <c r="G8" s="53">
        <v>29639.34377229209</v>
      </c>
      <c r="H8" s="53">
        <v>29239.041357159775</v>
      </c>
      <c r="I8" s="53">
        <v>49934.936701059138</v>
      </c>
      <c r="J8" s="53">
        <v>71432.134207129988</v>
      </c>
      <c r="K8" s="53">
        <v>77229.196620226168</v>
      </c>
      <c r="L8" s="53">
        <v>8085.8173894882266</v>
      </c>
      <c r="M8" s="53">
        <v>6466.743013858827</v>
      </c>
      <c r="N8" s="53">
        <v>207.06274795532227</v>
      </c>
    </row>
    <row r="9" spans="1:14" ht="20.45" customHeight="1" x14ac:dyDescent="0.2">
      <c r="A9" s="30" t="s">
        <v>3</v>
      </c>
      <c r="B9" s="53">
        <v>648449.97284579277</v>
      </c>
      <c r="C9" s="53">
        <v>264383.99579703808</v>
      </c>
      <c r="D9" s="53">
        <v>237973.37630784512</v>
      </c>
      <c r="E9" s="53">
        <v>200340.19239378156</v>
      </c>
      <c r="F9" s="53">
        <v>26057.775211214983</v>
      </c>
      <c r="G9" s="53">
        <v>58054.340625167191</v>
      </c>
      <c r="H9" s="53">
        <v>50126.628712892394</v>
      </c>
      <c r="I9" s="53">
        <v>97739.113059281837</v>
      </c>
      <c r="J9" s="53">
        <v>128437.31624352881</v>
      </c>
      <c r="K9" s="53">
        <v>138453.48510229585</v>
      </c>
      <c r="L9" s="53">
        <v>12655.804508209203</v>
      </c>
      <c r="M9" s="53">
        <v>12720.324892878572</v>
      </c>
      <c r="N9" s="53">
        <v>577.13850641250747</v>
      </c>
    </row>
    <row r="10" spans="1:14" ht="20.45" customHeight="1" x14ac:dyDescent="0.2">
      <c r="A10" s="30" t="s">
        <v>4</v>
      </c>
      <c r="B10" s="53">
        <v>1430113.6145436764</v>
      </c>
      <c r="C10" s="53">
        <v>629755.69646811485</v>
      </c>
      <c r="D10" s="53">
        <v>577279.39745128155</v>
      </c>
      <c r="E10" s="53">
        <v>490732.08604300243</v>
      </c>
      <c r="F10" s="53">
        <v>53896.287393331237</v>
      </c>
      <c r="G10" s="53">
        <v>148496.85897254996</v>
      </c>
      <c r="H10" s="53">
        <v>118387.56918907147</v>
      </c>
      <c r="I10" s="53">
        <v>239232.5103912364</v>
      </c>
      <c r="J10" s="53">
        <v>308738.13902831054</v>
      </c>
      <c r="K10" s="53">
        <v>347732.91611659719</v>
      </c>
      <c r="L10" s="53">
        <v>32935.073481559775</v>
      </c>
      <c r="M10" s="53">
        <v>32068.80794203265</v>
      </c>
      <c r="N10" s="53">
        <v>1051.356538295754</v>
      </c>
    </row>
    <row r="11" spans="1:14" ht="20.45" customHeight="1" x14ac:dyDescent="0.2">
      <c r="A11" s="30" t="s">
        <v>5</v>
      </c>
      <c r="B11" s="53">
        <v>945303.95051133633</v>
      </c>
      <c r="C11" s="53">
        <v>440153.34395575523</v>
      </c>
      <c r="D11" s="53">
        <v>406462.43198108673</v>
      </c>
      <c r="E11" s="53">
        <v>347807.97710752505</v>
      </c>
      <c r="F11" s="53">
        <v>35789.777026295684</v>
      </c>
      <c r="G11" s="53">
        <v>104897.75507080554</v>
      </c>
      <c r="H11" s="53">
        <v>82073.758786558654</v>
      </c>
      <c r="I11" s="53">
        <v>166448.47284209676</v>
      </c>
      <c r="J11" s="53">
        <v>221716.56056654343</v>
      </c>
      <c r="K11" s="53">
        <v>254536.74537479744</v>
      </c>
      <c r="L11" s="53">
        <v>24390.970173358804</v>
      </c>
      <c r="M11" s="53">
        <v>23987.124773740732</v>
      </c>
      <c r="N11" s="53">
        <v>848.23627328873317</v>
      </c>
    </row>
    <row r="12" spans="1:14" ht="20.45" customHeight="1" x14ac:dyDescent="0.2">
      <c r="A12" s="30" t="s">
        <v>6</v>
      </c>
      <c r="B12" s="53">
        <v>427038.72920608521</v>
      </c>
      <c r="C12" s="53">
        <v>211382.58881497383</v>
      </c>
      <c r="D12" s="53">
        <v>195624.75357317924</v>
      </c>
      <c r="E12" s="53">
        <v>168344.24512469833</v>
      </c>
      <c r="F12" s="53">
        <v>16600.305501937888</v>
      </c>
      <c r="G12" s="53">
        <v>51773.715176940277</v>
      </c>
      <c r="H12" s="53">
        <v>38575.954479813583</v>
      </c>
      <c r="I12" s="53">
        <v>81623.112379908547</v>
      </c>
      <c r="J12" s="53">
        <v>108145.1064448361</v>
      </c>
      <c r="K12" s="53">
        <v>126677.19609308284</v>
      </c>
      <c r="L12" s="53">
        <v>12217.623723268542</v>
      </c>
      <c r="M12" s="53">
        <v>12746.865043401809</v>
      </c>
      <c r="N12" s="53">
        <v>438.96791553497121</v>
      </c>
    </row>
    <row r="13" spans="1:14" ht="20.45" customHeight="1" x14ac:dyDescent="0.2">
      <c r="A13" s="30" t="s">
        <v>7</v>
      </c>
      <c r="B13" s="53">
        <v>81947.948482036591</v>
      </c>
      <c r="C13" s="53">
        <v>43216.140037298203</v>
      </c>
      <c r="D13" s="53">
        <v>40302.029973506927</v>
      </c>
      <c r="E13" s="53">
        <v>34832.317421197906</v>
      </c>
      <c r="F13" s="53">
        <v>3463.2489721774946</v>
      </c>
      <c r="G13" s="53">
        <v>10758.450396060927</v>
      </c>
      <c r="H13" s="53">
        <v>8240.3378452062789</v>
      </c>
      <c r="I13" s="53">
        <v>17901.930039763411</v>
      </c>
      <c r="J13" s="53">
        <v>23333.890087723805</v>
      </c>
      <c r="K13" s="53">
        <v>26163.712514281287</v>
      </c>
      <c r="L13" s="53">
        <v>2492.099341988574</v>
      </c>
      <c r="M13" s="53">
        <v>2685.9403252601637</v>
      </c>
      <c r="N13" s="53">
        <v>118.83276128768959</v>
      </c>
    </row>
    <row r="14" spans="1:14" ht="20.45" customHeight="1" x14ac:dyDescent="0.2">
      <c r="A14" s="30" t="s">
        <v>8</v>
      </c>
      <c r="B14" s="53">
        <v>25962.588759422302</v>
      </c>
      <c r="C14" s="53">
        <v>14623.316761374474</v>
      </c>
      <c r="D14" s="53">
        <v>13862.801044821739</v>
      </c>
      <c r="E14" s="53">
        <v>11886.450359702112</v>
      </c>
      <c r="F14" s="53">
        <v>1312.5609300136553</v>
      </c>
      <c r="G14" s="53">
        <v>4171.202760100361</v>
      </c>
      <c r="H14" s="53">
        <v>3092.8818596601468</v>
      </c>
      <c r="I14" s="53">
        <v>6487.904326796518</v>
      </c>
      <c r="J14" s="53">
        <v>7644.3489176034782</v>
      </c>
      <c r="K14" s="53">
        <v>9380.1408587694332</v>
      </c>
      <c r="L14" s="53">
        <v>1143.3052227497069</v>
      </c>
      <c r="M14" s="53">
        <v>1096.9646241664882</v>
      </c>
      <c r="N14" s="53">
        <v>26.088379859924267</v>
      </c>
    </row>
    <row r="15" spans="1:14" ht="20.45" customHeight="1" x14ac:dyDescent="0.2">
      <c r="A15" s="30" t="s">
        <v>9</v>
      </c>
      <c r="B15" s="53">
        <v>7396.839360833168</v>
      </c>
      <c r="C15" s="53">
        <v>4313.0333822965622</v>
      </c>
      <c r="D15" s="53">
        <v>4028.9660352468491</v>
      </c>
      <c r="E15" s="53">
        <v>3547.0522099733348</v>
      </c>
      <c r="F15" s="53">
        <v>367.00506973266596</v>
      </c>
      <c r="G15" s="53">
        <v>1281.6639633178715</v>
      </c>
      <c r="H15" s="53">
        <v>896.39538049698012</v>
      </c>
      <c r="I15" s="53">
        <v>1926.8168485164663</v>
      </c>
      <c r="J15" s="53">
        <v>2451.0276554822908</v>
      </c>
      <c r="K15" s="53">
        <v>2874.6225725412382</v>
      </c>
      <c r="L15" s="53">
        <v>299.05054378509527</v>
      </c>
      <c r="M15" s="53">
        <v>356.41025686264044</v>
      </c>
      <c r="N15" s="53">
        <v>0</v>
      </c>
    </row>
    <row r="16" spans="1:14" ht="20.45" customHeight="1" x14ac:dyDescent="0.2">
      <c r="A16" s="30" t="s">
        <v>10</v>
      </c>
      <c r="B16" s="53">
        <v>6978.5904805660248</v>
      </c>
      <c r="C16" s="53">
        <v>4140.3553284406662</v>
      </c>
      <c r="D16" s="53">
        <v>3929.3255084753036</v>
      </c>
      <c r="E16" s="53">
        <v>3408.8373798131952</v>
      </c>
      <c r="F16" s="53">
        <v>340.62024641037016</v>
      </c>
      <c r="G16" s="53">
        <v>1251.4695138931277</v>
      </c>
      <c r="H16" s="53">
        <v>921.50443029403721</v>
      </c>
      <c r="I16" s="53">
        <v>1678.9318747520449</v>
      </c>
      <c r="J16" s="53">
        <v>2275.1705588102332</v>
      </c>
      <c r="K16" s="53">
        <v>2788.4949574470534</v>
      </c>
      <c r="L16" s="53">
        <v>365.09142160415684</v>
      </c>
      <c r="M16" s="53">
        <v>393.41024923324591</v>
      </c>
      <c r="N16" s="53">
        <v>0</v>
      </c>
    </row>
    <row r="17" spans="1:14" ht="20.45" customHeight="1" x14ac:dyDescent="0.2">
      <c r="A17" s="30" t="s">
        <v>11</v>
      </c>
      <c r="B17" s="53">
        <v>875.2291579246521</v>
      </c>
      <c r="C17" s="53">
        <v>588.34897518157959</v>
      </c>
      <c r="D17" s="53">
        <v>580.91603899002075</v>
      </c>
      <c r="E17" s="53">
        <v>504.59753274917614</v>
      </c>
      <c r="F17" s="53">
        <v>109.6031894683838</v>
      </c>
      <c r="G17" s="53">
        <v>146.85951614379883</v>
      </c>
      <c r="H17" s="53">
        <v>157.91790008544919</v>
      </c>
      <c r="I17" s="53">
        <v>265.66590595245361</v>
      </c>
      <c r="J17" s="53">
        <v>383.30686378479004</v>
      </c>
      <c r="K17" s="53">
        <v>385.85944843292231</v>
      </c>
      <c r="L17" s="53">
        <v>58.767894268035874</v>
      </c>
      <c r="M17" s="53">
        <v>37.088939666748054</v>
      </c>
      <c r="N17" s="53">
        <v>0</v>
      </c>
    </row>
    <row r="18" spans="1:14" s="6" customFormat="1" ht="20.45" customHeight="1" x14ac:dyDescent="0.2">
      <c r="A18" s="31" t="s">
        <v>12</v>
      </c>
      <c r="B18" s="25">
        <f>B6+B7</f>
        <v>4130789.1689232588</v>
      </c>
      <c r="C18" s="25">
        <f>C6+C7</f>
        <v>1806972.7476783991</v>
      </c>
      <c r="D18" s="25">
        <f t="shared" ref="D18:N18" si="0">D6+D7</f>
        <v>1638831.6643247604</v>
      </c>
      <c r="E18" s="25">
        <f t="shared" si="0"/>
        <v>1386805.3084413614</v>
      </c>
      <c r="F18" s="25">
        <f t="shared" si="0"/>
        <v>152931.88824391001</v>
      </c>
      <c r="G18" s="25">
        <f t="shared" si="0"/>
        <v>414644.67742133606</v>
      </c>
      <c r="H18" s="25">
        <f t="shared" si="0"/>
        <v>335059.05511057226</v>
      </c>
      <c r="I18" s="25">
        <f t="shared" si="0"/>
        <v>669032.80333209585</v>
      </c>
      <c r="J18" s="25">
        <f t="shared" si="0"/>
        <v>883735.88754653255</v>
      </c>
      <c r="K18" s="25">
        <f t="shared" si="0"/>
        <v>996705.61404979334</v>
      </c>
      <c r="L18" s="25">
        <f t="shared" si="0"/>
        <v>97405.815280797091</v>
      </c>
      <c r="M18" s="25">
        <f t="shared" si="0"/>
        <v>94485.915371062525</v>
      </c>
      <c r="N18" s="25">
        <f t="shared" si="0"/>
        <v>3672.4591350555102</v>
      </c>
    </row>
    <row r="20" spans="1:14" ht="12" customHeight="1" x14ac:dyDescent="0.2"/>
  </sheetData>
  <mergeCells count="6">
    <mergeCell ref="A4:A5"/>
    <mergeCell ref="C4:C5"/>
    <mergeCell ref="B4:B5"/>
    <mergeCell ref="D4:D5"/>
    <mergeCell ref="E4:N4"/>
    <mergeCell ref="A1:N1"/>
  </mergeCells>
  <conditionalFormatting sqref="B6:B18">
    <cfRule type="cellIs" dxfId="259" priority="13" stopIfTrue="1" operator="equal">
      <formula>0</formula>
    </cfRule>
  </conditionalFormatting>
  <conditionalFormatting sqref="C6:C18">
    <cfRule type="cellIs" dxfId="258" priority="12" stopIfTrue="1" operator="equal">
      <formula>0</formula>
    </cfRule>
  </conditionalFormatting>
  <conditionalFormatting sqref="D6:D18">
    <cfRule type="cellIs" dxfId="257" priority="11" stopIfTrue="1" operator="equal">
      <formula>0</formula>
    </cfRule>
  </conditionalFormatting>
  <conditionalFormatting sqref="E6:E18">
    <cfRule type="cellIs" dxfId="256" priority="10" stopIfTrue="1" operator="equal">
      <formula>0</formula>
    </cfRule>
  </conditionalFormatting>
  <conditionalFormatting sqref="F6:F18">
    <cfRule type="cellIs" dxfId="255" priority="9" stopIfTrue="1" operator="equal">
      <formula>0</formula>
    </cfRule>
  </conditionalFormatting>
  <conditionalFormatting sqref="G6:G18">
    <cfRule type="cellIs" dxfId="254" priority="8" stopIfTrue="1" operator="equal">
      <formula>0</formula>
    </cfRule>
  </conditionalFormatting>
  <conditionalFormatting sqref="H6:H18">
    <cfRule type="cellIs" dxfId="253" priority="7" stopIfTrue="1" operator="equal">
      <formula>0</formula>
    </cfRule>
  </conditionalFormatting>
  <conditionalFormatting sqref="I6:I18">
    <cfRule type="cellIs" dxfId="252" priority="6" stopIfTrue="1" operator="equal">
      <formula>0</formula>
    </cfRule>
  </conditionalFormatting>
  <conditionalFormatting sqref="J6:J18">
    <cfRule type="cellIs" dxfId="251" priority="5" stopIfTrue="1" operator="equal">
      <formula>0</formula>
    </cfRule>
  </conditionalFormatting>
  <conditionalFormatting sqref="K6:K18">
    <cfRule type="cellIs" dxfId="250" priority="4" stopIfTrue="1" operator="equal">
      <formula>0</formula>
    </cfRule>
  </conditionalFormatting>
  <conditionalFormatting sqref="L6:L18">
    <cfRule type="cellIs" dxfId="249" priority="3" stopIfTrue="1" operator="equal">
      <formula>0</formula>
    </cfRule>
  </conditionalFormatting>
  <conditionalFormatting sqref="M6:M18">
    <cfRule type="cellIs" dxfId="248" priority="2" stopIfTrue="1" operator="equal">
      <formula>0</formula>
    </cfRule>
  </conditionalFormatting>
  <conditionalFormatting sqref="N6:N18">
    <cfRule type="cellIs" dxfId="247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3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846D-7EBF-45B5-8B63-3F0D64244F71}">
  <sheetPr>
    <tabColor rgb="FFFFFF00"/>
  </sheetPr>
  <dimension ref="A1:I20"/>
  <sheetViews>
    <sheetView zoomScale="99" zoomScaleNormal="15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2.85546875" customWidth="1"/>
    <col min="3" max="3" width="11.42578125" customWidth="1"/>
    <col min="4" max="9" width="12.85546875" customWidth="1"/>
  </cols>
  <sheetData>
    <row r="1" spans="1:9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</row>
    <row r="2" spans="1:9" x14ac:dyDescent="0.2">
      <c r="A2" s="27"/>
      <c r="B2" s="28"/>
      <c r="C2" s="28"/>
      <c r="D2" s="28"/>
      <c r="E2" s="27"/>
      <c r="F2" s="27"/>
      <c r="G2" s="27"/>
      <c r="H2" s="27"/>
      <c r="I2" s="28" t="s">
        <v>32</v>
      </c>
    </row>
    <row r="3" spans="1:9" s="68" customFormat="1" ht="16.5" customHeight="1" x14ac:dyDescent="0.2">
      <c r="A3" s="96" t="s">
        <v>637</v>
      </c>
      <c r="B3" s="97"/>
      <c r="C3" s="97"/>
      <c r="D3" s="97"/>
      <c r="E3" s="97"/>
      <c r="F3" s="97"/>
      <c r="G3" s="97"/>
      <c r="H3" s="97"/>
      <c r="I3" s="97"/>
    </row>
    <row r="4" spans="1:9" s="7" customFormat="1" ht="40.35" customHeight="1" x14ac:dyDescent="0.2">
      <c r="A4" s="123" t="s">
        <v>30</v>
      </c>
      <c r="B4" s="121" t="s">
        <v>338</v>
      </c>
      <c r="C4" s="122" t="s">
        <v>638</v>
      </c>
      <c r="D4" s="122"/>
      <c r="E4" s="122"/>
      <c r="F4" s="122"/>
      <c r="G4" s="122"/>
      <c r="H4" s="122"/>
      <c r="I4" s="122"/>
    </row>
    <row r="5" spans="1:9" s="7" customFormat="1" ht="49.7" customHeight="1" x14ac:dyDescent="0.2">
      <c r="A5" s="123"/>
      <c r="B5" s="121"/>
      <c r="C5" s="34" t="s">
        <v>639</v>
      </c>
      <c r="D5" s="34" t="s">
        <v>640</v>
      </c>
      <c r="E5" s="34" t="s">
        <v>641</v>
      </c>
      <c r="F5" s="67" t="s">
        <v>361</v>
      </c>
      <c r="G5" s="67" t="s">
        <v>642</v>
      </c>
      <c r="H5" s="67" t="s">
        <v>249</v>
      </c>
      <c r="I5" s="67" t="s">
        <v>362</v>
      </c>
    </row>
    <row r="6" spans="1:9" s="6" customFormat="1" ht="20.45" customHeight="1" x14ac:dyDescent="0.2">
      <c r="A6" s="69" t="s">
        <v>0</v>
      </c>
      <c r="B6" s="70">
        <v>131504.2034342289</v>
      </c>
      <c r="C6" s="70">
        <v>29273.624913573243</v>
      </c>
      <c r="D6" s="70">
        <v>30484.122269034349</v>
      </c>
      <c r="E6" s="70">
        <v>12007.569514751434</v>
      </c>
      <c r="F6" s="70">
        <v>49238.718416452437</v>
      </c>
      <c r="G6" s="70">
        <v>16009.71535921097</v>
      </c>
      <c r="H6" s="70">
        <v>22672.509853005387</v>
      </c>
      <c r="I6" s="70">
        <v>29652.254282355141</v>
      </c>
    </row>
    <row r="7" spans="1:9" s="6" customFormat="1" ht="20.45" customHeight="1" x14ac:dyDescent="0.2">
      <c r="A7" s="29" t="s">
        <v>1</v>
      </c>
      <c r="B7" s="51">
        <v>3999284.9654890299</v>
      </c>
      <c r="C7" s="51">
        <v>1261452.5943944722</v>
      </c>
      <c r="D7" s="51">
        <v>2063182.8826917736</v>
      </c>
      <c r="E7" s="51">
        <v>207794.78726220204</v>
      </c>
      <c r="F7" s="51">
        <v>1899045.7546225768</v>
      </c>
      <c r="G7" s="51">
        <v>646817.30442368635</v>
      </c>
      <c r="H7" s="51">
        <v>870426.98008597235</v>
      </c>
      <c r="I7" s="51">
        <v>331988.14378904807</v>
      </c>
    </row>
    <row r="8" spans="1:9" ht="20.45" customHeight="1" x14ac:dyDescent="0.2">
      <c r="A8" s="30" t="s">
        <v>2</v>
      </c>
      <c r="B8" s="53">
        <v>425217.50214135647</v>
      </c>
      <c r="C8" s="53">
        <v>138125.01485574161</v>
      </c>
      <c r="D8" s="53">
        <v>180823.36228680547</v>
      </c>
      <c r="E8" s="53">
        <v>36778.090294241694</v>
      </c>
      <c r="F8" s="53">
        <v>206840.96607017543</v>
      </c>
      <c r="G8" s="53">
        <v>43203.86632180219</v>
      </c>
      <c r="H8" s="53">
        <v>78539.122775316631</v>
      </c>
      <c r="I8" s="53">
        <v>38567.50757277033</v>
      </c>
    </row>
    <row r="9" spans="1:9" ht="20.45" customHeight="1" x14ac:dyDescent="0.2">
      <c r="A9" s="30" t="s">
        <v>3</v>
      </c>
      <c r="B9" s="53">
        <v>648449.97284579277</v>
      </c>
      <c r="C9" s="53">
        <v>207944.98229944959</v>
      </c>
      <c r="D9" s="53">
        <v>329818.58609080547</v>
      </c>
      <c r="E9" s="53">
        <v>34523.378177404345</v>
      </c>
      <c r="F9" s="53">
        <v>309894.93000197463</v>
      </c>
      <c r="G9" s="53">
        <v>85240.40079045223</v>
      </c>
      <c r="H9" s="53">
        <v>132546.59729957653</v>
      </c>
      <c r="I9" s="53">
        <v>51490.100613712886</v>
      </c>
    </row>
    <row r="10" spans="1:9" ht="20.45" customHeight="1" x14ac:dyDescent="0.2">
      <c r="A10" s="30" t="s">
        <v>4</v>
      </c>
      <c r="B10" s="53">
        <v>1430113.6145436764</v>
      </c>
      <c r="C10" s="53">
        <v>454765.4838328333</v>
      </c>
      <c r="D10" s="53">
        <v>760497.09118808038</v>
      </c>
      <c r="E10" s="53">
        <v>67118.718232155632</v>
      </c>
      <c r="F10" s="53">
        <v>669692.76293135376</v>
      </c>
      <c r="G10" s="53">
        <v>227100.3977912683</v>
      </c>
      <c r="H10" s="53">
        <v>311240.23283516878</v>
      </c>
      <c r="I10" s="53">
        <v>115485.71049845297</v>
      </c>
    </row>
    <row r="11" spans="1:9" ht="20.45" customHeight="1" x14ac:dyDescent="0.2">
      <c r="A11" s="30" t="s">
        <v>5</v>
      </c>
      <c r="B11" s="53">
        <v>945303.95051133633</v>
      </c>
      <c r="C11" s="53">
        <v>292371.90512657288</v>
      </c>
      <c r="D11" s="53">
        <v>501769.95786392759</v>
      </c>
      <c r="E11" s="53">
        <v>43389.07666933514</v>
      </c>
      <c r="F11" s="53">
        <v>449789.57608151226</v>
      </c>
      <c r="G11" s="53">
        <v>173707.86632895569</v>
      </c>
      <c r="H11" s="53">
        <v>215596.00973141193</v>
      </c>
      <c r="I11" s="53">
        <v>79986.997817993077</v>
      </c>
    </row>
    <row r="12" spans="1:9" ht="20.45" customHeight="1" x14ac:dyDescent="0.2">
      <c r="A12" s="30" t="s">
        <v>6</v>
      </c>
      <c r="B12" s="53">
        <v>427038.72920608521</v>
      </c>
      <c r="C12" s="53">
        <v>131588.68477892855</v>
      </c>
      <c r="D12" s="53">
        <v>225209.1123516552</v>
      </c>
      <c r="E12" s="53">
        <v>19212.836894988981</v>
      </c>
      <c r="F12" s="53">
        <v>204442.79557657236</v>
      </c>
      <c r="G12" s="53">
        <v>88786.973766087627</v>
      </c>
      <c r="H12" s="53">
        <v>100985.58168196688</v>
      </c>
      <c r="I12" s="53">
        <v>35377.780530572039</v>
      </c>
    </row>
    <row r="13" spans="1:9" ht="20.45" customHeight="1" x14ac:dyDescent="0.2">
      <c r="A13" s="30" t="s">
        <v>7</v>
      </c>
      <c r="B13" s="53">
        <v>81947.948482036591</v>
      </c>
      <c r="C13" s="53">
        <v>24229.794710636088</v>
      </c>
      <c r="D13" s="53">
        <v>43094.18790912642</v>
      </c>
      <c r="E13" s="53">
        <v>4247.9568619727997</v>
      </c>
      <c r="F13" s="53">
        <v>38996.151263475404</v>
      </c>
      <c r="G13" s="53">
        <v>19056.498838424683</v>
      </c>
      <c r="H13" s="53">
        <v>20822.757646799069</v>
      </c>
      <c r="I13" s="53">
        <v>7159.8268258571607</v>
      </c>
    </row>
    <row r="14" spans="1:9" ht="20.45" customHeight="1" x14ac:dyDescent="0.2">
      <c r="A14" s="30" t="s">
        <v>8</v>
      </c>
      <c r="B14" s="53">
        <v>25962.588759422302</v>
      </c>
      <c r="C14" s="53">
        <v>7808.4842776060141</v>
      </c>
      <c r="D14" s="53">
        <v>14092.66403079032</v>
      </c>
      <c r="E14" s="53">
        <v>1667.5516970157589</v>
      </c>
      <c r="F14" s="53">
        <v>12018.434313774116</v>
      </c>
      <c r="G14" s="53">
        <v>6404.4606547355834</v>
      </c>
      <c r="H14" s="53">
        <v>6526.8360890150088</v>
      </c>
      <c r="I14" s="53">
        <v>2373.490690231326</v>
      </c>
    </row>
    <row r="15" spans="1:9" ht="20.45" customHeight="1" x14ac:dyDescent="0.2">
      <c r="A15" s="30" t="s">
        <v>9</v>
      </c>
      <c r="B15" s="53">
        <v>7396.839360833168</v>
      </c>
      <c r="C15" s="53">
        <v>2414.6970546245552</v>
      </c>
      <c r="D15" s="53">
        <v>3968.4506224393854</v>
      </c>
      <c r="E15" s="53">
        <v>463.31595659255953</v>
      </c>
      <c r="F15" s="53">
        <v>3708.383400201797</v>
      </c>
      <c r="G15" s="53">
        <v>1659.43224143982</v>
      </c>
      <c r="H15" s="53">
        <v>1780.7459878921511</v>
      </c>
      <c r="I15" s="53">
        <v>674.98542404174805</v>
      </c>
    </row>
    <row r="16" spans="1:9" ht="20.45" customHeight="1" x14ac:dyDescent="0.2">
      <c r="A16" s="30" t="s">
        <v>10</v>
      </c>
      <c r="B16" s="53">
        <v>6978.5904805660248</v>
      </c>
      <c r="C16" s="53">
        <v>2000.6071838140492</v>
      </c>
      <c r="D16" s="53">
        <v>3539.3665039539324</v>
      </c>
      <c r="E16" s="53">
        <v>352.26013493537903</v>
      </c>
      <c r="F16" s="53">
        <v>3242.4413920640923</v>
      </c>
      <c r="G16" s="53">
        <v>1452.2876453399658</v>
      </c>
      <c r="H16" s="53">
        <v>2107.1768484115601</v>
      </c>
      <c r="I16" s="53">
        <v>733.64915275573674</v>
      </c>
    </row>
    <row r="17" spans="1:9" ht="20.45" customHeight="1" x14ac:dyDescent="0.2">
      <c r="A17" s="30" t="s">
        <v>11</v>
      </c>
      <c r="B17" s="53">
        <v>875.2291579246521</v>
      </c>
      <c r="C17" s="53">
        <v>202.9402742385864</v>
      </c>
      <c r="D17" s="53">
        <v>370.103844165802</v>
      </c>
      <c r="E17" s="53">
        <v>41.602343559265144</v>
      </c>
      <c r="F17" s="53">
        <v>419.31359148025518</v>
      </c>
      <c r="G17" s="53">
        <v>205.12004518508911</v>
      </c>
      <c r="H17" s="53">
        <v>281.91919040679926</v>
      </c>
      <c r="I17" s="53">
        <v>138.09466266632083</v>
      </c>
    </row>
    <row r="18" spans="1:9" s="6" customFormat="1" ht="20.45" customHeight="1" x14ac:dyDescent="0.2">
      <c r="A18" s="31" t="s">
        <v>12</v>
      </c>
      <c r="B18" s="25">
        <f>B6+B7</f>
        <v>4130789.1689232588</v>
      </c>
      <c r="C18" s="25">
        <f t="shared" ref="C18:I18" si="0">C6+C7</f>
        <v>1290726.2193080455</v>
      </c>
      <c r="D18" s="25">
        <f t="shared" si="0"/>
        <v>2093667.004960808</v>
      </c>
      <c r="E18" s="25">
        <f t="shared" si="0"/>
        <v>219802.35677695347</v>
      </c>
      <c r="F18" s="25">
        <f t="shared" si="0"/>
        <v>1948284.4730390292</v>
      </c>
      <c r="G18" s="25">
        <f t="shared" si="0"/>
        <v>662827.01978289732</v>
      </c>
      <c r="H18" s="25">
        <f t="shared" si="0"/>
        <v>893099.48993897776</v>
      </c>
      <c r="I18" s="25">
        <f t="shared" si="0"/>
        <v>361640.39807140321</v>
      </c>
    </row>
    <row r="20" spans="1:9" ht="12" customHeight="1" x14ac:dyDescent="0.2"/>
  </sheetData>
  <mergeCells count="4">
    <mergeCell ref="A1:I1"/>
    <mergeCell ref="A4:A5"/>
    <mergeCell ref="B4:B5"/>
    <mergeCell ref="C4:I4"/>
  </mergeCells>
  <conditionalFormatting sqref="B6:B18">
    <cfRule type="cellIs" dxfId="246" priority="19" stopIfTrue="1" operator="equal">
      <formula>0</formula>
    </cfRule>
  </conditionalFormatting>
  <conditionalFormatting sqref="C6:C18">
    <cfRule type="cellIs" dxfId="245" priority="7" stopIfTrue="1" operator="equal">
      <formula>0</formula>
    </cfRule>
  </conditionalFormatting>
  <conditionalFormatting sqref="D6:D18">
    <cfRule type="cellIs" dxfId="244" priority="6" stopIfTrue="1" operator="equal">
      <formula>0</formula>
    </cfRule>
  </conditionalFormatting>
  <conditionalFormatting sqref="E6:E18">
    <cfRule type="cellIs" dxfId="243" priority="5" stopIfTrue="1" operator="equal">
      <formula>0</formula>
    </cfRule>
  </conditionalFormatting>
  <conditionalFormatting sqref="F6:F18">
    <cfRule type="cellIs" dxfId="242" priority="4" stopIfTrue="1" operator="equal">
      <formula>0</formula>
    </cfRule>
  </conditionalFormatting>
  <conditionalFormatting sqref="G6:G18">
    <cfRule type="cellIs" dxfId="241" priority="3" stopIfTrue="1" operator="equal">
      <formula>0</formula>
    </cfRule>
  </conditionalFormatting>
  <conditionalFormatting sqref="H6:H18">
    <cfRule type="cellIs" dxfId="240" priority="2" stopIfTrue="1" operator="equal">
      <formula>0</formula>
    </cfRule>
  </conditionalFormatting>
  <conditionalFormatting sqref="I6:I18">
    <cfRule type="cellIs" dxfId="239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8FAB-0E3A-47D3-863E-D7052DB1384A}">
  <dimension ref="A1:J20"/>
  <sheetViews>
    <sheetView zoomScale="110" zoomScaleNormal="136" workbookViewId="0">
      <selection activeCell="C19" sqref="C19"/>
    </sheetView>
  </sheetViews>
  <sheetFormatPr defaultRowHeight="12.75" x14ac:dyDescent="0.2"/>
  <cols>
    <col min="1" max="1" width="25.140625" customWidth="1"/>
    <col min="2" max="2" width="12.85546875" customWidth="1"/>
    <col min="3" max="3" width="12.42578125" customWidth="1"/>
    <col min="4" max="10" width="10.5703125" customWidth="1"/>
  </cols>
  <sheetData>
    <row r="1" spans="1:10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2">
      <c r="A2" s="27"/>
      <c r="B2" s="28"/>
      <c r="C2" s="28"/>
      <c r="D2" s="28"/>
      <c r="E2" s="28"/>
      <c r="F2" s="28"/>
      <c r="G2" s="28"/>
      <c r="H2" s="28"/>
      <c r="I2" s="28"/>
      <c r="J2" s="28" t="s">
        <v>32</v>
      </c>
    </row>
    <row r="3" spans="1:10" ht="15.75" customHeight="1" x14ac:dyDescent="0.2">
      <c r="A3" s="27" t="s">
        <v>570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8.75" customHeight="1" x14ac:dyDescent="0.2">
      <c r="A4" s="129" t="s">
        <v>30</v>
      </c>
      <c r="B4" s="126" t="s">
        <v>353</v>
      </c>
      <c r="C4" s="138" t="s">
        <v>363</v>
      </c>
      <c r="D4" s="139"/>
      <c r="E4" s="139"/>
      <c r="F4" s="139"/>
      <c r="G4" s="139"/>
      <c r="H4" s="139"/>
      <c r="I4" s="139"/>
      <c r="J4" s="140"/>
    </row>
    <row r="5" spans="1:10" s="7" customFormat="1" ht="18.75" customHeight="1" x14ac:dyDescent="0.2">
      <c r="A5" s="130"/>
      <c r="B5" s="149"/>
      <c r="C5" s="122" t="s">
        <v>237</v>
      </c>
      <c r="D5" s="122"/>
      <c r="E5" s="122" t="s">
        <v>364</v>
      </c>
      <c r="F5" s="122"/>
      <c r="G5" s="122" t="s">
        <v>365</v>
      </c>
      <c r="H5" s="122"/>
      <c r="I5" s="122" t="s">
        <v>366</v>
      </c>
      <c r="J5" s="122"/>
    </row>
    <row r="6" spans="1:10" s="7" customFormat="1" ht="18.75" customHeight="1" x14ac:dyDescent="0.2">
      <c r="A6" s="131"/>
      <c r="B6" s="127"/>
      <c r="C6" s="34" t="s">
        <v>239</v>
      </c>
      <c r="D6" s="34" t="s">
        <v>240</v>
      </c>
      <c r="E6" s="81" t="s">
        <v>239</v>
      </c>
      <c r="F6" s="34" t="s">
        <v>240</v>
      </c>
      <c r="G6" s="78" t="s">
        <v>239</v>
      </c>
      <c r="H6" s="34" t="s">
        <v>240</v>
      </c>
      <c r="I6" s="78" t="s">
        <v>239</v>
      </c>
      <c r="J6" s="34" t="s">
        <v>240</v>
      </c>
    </row>
    <row r="7" spans="1:10" s="6" customFormat="1" ht="20.45" customHeight="1" x14ac:dyDescent="0.2">
      <c r="A7" s="69" t="s">
        <v>0</v>
      </c>
      <c r="B7" s="49">
        <v>131504.2034342289</v>
      </c>
      <c r="C7" s="49">
        <v>75541.842333674431</v>
      </c>
      <c r="D7" s="49">
        <v>55962.361100554466</v>
      </c>
      <c r="E7" s="49">
        <v>93.635576248168945</v>
      </c>
      <c r="F7" s="49">
        <v>15.205772399902344</v>
      </c>
      <c r="G7" s="49">
        <v>1746.384286403656</v>
      </c>
      <c r="H7" s="49">
        <v>2324.8698837757111</v>
      </c>
      <c r="I7" s="49">
        <v>11512.986329555511</v>
      </c>
      <c r="J7" s="49">
        <v>13435.61151099205</v>
      </c>
    </row>
    <row r="8" spans="1:10" s="6" customFormat="1" ht="20.45" customHeight="1" x14ac:dyDescent="0.2">
      <c r="A8" s="29" t="s">
        <v>1</v>
      </c>
      <c r="B8" s="51">
        <v>3999284.9654890299</v>
      </c>
      <c r="C8" s="51">
        <v>2716962.8383119106</v>
      </c>
      <c r="D8" s="51">
        <v>1282322.1271771193</v>
      </c>
      <c r="E8" s="51">
        <v>1102.5875492095947</v>
      </c>
      <c r="F8" s="51">
        <v>453.43598675727844</v>
      </c>
      <c r="G8" s="51">
        <v>48710.492359399796</v>
      </c>
      <c r="H8" s="51">
        <v>53252.844794631004</v>
      </c>
      <c r="I8" s="51">
        <v>313664.41406023502</v>
      </c>
      <c r="J8" s="51">
        <v>278200.24979817867</v>
      </c>
    </row>
    <row r="9" spans="1:10" ht="20.45" customHeight="1" x14ac:dyDescent="0.2">
      <c r="A9" s="30" t="s">
        <v>2</v>
      </c>
      <c r="B9" s="53">
        <v>425217.50214135647</v>
      </c>
      <c r="C9" s="53">
        <v>215133.08696615696</v>
      </c>
      <c r="D9" s="53">
        <v>210084.41517519951</v>
      </c>
      <c r="E9" s="53">
        <v>78.707235336303711</v>
      </c>
      <c r="F9" s="53">
        <v>106.21346735954285</v>
      </c>
      <c r="G9" s="53">
        <v>6252.3063004016876</v>
      </c>
      <c r="H9" s="53">
        <v>11323.210023283958</v>
      </c>
      <c r="I9" s="53">
        <v>34029.61579811573</v>
      </c>
      <c r="J9" s="53">
        <v>52367.518481612206</v>
      </c>
    </row>
    <row r="10" spans="1:10" ht="20.45" customHeight="1" x14ac:dyDescent="0.2">
      <c r="A10" s="30" t="s">
        <v>3</v>
      </c>
      <c r="B10" s="53">
        <v>648449.97284579277</v>
      </c>
      <c r="C10" s="53">
        <v>375106.99499225616</v>
      </c>
      <c r="D10" s="53">
        <v>273342.97785353661</v>
      </c>
      <c r="E10" s="53">
        <v>197.44291925430298</v>
      </c>
      <c r="F10" s="53">
        <v>122.78273963928223</v>
      </c>
      <c r="G10" s="53">
        <v>10485.645557403564</v>
      </c>
      <c r="H10" s="53">
        <v>13964.410926103592</v>
      </c>
      <c r="I10" s="53">
        <v>62573.004491448402</v>
      </c>
      <c r="J10" s="53">
        <v>69321.909766554832</v>
      </c>
    </row>
    <row r="11" spans="1:10" ht="20.45" customHeight="1" x14ac:dyDescent="0.2">
      <c r="A11" s="30" t="s">
        <v>4</v>
      </c>
      <c r="B11" s="53">
        <v>1430113.6145436764</v>
      </c>
      <c r="C11" s="53">
        <v>940286.10254204273</v>
      </c>
      <c r="D11" s="53">
        <v>489827.51200163364</v>
      </c>
      <c r="E11" s="53">
        <v>477.44798755645752</v>
      </c>
      <c r="F11" s="53">
        <v>87.980616092681885</v>
      </c>
      <c r="G11" s="53">
        <v>18340.495095133781</v>
      </c>
      <c r="H11" s="53">
        <v>19536.272876024246</v>
      </c>
      <c r="I11" s="53">
        <v>120067.42047989368</v>
      </c>
      <c r="J11" s="53">
        <v>106904.6521269083</v>
      </c>
    </row>
    <row r="12" spans="1:10" ht="20.45" customHeight="1" x14ac:dyDescent="0.2">
      <c r="A12" s="30" t="s">
        <v>5</v>
      </c>
      <c r="B12" s="53">
        <v>945303.95051133633</v>
      </c>
      <c r="C12" s="53">
        <v>716422.06539821625</v>
      </c>
      <c r="D12" s="53">
        <v>228881.88511312008</v>
      </c>
      <c r="E12" s="53">
        <v>246.2427806854248</v>
      </c>
      <c r="F12" s="53">
        <v>113.57529067993164</v>
      </c>
      <c r="G12" s="53">
        <v>9222.4395307302475</v>
      </c>
      <c r="H12" s="53">
        <v>6918.1914415359497</v>
      </c>
      <c r="I12" s="53">
        <v>64969.96467757225</v>
      </c>
      <c r="J12" s="53">
        <v>38550.202412962914</v>
      </c>
    </row>
    <row r="13" spans="1:10" ht="20.45" customHeight="1" x14ac:dyDescent="0.2">
      <c r="A13" s="30" t="s">
        <v>6</v>
      </c>
      <c r="B13" s="53">
        <v>427038.72920608521</v>
      </c>
      <c r="C13" s="53">
        <v>358944.28466391563</v>
      </c>
      <c r="D13" s="53">
        <v>68094.444542169571</v>
      </c>
      <c r="E13" s="53">
        <v>102.74662637710571</v>
      </c>
      <c r="F13" s="53">
        <v>16.673762321472168</v>
      </c>
      <c r="G13" s="53">
        <v>3441.4648568630219</v>
      </c>
      <c r="H13" s="53">
        <v>1320.7467346191406</v>
      </c>
      <c r="I13" s="53">
        <v>25458.284770488739</v>
      </c>
      <c r="J13" s="53">
        <v>9423.1911351680756</v>
      </c>
    </row>
    <row r="14" spans="1:10" ht="20.45" customHeight="1" x14ac:dyDescent="0.2">
      <c r="A14" s="30" t="s">
        <v>7</v>
      </c>
      <c r="B14" s="53">
        <v>81947.948482036591</v>
      </c>
      <c r="C14" s="53">
        <v>73091.887109518051</v>
      </c>
      <c r="D14" s="53">
        <v>8856.0613725185394</v>
      </c>
      <c r="E14" s="53">
        <v>0</v>
      </c>
      <c r="F14" s="53">
        <v>6.2101106643676758</v>
      </c>
      <c r="G14" s="53">
        <v>619.39953088760376</v>
      </c>
      <c r="H14" s="53">
        <v>162.58019971847534</v>
      </c>
      <c r="I14" s="53">
        <v>4285.2296650409698</v>
      </c>
      <c r="J14" s="53">
        <v>1105.6575403213501</v>
      </c>
    </row>
    <row r="15" spans="1:10" ht="20.45" customHeight="1" x14ac:dyDescent="0.2">
      <c r="A15" s="30" t="s">
        <v>8</v>
      </c>
      <c r="B15" s="53">
        <v>25962.588759422302</v>
      </c>
      <c r="C15" s="53">
        <v>23966.399901509285</v>
      </c>
      <c r="D15" s="53">
        <v>1996.1888579130173</v>
      </c>
      <c r="E15" s="53">
        <v>0</v>
      </c>
      <c r="F15" s="53">
        <v>0</v>
      </c>
      <c r="G15" s="53">
        <v>211.22124862670898</v>
      </c>
      <c r="H15" s="53">
        <v>27.43259334564209</v>
      </c>
      <c r="I15" s="53">
        <v>1399.3738317489624</v>
      </c>
      <c r="J15" s="53">
        <v>368.20274722576141</v>
      </c>
    </row>
    <row r="16" spans="1:10" ht="20.45" customHeight="1" x14ac:dyDescent="0.2">
      <c r="A16" s="30" t="s">
        <v>9</v>
      </c>
      <c r="B16" s="53">
        <v>7396.839360833168</v>
      </c>
      <c r="C16" s="53">
        <v>6639.9906512498856</v>
      </c>
      <c r="D16" s="53">
        <v>756.84870958328247</v>
      </c>
      <c r="E16" s="53">
        <v>0</v>
      </c>
      <c r="F16" s="53">
        <v>0</v>
      </c>
      <c r="G16" s="53">
        <v>109.13232374191284</v>
      </c>
      <c r="H16" s="53">
        <v>0</v>
      </c>
      <c r="I16" s="53">
        <v>461.36709570884705</v>
      </c>
      <c r="J16" s="53">
        <v>113.61299324035645</v>
      </c>
    </row>
    <row r="17" spans="1:10" ht="20.45" customHeight="1" x14ac:dyDescent="0.2">
      <c r="A17" s="30" t="s">
        <v>10</v>
      </c>
      <c r="B17" s="53">
        <v>6978.5904805660248</v>
      </c>
      <c r="C17" s="53">
        <v>6547.6714503765106</v>
      </c>
      <c r="D17" s="53">
        <v>430.91903018951416</v>
      </c>
      <c r="E17" s="53">
        <v>0</v>
      </c>
      <c r="F17" s="53">
        <v>0</v>
      </c>
      <c r="G17" s="53">
        <v>28.38791561126709</v>
      </c>
      <c r="H17" s="53">
        <v>0</v>
      </c>
      <c r="I17" s="53">
        <v>380.69167470932007</v>
      </c>
      <c r="J17" s="53">
        <v>45.302594184875488</v>
      </c>
    </row>
    <row r="18" spans="1:10" ht="20.45" customHeight="1" x14ac:dyDescent="0.2">
      <c r="A18" s="30" t="s">
        <v>11</v>
      </c>
      <c r="B18" s="53">
        <v>875.2291579246521</v>
      </c>
      <c r="C18" s="53">
        <v>824.35463666915894</v>
      </c>
      <c r="D18" s="53">
        <v>50.874521255493164</v>
      </c>
      <c r="E18" s="53">
        <v>0</v>
      </c>
      <c r="F18" s="53">
        <v>0</v>
      </c>
      <c r="G18" s="53">
        <v>0</v>
      </c>
      <c r="H18" s="53">
        <v>0</v>
      </c>
      <c r="I18" s="53">
        <v>39.461575508117676</v>
      </c>
      <c r="J18" s="53">
        <v>0</v>
      </c>
    </row>
    <row r="19" spans="1:10" s="6" customFormat="1" ht="20.45" customHeight="1" x14ac:dyDescent="0.2">
      <c r="A19" s="31" t="s">
        <v>12</v>
      </c>
      <c r="B19" s="25">
        <f>B7+B8</f>
        <v>4130789.1689232588</v>
      </c>
      <c r="C19" s="25">
        <f t="shared" ref="C19:J19" si="0">C7+C8</f>
        <v>2792504.6806455851</v>
      </c>
      <c r="D19" s="25">
        <f t="shared" si="0"/>
        <v>1338284.4882776737</v>
      </c>
      <c r="E19" s="25">
        <f t="shared" si="0"/>
        <v>1196.2231254577637</v>
      </c>
      <c r="F19" s="25">
        <f t="shared" si="0"/>
        <v>468.64175915718079</v>
      </c>
      <c r="G19" s="25">
        <f t="shared" si="0"/>
        <v>50456.876645803452</v>
      </c>
      <c r="H19" s="25">
        <f t="shared" si="0"/>
        <v>55577.714678406715</v>
      </c>
      <c r="I19" s="25">
        <f t="shared" si="0"/>
        <v>325177.40038979053</v>
      </c>
      <c r="J19" s="25">
        <f t="shared" si="0"/>
        <v>291635.86130917072</v>
      </c>
    </row>
    <row r="20" spans="1:10" ht="12" customHeight="1" x14ac:dyDescent="0.2"/>
  </sheetData>
  <mergeCells count="8">
    <mergeCell ref="A1:J1"/>
    <mergeCell ref="A4:A6"/>
    <mergeCell ref="B4:B6"/>
    <mergeCell ref="C4:J4"/>
    <mergeCell ref="C5:D5"/>
    <mergeCell ref="E5:F5"/>
    <mergeCell ref="G5:H5"/>
    <mergeCell ref="I5:J5"/>
  </mergeCells>
  <conditionalFormatting sqref="B7:B19">
    <cfRule type="cellIs" dxfId="238" priority="10" stopIfTrue="1" operator="equal">
      <formula>0</formula>
    </cfRule>
  </conditionalFormatting>
  <conditionalFormatting sqref="C7:C19">
    <cfRule type="cellIs" dxfId="237" priority="9" stopIfTrue="1" operator="equal">
      <formula>0</formula>
    </cfRule>
  </conditionalFormatting>
  <conditionalFormatting sqref="D7:D19">
    <cfRule type="cellIs" dxfId="236" priority="8" stopIfTrue="1" operator="equal">
      <formula>0</formula>
    </cfRule>
  </conditionalFormatting>
  <conditionalFormatting sqref="E7:E19">
    <cfRule type="cellIs" dxfId="235" priority="7" stopIfTrue="1" operator="equal">
      <formula>0</formula>
    </cfRule>
  </conditionalFormatting>
  <conditionalFormatting sqref="F7:F19">
    <cfRule type="cellIs" dxfId="234" priority="6" stopIfTrue="1" operator="equal">
      <formula>0</formula>
    </cfRule>
  </conditionalFormatting>
  <conditionalFormatting sqref="G7:G19">
    <cfRule type="cellIs" dxfId="233" priority="5" stopIfTrue="1" operator="equal">
      <formula>0</formula>
    </cfRule>
  </conditionalFormatting>
  <conditionalFormatting sqref="H7:H19">
    <cfRule type="cellIs" dxfId="232" priority="4" stopIfTrue="1" operator="equal">
      <formula>0</formula>
    </cfRule>
  </conditionalFormatting>
  <conditionalFormatting sqref="I7:I19">
    <cfRule type="cellIs" dxfId="231" priority="3" stopIfTrue="1" operator="equal">
      <formula>0</formula>
    </cfRule>
  </conditionalFormatting>
  <conditionalFormatting sqref="J7:J19">
    <cfRule type="cellIs" dxfId="230" priority="2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3E5D-0F48-4679-B8D7-4F2D5DCC789F}">
  <dimension ref="A1:I20"/>
  <sheetViews>
    <sheetView zoomScale="99" zoomScaleNormal="160" workbookViewId="0">
      <selection activeCell="C19" sqref="C19"/>
    </sheetView>
  </sheetViews>
  <sheetFormatPr defaultRowHeight="12.75" x14ac:dyDescent="0.2"/>
  <cols>
    <col min="1" max="1" width="23.85546875" bestFit="1" customWidth="1"/>
    <col min="2" max="3" width="11.85546875" customWidth="1"/>
    <col min="4" max="5" width="10.5703125" customWidth="1"/>
    <col min="6" max="6" width="12.42578125" customWidth="1"/>
    <col min="7" max="7" width="10.5703125" customWidth="1"/>
    <col min="8" max="8" width="11.85546875" customWidth="1"/>
    <col min="9" max="9" width="11.42578125" customWidth="1"/>
  </cols>
  <sheetData>
    <row r="1" spans="1:9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</row>
    <row r="2" spans="1:9" x14ac:dyDescent="0.2">
      <c r="A2" s="27"/>
      <c r="B2" s="28"/>
      <c r="C2" s="28"/>
      <c r="D2" s="28"/>
      <c r="E2" s="28"/>
      <c r="F2" s="28"/>
      <c r="G2" s="28"/>
      <c r="H2" s="28"/>
      <c r="I2" s="28" t="s">
        <v>32</v>
      </c>
    </row>
    <row r="3" spans="1:9" x14ac:dyDescent="0.2">
      <c r="A3" s="27" t="s">
        <v>571</v>
      </c>
      <c r="B3" s="27"/>
      <c r="C3" s="27"/>
      <c r="D3" s="27"/>
      <c r="E3" s="27"/>
      <c r="F3" s="27"/>
      <c r="G3" s="27"/>
      <c r="H3" s="27"/>
      <c r="I3" s="27"/>
    </row>
    <row r="4" spans="1:9" ht="16.5" customHeight="1" x14ac:dyDescent="0.2">
      <c r="A4" s="129" t="s">
        <v>30</v>
      </c>
      <c r="B4" s="138" t="s">
        <v>363</v>
      </c>
      <c r="C4" s="139"/>
      <c r="D4" s="139"/>
      <c r="E4" s="139"/>
      <c r="F4" s="139"/>
      <c r="G4" s="139"/>
      <c r="H4" s="139"/>
      <c r="I4" s="140"/>
    </row>
    <row r="5" spans="1:9" s="7" customFormat="1" ht="16.5" customHeight="1" x14ac:dyDescent="0.2">
      <c r="A5" s="130"/>
      <c r="B5" s="122" t="s">
        <v>367</v>
      </c>
      <c r="C5" s="122"/>
      <c r="D5" s="122" t="s">
        <v>368</v>
      </c>
      <c r="E5" s="122"/>
      <c r="F5" s="122" t="s">
        <v>369</v>
      </c>
      <c r="G5" s="122"/>
      <c r="H5" s="122" t="s">
        <v>370</v>
      </c>
      <c r="I5" s="122"/>
    </row>
    <row r="6" spans="1:9" s="7" customFormat="1" ht="16.5" customHeight="1" x14ac:dyDescent="0.2">
      <c r="A6" s="131"/>
      <c r="B6" s="34" t="s">
        <v>239</v>
      </c>
      <c r="C6" s="34" t="s">
        <v>240</v>
      </c>
      <c r="D6" s="81" t="s">
        <v>239</v>
      </c>
      <c r="E6" s="34" t="s">
        <v>240</v>
      </c>
      <c r="F6" s="34" t="s">
        <v>239</v>
      </c>
      <c r="G6" s="34" t="s">
        <v>240</v>
      </c>
      <c r="H6" s="34" t="s">
        <v>239</v>
      </c>
      <c r="I6" s="34" t="s">
        <v>240</v>
      </c>
    </row>
    <row r="7" spans="1:9" s="6" customFormat="1" ht="20.45" customHeight="1" x14ac:dyDescent="0.2">
      <c r="A7" s="69" t="s">
        <v>0</v>
      </c>
      <c r="B7" s="49">
        <v>20970.707454323769</v>
      </c>
      <c r="C7" s="49">
        <v>17893.742666006088</v>
      </c>
      <c r="D7" s="49">
        <v>19529.355146288872</v>
      </c>
      <c r="E7" s="49">
        <v>11622.566932797432</v>
      </c>
      <c r="F7" s="49">
        <v>12170.645822882652</v>
      </c>
      <c r="G7" s="49">
        <v>6289.8049006462097</v>
      </c>
      <c r="H7" s="49">
        <v>9518.1277179718018</v>
      </c>
      <c r="I7" s="49">
        <v>4380.5594339370728</v>
      </c>
    </row>
    <row r="8" spans="1:9" s="6" customFormat="1" ht="20.45" customHeight="1" x14ac:dyDescent="0.2">
      <c r="A8" s="29" t="s">
        <v>1</v>
      </c>
      <c r="B8" s="51">
        <v>631072.8073759079</v>
      </c>
      <c r="C8" s="51">
        <v>390164.06247353554</v>
      </c>
      <c r="D8" s="51">
        <v>712376.43890094757</v>
      </c>
      <c r="E8" s="51">
        <v>280617.1499068737</v>
      </c>
      <c r="F8" s="51">
        <v>567035.18909704685</v>
      </c>
      <c r="G8" s="51">
        <v>171160.59078752995</v>
      </c>
      <c r="H8" s="51">
        <v>443000.90896916389</v>
      </c>
      <c r="I8" s="51">
        <v>108473.79342961311</v>
      </c>
    </row>
    <row r="9" spans="1:9" ht="20.45" customHeight="1" x14ac:dyDescent="0.2">
      <c r="A9" s="30" t="s">
        <v>2</v>
      </c>
      <c r="B9" s="53">
        <v>54938.393180608749</v>
      </c>
      <c r="C9" s="53">
        <v>61661.25516808033</v>
      </c>
      <c r="D9" s="53">
        <v>50327.837258696556</v>
      </c>
      <c r="E9" s="53">
        <v>39476.709633588791</v>
      </c>
      <c r="F9" s="53">
        <v>36067.796147704124</v>
      </c>
      <c r="G9" s="53">
        <v>26592.172854781151</v>
      </c>
      <c r="H9" s="53">
        <v>33438.431045293808</v>
      </c>
      <c r="I9" s="53">
        <v>18557.33554649353</v>
      </c>
    </row>
    <row r="10" spans="1:9" ht="20.45" customHeight="1" x14ac:dyDescent="0.2">
      <c r="A10" s="30" t="s">
        <v>3</v>
      </c>
      <c r="B10" s="53">
        <v>97635.303937673569</v>
      </c>
      <c r="C10" s="53">
        <v>81562.565993309021</v>
      </c>
      <c r="D10" s="53">
        <v>87857.294289827347</v>
      </c>
      <c r="E10" s="53">
        <v>53811.6297082901</v>
      </c>
      <c r="F10" s="53">
        <v>64051.27460873127</v>
      </c>
      <c r="G10" s="53">
        <v>32993.533627152443</v>
      </c>
      <c r="H10" s="53">
        <v>52307.029187917709</v>
      </c>
      <c r="I10" s="53">
        <v>21566.145092487335</v>
      </c>
    </row>
    <row r="11" spans="1:9" ht="20.45" customHeight="1" x14ac:dyDescent="0.2">
      <c r="A11" s="30" t="s">
        <v>4</v>
      </c>
      <c r="B11" s="53">
        <v>234395.63392603397</v>
      </c>
      <c r="C11" s="53">
        <v>153532.93516099453</v>
      </c>
      <c r="D11" s="53">
        <v>243517.78916633129</v>
      </c>
      <c r="E11" s="53">
        <v>108150.81875765324</v>
      </c>
      <c r="F11" s="53">
        <v>185702.01649320126</v>
      </c>
      <c r="G11" s="53">
        <v>63014.958093523979</v>
      </c>
      <c r="H11" s="53">
        <v>137785.29939389229</v>
      </c>
      <c r="I11" s="53">
        <v>38599.894370436668</v>
      </c>
    </row>
    <row r="12" spans="1:9" ht="20.45" customHeight="1" x14ac:dyDescent="0.2">
      <c r="A12" s="30" t="s">
        <v>5</v>
      </c>
      <c r="B12" s="53">
        <v>156731.56163263321</v>
      </c>
      <c r="C12" s="53">
        <v>71186.262208580971</v>
      </c>
      <c r="D12" s="53">
        <v>200001.46796345711</v>
      </c>
      <c r="E12" s="53">
        <v>57638.078731179237</v>
      </c>
      <c r="F12" s="53">
        <v>161678.72007632256</v>
      </c>
      <c r="G12" s="53">
        <v>34292.475621461868</v>
      </c>
      <c r="H12" s="53">
        <v>123571.66873681545</v>
      </c>
      <c r="I12" s="53">
        <v>20183.099406719208</v>
      </c>
    </row>
    <row r="13" spans="1:9" ht="20.45" customHeight="1" x14ac:dyDescent="0.2">
      <c r="A13" s="30" t="s">
        <v>6</v>
      </c>
      <c r="B13" s="53">
        <v>68225.656188964844</v>
      </c>
      <c r="C13" s="53">
        <v>19225.988468408585</v>
      </c>
      <c r="D13" s="53">
        <v>99825.24881708622</v>
      </c>
      <c r="E13" s="53">
        <v>18175.831468939781</v>
      </c>
      <c r="F13" s="53">
        <v>90913.543310642242</v>
      </c>
      <c r="G13" s="53">
        <v>12060.218001842499</v>
      </c>
      <c r="H13" s="53">
        <v>70977.340093493462</v>
      </c>
      <c r="I13" s="53">
        <v>7871.794970870018</v>
      </c>
    </row>
    <row r="14" spans="1:9" ht="20.45" customHeight="1" x14ac:dyDescent="0.2">
      <c r="A14" s="30" t="s">
        <v>7</v>
      </c>
      <c r="B14" s="53">
        <v>12800.840857386589</v>
      </c>
      <c r="C14" s="53">
        <v>2166.6387280225754</v>
      </c>
      <c r="D14" s="53">
        <v>20643.350434064865</v>
      </c>
      <c r="E14" s="53">
        <v>2646.4743150472641</v>
      </c>
      <c r="F14" s="53">
        <v>18517.141526937485</v>
      </c>
      <c r="G14" s="53">
        <v>1543.4235148429871</v>
      </c>
      <c r="H14" s="53">
        <v>16225.925095200539</v>
      </c>
      <c r="I14" s="53">
        <v>1225.0769639015198</v>
      </c>
    </row>
    <row r="15" spans="1:9" ht="20.45" customHeight="1" x14ac:dyDescent="0.2">
      <c r="A15" s="30" t="s">
        <v>8</v>
      </c>
      <c r="B15" s="53">
        <v>3781.9179689884186</v>
      </c>
      <c r="C15" s="53">
        <v>543.46832370758057</v>
      </c>
      <c r="D15" s="53">
        <v>6334.5350760221481</v>
      </c>
      <c r="E15" s="53">
        <v>406.97017526626587</v>
      </c>
      <c r="F15" s="53">
        <v>6702.9747245311737</v>
      </c>
      <c r="G15" s="53">
        <v>434.85096263885498</v>
      </c>
      <c r="H15" s="53">
        <v>5536.3770515918732</v>
      </c>
      <c r="I15" s="53">
        <v>215.26405572891235</v>
      </c>
    </row>
    <row r="16" spans="1:9" ht="20.45" customHeight="1" x14ac:dyDescent="0.2">
      <c r="A16" s="30" t="s">
        <v>9</v>
      </c>
      <c r="B16" s="53">
        <v>1037.6185374259949</v>
      </c>
      <c r="C16" s="53">
        <v>156.82927989959717</v>
      </c>
      <c r="D16" s="53">
        <v>1710.6501232385635</v>
      </c>
      <c r="E16" s="53">
        <v>153.26098775863647</v>
      </c>
      <c r="F16" s="53">
        <v>1837.7043626308441</v>
      </c>
      <c r="G16" s="53">
        <v>172.81306457519531</v>
      </c>
      <c r="H16" s="53">
        <v>1483.5182085037231</v>
      </c>
      <c r="I16" s="53">
        <v>160.33238410949707</v>
      </c>
    </row>
    <row r="17" spans="1:9" ht="20.45" customHeight="1" x14ac:dyDescent="0.2">
      <c r="A17" s="30" t="s">
        <v>10</v>
      </c>
      <c r="B17" s="53">
        <v>1371.4415247440338</v>
      </c>
      <c r="C17" s="53">
        <v>100.44578552246094</v>
      </c>
      <c r="D17" s="53">
        <v>1843.9345444440842</v>
      </c>
      <c r="E17" s="53">
        <v>157.37612915039063</v>
      </c>
      <c r="F17" s="53">
        <v>1494.3399856090546</v>
      </c>
      <c r="G17" s="53">
        <v>56.145046710968018</v>
      </c>
      <c r="H17" s="53">
        <v>1428.8758052587509</v>
      </c>
      <c r="I17" s="53">
        <v>71.649474620819092</v>
      </c>
    </row>
    <row r="18" spans="1:9" ht="20.45" customHeight="1" x14ac:dyDescent="0.2">
      <c r="A18" s="30" t="s">
        <v>11</v>
      </c>
      <c r="B18" s="53">
        <v>154.43962144851685</v>
      </c>
      <c r="C18" s="53">
        <v>27.673357009887695</v>
      </c>
      <c r="D18" s="53">
        <v>314.33122777938843</v>
      </c>
      <c r="E18" s="53">
        <v>0</v>
      </c>
      <c r="F18" s="53">
        <v>69.677860736846924</v>
      </c>
      <c r="G18" s="53">
        <v>0</v>
      </c>
      <c r="H18" s="53">
        <v>246.44435119628906</v>
      </c>
      <c r="I18" s="53">
        <v>23.201164245605469</v>
      </c>
    </row>
    <row r="19" spans="1:9" s="6" customFormat="1" ht="20.45" customHeight="1" x14ac:dyDescent="0.2">
      <c r="A19" s="31" t="s">
        <v>12</v>
      </c>
      <c r="B19" s="25">
        <f>B7+B8</f>
        <v>652043.51483023167</v>
      </c>
      <c r="C19" s="25">
        <f t="shared" ref="C19:I19" si="0">C7+C8</f>
        <v>408057.80513954163</v>
      </c>
      <c r="D19" s="25">
        <f t="shared" si="0"/>
        <v>731905.79404723644</v>
      </c>
      <c r="E19" s="25">
        <f t="shared" si="0"/>
        <v>292239.71683967113</v>
      </c>
      <c r="F19" s="25">
        <f t="shared" si="0"/>
        <v>579205.8349199295</v>
      </c>
      <c r="G19" s="25">
        <f t="shared" si="0"/>
        <v>177450.39568817616</v>
      </c>
      <c r="H19" s="25">
        <f t="shared" si="0"/>
        <v>452519.0366871357</v>
      </c>
      <c r="I19" s="25">
        <f t="shared" si="0"/>
        <v>112854.35286355019</v>
      </c>
    </row>
    <row r="20" spans="1:9" ht="12" customHeight="1" x14ac:dyDescent="0.2"/>
  </sheetData>
  <mergeCells count="7">
    <mergeCell ref="A1:I1"/>
    <mergeCell ref="A4:A6"/>
    <mergeCell ref="B4:I4"/>
    <mergeCell ref="B5:C5"/>
    <mergeCell ref="D5:E5"/>
    <mergeCell ref="F5:G5"/>
    <mergeCell ref="H5:I5"/>
  </mergeCells>
  <conditionalFormatting sqref="B7:B19">
    <cfRule type="cellIs" dxfId="229" priority="9" stopIfTrue="1" operator="equal">
      <formula>0</formula>
    </cfRule>
  </conditionalFormatting>
  <conditionalFormatting sqref="C7:C19">
    <cfRule type="cellIs" dxfId="228" priority="8" stopIfTrue="1" operator="equal">
      <formula>0</formula>
    </cfRule>
  </conditionalFormatting>
  <conditionalFormatting sqref="D7:D19">
    <cfRule type="cellIs" dxfId="227" priority="7" stopIfTrue="1" operator="equal">
      <formula>0</formula>
    </cfRule>
  </conditionalFormatting>
  <conditionalFormatting sqref="E7:E19">
    <cfRule type="cellIs" dxfId="226" priority="6" stopIfTrue="1" operator="equal">
      <formula>0</formula>
    </cfRule>
  </conditionalFormatting>
  <conditionalFormatting sqref="F7:F19">
    <cfRule type="cellIs" dxfId="225" priority="5" stopIfTrue="1" operator="equal">
      <formula>0</formula>
    </cfRule>
  </conditionalFormatting>
  <conditionalFormatting sqref="G7:G19">
    <cfRule type="cellIs" dxfId="224" priority="4" stopIfTrue="1" operator="equal">
      <formula>0</formula>
    </cfRule>
  </conditionalFormatting>
  <conditionalFormatting sqref="H7:H19">
    <cfRule type="cellIs" dxfId="223" priority="3" stopIfTrue="1" operator="equal">
      <formula>0</formula>
    </cfRule>
  </conditionalFormatting>
  <conditionalFormatting sqref="I7:I19">
    <cfRule type="cellIs" dxfId="222" priority="2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B0C5-5439-455E-974C-3840F14B6F94}">
  <dimension ref="A1:J20"/>
  <sheetViews>
    <sheetView zoomScale="94" zoomScaleNormal="117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4" customWidth="1"/>
    <col min="3" max="3" width="15" customWidth="1"/>
    <col min="4" max="4" width="11.42578125" customWidth="1"/>
    <col min="5" max="8" width="10.5703125" customWidth="1"/>
    <col min="9" max="9" width="11.85546875" customWidth="1"/>
    <col min="10" max="10" width="10.5703125" customWidth="1"/>
  </cols>
  <sheetData>
    <row r="1" spans="1:10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2">
      <c r="A2" s="27"/>
      <c r="B2" s="28"/>
      <c r="C2" s="28"/>
      <c r="D2" s="28"/>
      <c r="E2" s="28"/>
      <c r="F2" s="28"/>
      <c r="G2" s="28"/>
      <c r="H2" s="28"/>
      <c r="I2" s="28"/>
      <c r="J2" s="28" t="s">
        <v>32</v>
      </c>
    </row>
    <row r="3" spans="1:10" x14ac:dyDescent="0.2">
      <c r="A3" s="27" t="s">
        <v>594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8.75" customHeight="1" x14ac:dyDescent="0.2">
      <c r="A4" s="123" t="s">
        <v>560</v>
      </c>
      <c r="B4" s="121" t="s">
        <v>561</v>
      </c>
      <c r="C4" s="122" t="s">
        <v>643</v>
      </c>
      <c r="D4" s="122"/>
      <c r="E4" s="122"/>
      <c r="F4" s="122"/>
      <c r="G4" s="122"/>
      <c r="H4" s="122"/>
      <c r="I4" s="122"/>
      <c r="J4" s="122"/>
    </row>
    <row r="5" spans="1:10" s="7" customFormat="1" ht="18.75" customHeight="1" x14ac:dyDescent="0.2">
      <c r="A5" s="123"/>
      <c r="B5" s="121"/>
      <c r="C5" s="122" t="s">
        <v>237</v>
      </c>
      <c r="D5" s="122"/>
      <c r="E5" s="122" t="s">
        <v>364</v>
      </c>
      <c r="F5" s="122"/>
      <c r="G5" s="122" t="s">
        <v>365</v>
      </c>
      <c r="H5" s="122"/>
      <c r="I5" s="122" t="s">
        <v>366</v>
      </c>
      <c r="J5" s="122"/>
    </row>
    <row r="6" spans="1:10" s="7" customFormat="1" ht="28.7" customHeight="1" x14ac:dyDescent="0.2">
      <c r="A6" s="123"/>
      <c r="B6" s="121"/>
      <c r="C6" s="34" t="s">
        <v>239</v>
      </c>
      <c r="D6" s="34" t="s">
        <v>240</v>
      </c>
      <c r="E6" s="34" t="s">
        <v>239</v>
      </c>
      <c r="F6" s="34" t="s">
        <v>240</v>
      </c>
      <c r="G6" s="34" t="s">
        <v>239</v>
      </c>
      <c r="H6" s="34" t="s">
        <v>240</v>
      </c>
      <c r="I6" s="34" t="s">
        <v>239</v>
      </c>
      <c r="J6" s="34" t="s">
        <v>240</v>
      </c>
    </row>
    <row r="7" spans="1:10" s="6" customFormat="1" ht="20.45" customHeight="1" x14ac:dyDescent="0.2">
      <c r="A7" s="69" t="s">
        <v>0</v>
      </c>
      <c r="B7" s="50">
        <v>8412.8188185624476</v>
      </c>
      <c r="C7" s="50">
        <v>5828.8556237377925</v>
      </c>
      <c r="D7" s="50">
        <v>2583.9631948246479</v>
      </c>
      <c r="E7" s="50">
        <v>2.7962372583328214</v>
      </c>
      <c r="F7" s="50">
        <v>0.59213755096760678</v>
      </c>
      <c r="G7" s="50">
        <v>76.297126147175319</v>
      </c>
      <c r="H7" s="50">
        <v>94.803807029591852</v>
      </c>
      <c r="I7" s="50">
        <v>823.42836740326402</v>
      </c>
      <c r="J7" s="50">
        <v>580.06737874195323</v>
      </c>
    </row>
    <row r="8" spans="1:10" s="6" customFormat="1" ht="20.45" customHeight="1" x14ac:dyDescent="0.2">
      <c r="A8" s="29" t="s">
        <v>1</v>
      </c>
      <c r="B8" s="52">
        <v>2209997.0992301041</v>
      </c>
      <c r="C8" s="52">
        <v>1717753.0688107661</v>
      </c>
      <c r="D8" s="52">
        <v>492244.03041931684</v>
      </c>
      <c r="E8" s="52">
        <v>501.82682292022508</v>
      </c>
      <c r="F8" s="52">
        <v>179.63127492760651</v>
      </c>
      <c r="G8" s="52">
        <v>21802.940074320773</v>
      </c>
      <c r="H8" s="52">
        <v>15681.91479798725</v>
      </c>
      <c r="I8" s="52">
        <v>149640.34197644817</v>
      </c>
      <c r="J8" s="52">
        <v>90223.520194192504</v>
      </c>
    </row>
    <row r="9" spans="1:10" ht="20.45" customHeight="1" x14ac:dyDescent="0.2">
      <c r="A9" s="30" t="s">
        <v>2</v>
      </c>
      <c r="B9" s="54">
        <v>25509.30681455832</v>
      </c>
      <c r="C9" s="54">
        <v>13208.484787626106</v>
      </c>
      <c r="D9" s="54">
        <v>12300.822026932154</v>
      </c>
      <c r="E9" s="54">
        <v>5.8025734284467774</v>
      </c>
      <c r="F9" s="54">
        <v>7.0398815507779462</v>
      </c>
      <c r="G9" s="54">
        <v>385.92551130937358</v>
      </c>
      <c r="H9" s="54">
        <v>669.92406949552071</v>
      </c>
      <c r="I9" s="54">
        <v>2136.867795059502</v>
      </c>
      <c r="J9" s="54">
        <v>3065.7560674647762</v>
      </c>
    </row>
    <row r="10" spans="1:10" ht="20.45" customHeight="1" x14ac:dyDescent="0.2">
      <c r="A10" s="30" t="s">
        <v>3</v>
      </c>
      <c r="B10" s="54">
        <v>96299.252528078199</v>
      </c>
      <c r="C10" s="54">
        <v>56201.461806195235</v>
      </c>
      <c r="D10" s="54">
        <v>40097.790721883612</v>
      </c>
      <c r="E10" s="54">
        <v>27.444675636727506</v>
      </c>
      <c r="F10" s="54">
        <v>19.13418986015153</v>
      </c>
      <c r="G10" s="54">
        <v>1545.7579321755668</v>
      </c>
      <c r="H10" s="54">
        <v>2026.3881584742833</v>
      </c>
      <c r="I10" s="54">
        <v>9300.7549426230235</v>
      </c>
      <c r="J10" s="54">
        <v>10183.922658072184</v>
      </c>
    </row>
    <row r="11" spans="1:10" ht="20.45" customHeight="1" x14ac:dyDescent="0.2">
      <c r="A11" s="30" t="s">
        <v>4</v>
      </c>
      <c r="B11" s="54">
        <v>478190.54056723299</v>
      </c>
      <c r="C11" s="54">
        <v>318015.88494608441</v>
      </c>
      <c r="D11" s="54">
        <v>160174.65562114489</v>
      </c>
      <c r="E11" s="54">
        <v>151.66012182301571</v>
      </c>
      <c r="F11" s="54">
        <v>32.277841876503842</v>
      </c>
      <c r="G11" s="54">
        <v>5985.7169174006358</v>
      </c>
      <c r="H11" s="54">
        <v>6178.7030143271713</v>
      </c>
      <c r="I11" s="54">
        <v>39326.98983959511</v>
      </c>
      <c r="J11" s="54">
        <v>34325.187430741578</v>
      </c>
    </row>
    <row r="12" spans="1:10" ht="20.45" customHeight="1" x14ac:dyDescent="0.2">
      <c r="A12" s="30" t="s">
        <v>5</v>
      </c>
      <c r="B12" s="54">
        <v>660203.18678223237</v>
      </c>
      <c r="C12" s="54">
        <v>503953.01246153715</v>
      </c>
      <c r="D12" s="54">
        <v>156250.17432070876</v>
      </c>
      <c r="E12" s="54">
        <v>168.87676699365394</v>
      </c>
      <c r="F12" s="54">
        <v>83.829118450138751</v>
      </c>
      <c r="G12" s="54">
        <v>6370.0546661059643</v>
      </c>
      <c r="H12" s="54">
        <v>4642.9576379562941</v>
      </c>
      <c r="I12" s="54">
        <v>44946.46080686622</v>
      </c>
      <c r="J12" s="54">
        <v>25927.598273328775</v>
      </c>
    </row>
    <row r="13" spans="1:10" ht="20.45" customHeight="1" x14ac:dyDescent="0.2">
      <c r="A13" s="30" t="s">
        <v>6</v>
      </c>
      <c r="B13" s="54">
        <v>576346.75972670107</v>
      </c>
      <c r="C13" s="54">
        <v>487200.68013439805</v>
      </c>
      <c r="D13" s="54">
        <v>89146.079592312482</v>
      </c>
      <c r="E13" s="54">
        <v>148.04268503838091</v>
      </c>
      <c r="F13" s="54">
        <v>23.136420484650444</v>
      </c>
      <c r="G13" s="54">
        <v>4654.5290977726172</v>
      </c>
      <c r="H13" s="54">
        <v>1668.6303706469416</v>
      </c>
      <c r="I13" s="54">
        <v>34103.225528478433</v>
      </c>
      <c r="J13" s="54">
        <v>12183.796668265415</v>
      </c>
    </row>
    <row r="14" spans="1:10" ht="20.45" customHeight="1" x14ac:dyDescent="0.2">
      <c r="A14" s="30" t="s">
        <v>7</v>
      </c>
      <c r="B14" s="54">
        <v>194230.78163649273</v>
      </c>
      <c r="C14" s="54">
        <v>173616.43295486065</v>
      </c>
      <c r="D14" s="54">
        <v>20614.348681633001</v>
      </c>
      <c r="E14" s="54"/>
      <c r="F14" s="54">
        <v>14.213822705384018</v>
      </c>
      <c r="G14" s="54">
        <v>1458.0891460550163</v>
      </c>
      <c r="H14" s="54">
        <v>395.76836153961182</v>
      </c>
      <c r="I14" s="54">
        <v>10079.773495393196</v>
      </c>
      <c r="J14" s="54">
        <v>2536.1187926403468</v>
      </c>
    </row>
    <row r="15" spans="1:10" ht="20.45" customHeight="1" x14ac:dyDescent="0.2">
      <c r="A15" s="30" t="s">
        <v>8</v>
      </c>
      <c r="B15" s="54">
        <v>88368.61308094667</v>
      </c>
      <c r="C15" s="54">
        <v>81611.877655030301</v>
      </c>
      <c r="D15" s="54">
        <v>6756.7354259161966</v>
      </c>
      <c r="E15" s="54"/>
      <c r="F15" s="54"/>
      <c r="G15" s="54">
        <v>729.0946769472265</v>
      </c>
      <c r="H15" s="54">
        <v>99.543185547408029</v>
      </c>
      <c r="I15" s="54">
        <v>4761.8219449043036</v>
      </c>
      <c r="J15" s="54">
        <v>1225.7651656645874</v>
      </c>
    </row>
    <row r="16" spans="1:10" ht="20.45" customHeight="1" x14ac:dyDescent="0.2">
      <c r="A16" s="30" t="s">
        <v>9</v>
      </c>
      <c r="B16" s="54">
        <v>32799.664009905689</v>
      </c>
      <c r="C16" s="54">
        <v>29414.179534495222</v>
      </c>
      <c r="D16" s="54">
        <v>3385.4844754104711</v>
      </c>
      <c r="E16" s="54"/>
      <c r="F16" s="54"/>
      <c r="G16" s="54">
        <v>492.18097764966706</v>
      </c>
      <c r="H16" s="54"/>
      <c r="I16" s="54">
        <v>2005.9047558625987</v>
      </c>
      <c r="J16" s="54">
        <v>509.80690907203774</v>
      </c>
    </row>
    <row r="17" spans="1:10" ht="20.45" customHeight="1" x14ac:dyDescent="0.2">
      <c r="A17" s="30" t="s">
        <v>10</v>
      </c>
      <c r="B17" s="54">
        <v>44892.868019330337</v>
      </c>
      <c r="C17" s="54">
        <v>42195.336806404739</v>
      </c>
      <c r="D17" s="54">
        <v>2697.5312129255972</v>
      </c>
      <c r="E17" s="54"/>
      <c r="F17" s="54"/>
      <c r="G17" s="54">
        <v>181.59114890470573</v>
      </c>
      <c r="H17" s="54"/>
      <c r="I17" s="54">
        <v>2343.6692611140361</v>
      </c>
      <c r="J17" s="54">
        <v>265.56822894252974</v>
      </c>
    </row>
    <row r="18" spans="1:10" ht="20.45" customHeight="1" x14ac:dyDescent="0.2">
      <c r="A18" s="30" t="s">
        <v>11</v>
      </c>
      <c r="B18" s="54">
        <v>13156.126064608372</v>
      </c>
      <c r="C18" s="54">
        <v>12335.717724159344</v>
      </c>
      <c r="D18" s="54">
        <v>820.40834044902294</v>
      </c>
      <c r="E18" s="54"/>
      <c r="F18" s="54"/>
      <c r="G18" s="54"/>
      <c r="H18" s="54"/>
      <c r="I18" s="54">
        <v>634.87360655235261</v>
      </c>
      <c r="J18" s="54"/>
    </row>
    <row r="19" spans="1:10" s="6" customFormat="1" ht="20.45" customHeight="1" x14ac:dyDescent="0.2">
      <c r="A19" s="31" t="s">
        <v>12</v>
      </c>
      <c r="B19" s="26">
        <f>B7+B8</f>
        <v>2218409.9180486668</v>
      </c>
      <c r="C19" s="26">
        <f t="shared" ref="C19:J19" si="0">C7+C8</f>
        <v>1723581.924434504</v>
      </c>
      <c r="D19" s="26">
        <f t="shared" si="0"/>
        <v>494827.99361414148</v>
      </c>
      <c r="E19" s="26">
        <f t="shared" si="0"/>
        <v>504.62306017855792</v>
      </c>
      <c r="F19" s="26">
        <f t="shared" si="0"/>
        <v>180.22341247857412</v>
      </c>
      <c r="G19" s="26">
        <f t="shared" si="0"/>
        <v>21879.237200467949</v>
      </c>
      <c r="H19" s="26">
        <f t="shared" si="0"/>
        <v>15776.718605016842</v>
      </c>
      <c r="I19" s="26">
        <f t="shared" si="0"/>
        <v>150463.77034385144</v>
      </c>
      <c r="J19" s="26">
        <f t="shared" si="0"/>
        <v>90803.587572934455</v>
      </c>
    </row>
    <row r="20" spans="1:10" ht="12" customHeight="1" x14ac:dyDescent="0.2"/>
  </sheetData>
  <mergeCells count="8">
    <mergeCell ref="C5:D5"/>
    <mergeCell ref="C4:J4"/>
    <mergeCell ref="B4:B6"/>
    <mergeCell ref="A1:J1"/>
    <mergeCell ref="A4:A6"/>
    <mergeCell ref="E5:F5"/>
    <mergeCell ref="G5:H5"/>
    <mergeCell ref="I5:J5"/>
  </mergeCells>
  <conditionalFormatting sqref="B7:B19">
    <cfRule type="cellIs" dxfId="221" priority="9" stopIfTrue="1" operator="equal">
      <formula>0</formula>
    </cfRule>
  </conditionalFormatting>
  <conditionalFormatting sqref="C7:C19">
    <cfRule type="cellIs" dxfId="220" priority="8" stopIfTrue="1" operator="equal">
      <formula>0</formula>
    </cfRule>
  </conditionalFormatting>
  <conditionalFormatting sqref="D7:D19">
    <cfRule type="cellIs" dxfId="219" priority="7" stopIfTrue="1" operator="equal">
      <formula>0</formula>
    </cfRule>
  </conditionalFormatting>
  <conditionalFormatting sqref="E7:E19">
    <cfRule type="cellIs" dxfId="218" priority="6" stopIfTrue="1" operator="equal">
      <formula>0</formula>
    </cfRule>
  </conditionalFormatting>
  <conditionalFormatting sqref="F7:F19">
    <cfRule type="cellIs" dxfId="217" priority="5" stopIfTrue="1" operator="equal">
      <formula>0</formula>
    </cfRule>
  </conditionalFormatting>
  <conditionalFormatting sqref="G7:G19">
    <cfRule type="cellIs" dxfId="216" priority="4" stopIfTrue="1" operator="equal">
      <formula>0</formula>
    </cfRule>
  </conditionalFormatting>
  <conditionalFormatting sqref="H7:H19">
    <cfRule type="cellIs" dxfId="215" priority="3" stopIfTrue="1" operator="equal">
      <formula>0</formula>
    </cfRule>
  </conditionalFormatting>
  <conditionalFormatting sqref="I7:I19">
    <cfRule type="cellIs" dxfId="214" priority="2" stopIfTrue="1" operator="equal">
      <formula>0</formula>
    </cfRule>
  </conditionalFormatting>
  <conditionalFormatting sqref="J7:J19">
    <cfRule type="cellIs" dxfId="213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7C50-0E0E-4F00-BEAF-D440A4883762}">
  <dimension ref="A1:I20"/>
  <sheetViews>
    <sheetView zoomScale="104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3.42578125" customWidth="1"/>
    <col min="3" max="3" width="11.42578125" customWidth="1"/>
    <col min="4" max="4" width="12" customWidth="1"/>
    <col min="5" max="5" width="10.5703125" customWidth="1"/>
    <col min="6" max="6" width="12.5703125" customWidth="1"/>
    <col min="7" max="7" width="10.5703125" customWidth="1"/>
    <col min="8" max="8" width="12.5703125" customWidth="1"/>
    <col min="9" max="9" width="10.5703125" customWidth="1"/>
  </cols>
  <sheetData>
    <row r="1" spans="1:9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</row>
    <row r="2" spans="1:9" x14ac:dyDescent="0.2">
      <c r="A2" s="27"/>
      <c r="B2" s="28"/>
      <c r="C2" s="28"/>
      <c r="D2" s="28"/>
      <c r="E2" s="28"/>
      <c r="F2" s="28"/>
      <c r="G2" s="28"/>
      <c r="H2" s="28"/>
      <c r="I2" s="28" t="s">
        <v>32</v>
      </c>
    </row>
    <row r="3" spans="1:9" x14ac:dyDescent="0.2">
      <c r="A3" s="27" t="s">
        <v>595</v>
      </c>
      <c r="B3" s="27"/>
      <c r="C3" s="27"/>
      <c r="D3" s="27"/>
      <c r="E3" s="27"/>
      <c r="F3" s="27"/>
      <c r="G3" s="27"/>
      <c r="H3" s="27"/>
      <c r="I3" s="27"/>
    </row>
    <row r="4" spans="1:9" ht="18.75" customHeight="1" x14ac:dyDescent="0.2">
      <c r="A4" s="129" t="s">
        <v>324</v>
      </c>
      <c r="B4" s="138" t="s">
        <v>643</v>
      </c>
      <c r="C4" s="139"/>
      <c r="D4" s="139"/>
      <c r="E4" s="139"/>
      <c r="F4" s="139"/>
      <c r="G4" s="139"/>
      <c r="H4" s="139"/>
      <c r="I4" s="140"/>
    </row>
    <row r="5" spans="1:9" s="7" customFormat="1" ht="18.75" customHeight="1" x14ac:dyDescent="0.2">
      <c r="A5" s="130"/>
      <c r="B5" s="122" t="s">
        <v>367</v>
      </c>
      <c r="C5" s="122"/>
      <c r="D5" s="122" t="s">
        <v>368</v>
      </c>
      <c r="E5" s="122"/>
      <c r="F5" s="122" t="s">
        <v>369</v>
      </c>
      <c r="G5" s="122"/>
      <c r="H5" s="122" t="s">
        <v>370</v>
      </c>
      <c r="I5" s="122"/>
    </row>
    <row r="6" spans="1:9" s="7" customFormat="1" ht="18.75" customHeight="1" x14ac:dyDescent="0.2">
      <c r="A6" s="131"/>
      <c r="B6" s="34" t="s">
        <v>239</v>
      </c>
      <c r="C6" s="34" t="s">
        <v>240</v>
      </c>
      <c r="D6" s="34" t="s">
        <v>239</v>
      </c>
      <c r="E6" s="34" t="s">
        <v>240</v>
      </c>
      <c r="F6" s="34" t="s">
        <v>239</v>
      </c>
      <c r="G6" s="34" t="s">
        <v>240</v>
      </c>
      <c r="H6" s="34" t="s">
        <v>239</v>
      </c>
      <c r="I6" s="34" t="s">
        <v>240</v>
      </c>
    </row>
    <row r="7" spans="1:9" s="6" customFormat="1" ht="20.45" customHeight="1" x14ac:dyDescent="0.2">
      <c r="A7" s="69" t="s">
        <v>0</v>
      </c>
      <c r="B7" s="50">
        <v>1148.9965437614962</v>
      </c>
      <c r="C7" s="50">
        <v>810.19812528988041</v>
      </c>
      <c r="D7" s="50">
        <v>1752.8385688264002</v>
      </c>
      <c r="E7" s="50">
        <v>494.8936045354003</v>
      </c>
      <c r="F7" s="50">
        <v>1173.2057790868703</v>
      </c>
      <c r="G7" s="50">
        <v>321.0434184871259</v>
      </c>
      <c r="H7" s="50">
        <v>851.29300125425902</v>
      </c>
      <c r="I7" s="50">
        <v>282.36472318972812</v>
      </c>
    </row>
    <row r="8" spans="1:9" s="6" customFormat="1" ht="20.45" customHeight="1" x14ac:dyDescent="0.2">
      <c r="A8" s="29" t="s">
        <v>1</v>
      </c>
      <c r="B8" s="52">
        <v>358027.64804214064</v>
      </c>
      <c r="C8" s="52">
        <v>148473.43538116812</v>
      </c>
      <c r="D8" s="52">
        <v>470618.43115407653</v>
      </c>
      <c r="E8" s="52">
        <v>118452.89418667364</v>
      </c>
      <c r="F8" s="52">
        <v>399091.83930864529</v>
      </c>
      <c r="G8" s="52">
        <v>72872.416534714604</v>
      </c>
      <c r="H8" s="52">
        <v>318070.04143223073</v>
      </c>
      <c r="I8" s="52">
        <v>46360.218049651885</v>
      </c>
    </row>
    <row r="9" spans="1:9" ht="20.45" customHeight="1" x14ac:dyDescent="0.2">
      <c r="A9" s="30" t="s">
        <v>2</v>
      </c>
      <c r="B9" s="54">
        <v>3391.2297960262676</v>
      </c>
      <c r="C9" s="54">
        <v>3575.2261294165587</v>
      </c>
      <c r="D9" s="54">
        <v>3066.4340152053201</v>
      </c>
      <c r="E9" s="54">
        <v>2317.4299786122647</v>
      </c>
      <c r="F9" s="54">
        <v>2196.5253834288378</v>
      </c>
      <c r="G9" s="54">
        <v>1561.0566089173722</v>
      </c>
      <c r="H9" s="54">
        <v>2025.6997131683447</v>
      </c>
      <c r="I9" s="54">
        <v>1104.3892914748476</v>
      </c>
    </row>
    <row r="10" spans="1:9" ht="20.45" customHeight="1" x14ac:dyDescent="0.2">
      <c r="A10" s="30" t="s">
        <v>3</v>
      </c>
      <c r="B10" s="54">
        <v>14650.408277910492</v>
      </c>
      <c r="C10" s="54">
        <v>12031.715103153181</v>
      </c>
      <c r="D10" s="54">
        <v>13207.024828212145</v>
      </c>
      <c r="E10" s="54">
        <v>7916.9218222692225</v>
      </c>
      <c r="F10" s="54">
        <v>9619.2500782993229</v>
      </c>
      <c r="G10" s="54">
        <v>4828.7940902734845</v>
      </c>
      <c r="H10" s="54">
        <v>7850.8210713378057</v>
      </c>
      <c r="I10" s="54">
        <v>3090.9146997812318</v>
      </c>
    </row>
    <row r="11" spans="1:9" ht="20.45" customHeight="1" x14ac:dyDescent="0.2">
      <c r="A11" s="30" t="s">
        <v>4</v>
      </c>
      <c r="B11" s="54">
        <v>78580.54862604021</v>
      </c>
      <c r="C11" s="54">
        <v>50403.996093358517</v>
      </c>
      <c r="D11" s="54">
        <v>82973.843420577658</v>
      </c>
      <c r="E11" s="54">
        <v>35703.531852394299</v>
      </c>
      <c r="F11" s="54">
        <v>63708.92866397975</v>
      </c>
      <c r="G11" s="54">
        <v>20810.341130087261</v>
      </c>
      <c r="H11" s="54">
        <v>47288.197356669327</v>
      </c>
      <c r="I11" s="54">
        <v>12720.618258358656</v>
      </c>
    </row>
    <row r="12" spans="1:9" ht="20.45" customHeight="1" x14ac:dyDescent="0.2">
      <c r="A12" s="30" t="s">
        <v>5</v>
      </c>
      <c r="B12" s="54">
        <v>109859.92970432542</v>
      </c>
      <c r="C12" s="54">
        <v>48447.016876513924</v>
      </c>
      <c r="D12" s="54">
        <v>140926.99072460464</v>
      </c>
      <c r="E12" s="54">
        <v>39591.55659145744</v>
      </c>
      <c r="F12" s="54">
        <v>114328.96112371304</v>
      </c>
      <c r="G12" s="54">
        <v>23672.590263103895</v>
      </c>
      <c r="H12" s="54">
        <v>87351.738668923615</v>
      </c>
      <c r="I12" s="54">
        <v>13884.625559898352</v>
      </c>
    </row>
    <row r="13" spans="1:9" ht="20.45" customHeight="1" x14ac:dyDescent="0.2">
      <c r="A13" s="30" t="s">
        <v>6</v>
      </c>
      <c r="B13" s="54">
        <v>92365.124985318631</v>
      </c>
      <c r="C13" s="54">
        <v>25364.974166246786</v>
      </c>
      <c r="D13" s="54">
        <v>135338.72140406605</v>
      </c>
      <c r="E13" s="54">
        <v>23712.388596088709</v>
      </c>
      <c r="F13" s="54">
        <v>123705.09588984733</v>
      </c>
      <c r="G13" s="54">
        <v>15856.89368771744</v>
      </c>
      <c r="H13" s="54">
        <v>96885.940543873192</v>
      </c>
      <c r="I13" s="54">
        <v>10336.259682862355</v>
      </c>
    </row>
    <row r="14" spans="1:9" ht="20.45" customHeight="1" x14ac:dyDescent="0.2">
      <c r="A14" s="30" t="s">
        <v>7</v>
      </c>
      <c r="B14" s="54">
        <v>30394.860889513628</v>
      </c>
      <c r="C14" s="54">
        <v>5051.5565403315641</v>
      </c>
      <c r="D14" s="54">
        <v>49025.00523020947</v>
      </c>
      <c r="E14" s="54">
        <v>6167.6994252857912</v>
      </c>
      <c r="F14" s="54">
        <v>43896.507338792137</v>
      </c>
      <c r="G14" s="54">
        <v>3579.0944848073395</v>
      </c>
      <c r="H14" s="54">
        <v>38762.196854896181</v>
      </c>
      <c r="I14" s="54">
        <v>2869.8972543229597</v>
      </c>
    </row>
    <row r="15" spans="1:9" ht="20.45" customHeight="1" x14ac:dyDescent="0.2">
      <c r="A15" s="30" t="s">
        <v>8</v>
      </c>
      <c r="B15" s="54">
        <v>12812.125646024568</v>
      </c>
      <c r="C15" s="54">
        <v>1832.2672054082436</v>
      </c>
      <c r="D15" s="54">
        <v>21604.00129288686</v>
      </c>
      <c r="E15" s="54">
        <v>1410.1654797948136</v>
      </c>
      <c r="F15" s="54">
        <v>22892.795606863579</v>
      </c>
      <c r="G15" s="54">
        <v>1441.6312636668017</v>
      </c>
      <c r="H15" s="54">
        <v>18812.038487403879</v>
      </c>
      <c r="I15" s="54">
        <v>747.36312583434051</v>
      </c>
    </row>
    <row r="16" spans="1:9" ht="20.45" customHeight="1" x14ac:dyDescent="0.2">
      <c r="A16" s="30" t="s">
        <v>9</v>
      </c>
      <c r="B16" s="54">
        <v>4601.8861921945436</v>
      </c>
      <c r="C16" s="54">
        <v>709.69728155439623</v>
      </c>
      <c r="D16" s="54">
        <v>7576.4572489413877</v>
      </c>
      <c r="E16" s="54">
        <v>671.40065988671756</v>
      </c>
      <c r="F16" s="54">
        <v>8121.6138953116842</v>
      </c>
      <c r="G16" s="54">
        <v>785.99315274796368</v>
      </c>
      <c r="H16" s="54">
        <v>6616.1364645353588</v>
      </c>
      <c r="I16" s="54">
        <v>708.58647214935615</v>
      </c>
    </row>
    <row r="17" spans="1:9" ht="20.45" customHeight="1" x14ac:dyDescent="0.2">
      <c r="A17" s="30" t="s">
        <v>10</v>
      </c>
      <c r="B17" s="54">
        <v>9001.3860692452417</v>
      </c>
      <c r="C17" s="54">
        <v>661.53692112134559</v>
      </c>
      <c r="D17" s="54">
        <v>11921.74078041338</v>
      </c>
      <c r="E17" s="54">
        <v>961.79978088374969</v>
      </c>
      <c r="F17" s="54">
        <v>9626.2902974469325</v>
      </c>
      <c r="G17" s="54">
        <v>336.02185339302787</v>
      </c>
      <c r="H17" s="54">
        <v>9120.6592492804539</v>
      </c>
      <c r="I17" s="54">
        <v>472.60442858494503</v>
      </c>
    </row>
    <row r="18" spans="1:9" ht="20.45" customHeight="1" x14ac:dyDescent="0.2">
      <c r="A18" s="30" t="s">
        <v>11</v>
      </c>
      <c r="B18" s="54">
        <v>2370.1478555417448</v>
      </c>
      <c r="C18" s="54">
        <v>395.44906406420614</v>
      </c>
      <c r="D18" s="54">
        <v>4978.2122089607774</v>
      </c>
      <c r="E18" s="54"/>
      <c r="F18" s="54">
        <v>995.87103096303645</v>
      </c>
      <c r="G18" s="54"/>
      <c r="H18" s="54">
        <v>3356.6130221414337</v>
      </c>
      <c r="I18" s="54">
        <v>424.95927638481686</v>
      </c>
    </row>
    <row r="19" spans="1:9" s="6" customFormat="1" ht="20.45" customHeight="1" x14ac:dyDescent="0.2">
      <c r="A19" s="31" t="s">
        <v>12</v>
      </c>
      <c r="B19" s="26">
        <f>B7+B8</f>
        <v>359176.64458590216</v>
      </c>
      <c r="C19" s="26">
        <f t="shared" ref="C19:I19" si="0">C7+C8</f>
        <v>149283.63350645799</v>
      </c>
      <c r="D19" s="26">
        <f t="shared" si="0"/>
        <v>472371.26972290291</v>
      </c>
      <c r="E19" s="26">
        <f t="shared" si="0"/>
        <v>118947.78779120905</v>
      </c>
      <c r="F19" s="26">
        <f t="shared" si="0"/>
        <v>400265.04508773214</v>
      </c>
      <c r="G19" s="26">
        <f t="shared" si="0"/>
        <v>73193.459953201731</v>
      </c>
      <c r="H19" s="26">
        <f t="shared" si="0"/>
        <v>318921.334433485</v>
      </c>
      <c r="I19" s="26">
        <f t="shared" si="0"/>
        <v>46642.582772841612</v>
      </c>
    </row>
    <row r="20" spans="1:9" ht="12" customHeight="1" x14ac:dyDescent="0.2"/>
  </sheetData>
  <mergeCells count="7">
    <mergeCell ref="A1:I1"/>
    <mergeCell ref="A4:A6"/>
    <mergeCell ref="B4:I4"/>
    <mergeCell ref="B5:C5"/>
    <mergeCell ref="D5:E5"/>
    <mergeCell ref="F5:G5"/>
    <mergeCell ref="H5:I5"/>
  </mergeCells>
  <conditionalFormatting sqref="B7:B19">
    <cfRule type="cellIs" dxfId="212" priority="8" stopIfTrue="1" operator="equal">
      <formula>0</formula>
    </cfRule>
  </conditionalFormatting>
  <conditionalFormatting sqref="C7:C19">
    <cfRule type="cellIs" dxfId="211" priority="7" stopIfTrue="1" operator="equal">
      <formula>0</formula>
    </cfRule>
  </conditionalFormatting>
  <conditionalFormatting sqref="D7:D19">
    <cfRule type="cellIs" dxfId="210" priority="6" stopIfTrue="1" operator="equal">
      <formula>0</formula>
    </cfRule>
  </conditionalFormatting>
  <conditionalFormatting sqref="E7:E19">
    <cfRule type="cellIs" dxfId="209" priority="5" stopIfTrue="1" operator="equal">
      <formula>0</formula>
    </cfRule>
  </conditionalFormatting>
  <conditionalFormatting sqref="F7:F19">
    <cfRule type="cellIs" dxfId="208" priority="4" stopIfTrue="1" operator="equal">
      <formula>0</formula>
    </cfRule>
  </conditionalFormatting>
  <conditionalFormatting sqref="G7:G19">
    <cfRule type="cellIs" dxfId="207" priority="3" stopIfTrue="1" operator="equal">
      <formula>0</formula>
    </cfRule>
  </conditionalFormatting>
  <conditionalFormatting sqref="H7:H19">
    <cfRule type="cellIs" dxfId="206" priority="2" stopIfTrue="1" operator="equal">
      <formula>0</formula>
    </cfRule>
  </conditionalFormatting>
  <conditionalFormatting sqref="I7:I19">
    <cfRule type="cellIs" dxfId="205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DF5E-B618-414F-A1F2-E271DD52955C}">
  <dimension ref="A1:L20"/>
  <sheetViews>
    <sheetView zoomScale="84" zoomScaleNormal="112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0.5703125" customWidth="1"/>
    <col min="3" max="3" width="11.42578125" customWidth="1"/>
    <col min="4" max="12" width="10.5703125" customWidth="1"/>
  </cols>
  <sheetData>
    <row r="1" spans="1:12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</row>
    <row r="2" spans="1:12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 t="s">
        <v>32</v>
      </c>
    </row>
    <row r="3" spans="1:12" x14ac:dyDescent="0.2">
      <c r="A3" s="27" t="s">
        <v>644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8" customHeight="1" x14ac:dyDescent="0.2">
      <c r="A4" s="129" t="s">
        <v>30</v>
      </c>
      <c r="B4" s="126" t="s">
        <v>353</v>
      </c>
      <c r="C4" s="124" t="s">
        <v>645</v>
      </c>
      <c r="D4" s="128"/>
      <c r="E4" s="128"/>
      <c r="F4" s="128"/>
      <c r="G4" s="128"/>
      <c r="H4" s="128"/>
      <c r="I4" s="128"/>
      <c r="J4" s="128"/>
      <c r="K4" s="128"/>
      <c r="L4" s="125"/>
    </row>
    <row r="5" spans="1:12" s="7" customFormat="1" ht="18" customHeight="1" x14ac:dyDescent="0.2">
      <c r="A5" s="130"/>
      <c r="B5" s="149"/>
      <c r="C5" s="122" t="s">
        <v>371</v>
      </c>
      <c r="D5" s="122"/>
      <c r="E5" s="122" t="s">
        <v>379</v>
      </c>
      <c r="F5" s="122"/>
      <c r="G5" s="122" t="s">
        <v>380</v>
      </c>
      <c r="H5" s="122"/>
      <c r="I5" s="122" t="s">
        <v>372</v>
      </c>
      <c r="J5" s="122"/>
      <c r="K5" s="122" t="s">
        <v>373</v>
      </c>
      <c r="L5" s="122"/>
    </row>
    <row r="6" spans="1:12" s="7" customFormat="1" ht="18" customHeight="1" x14ac:dyDescent="0.2">
      <c r="A6" s="131"/>
      <c r="B6" s="127"/>
      <c r="C6" s="34" t="s">
        <v>239</v>
      </c>
      <c r="D6" s="34" t="s">
        <v>240</v>
      </c>
      <c r="E6" s="34" t="s">
        <v>239</v>
      </c>
      <c r="F6" s="34" t="s">
        <v>240</v>
      </c>
      <c r="G6" s="81" t="s">
        <v>239</v>
      </c>
      <c r="H6" s="34" t="s">
        <v>240</v>
      </c>
      <c r="I6" s="34" t="s">
        <v>239</v>
      </c>
      <c r="J6" s="34" t="s">
        <v>240</v>
      </c>
      <c r="K6" s="34" t="s">
        <v>239</v>
      </c>
      <c r="L6" s="34" t="s">
        <v>240</v>
      </c>
    </row>
    <row r="7" spans="1:12" s="6" customFormat="1" ht="20.45" customHeight="1" x14ac:dyDescent="0.2">
      <c r="A7" s="69" t="s">
        <v>0</v>
      </c>
      <c r="B7" s="49">
        <v>131504.2034342289</v>
      </c>
      <c r="C7" s="49">
        <v>290984.96887075901</v>
      </c>
      <c r="D7" s="49">
        <v>306940.68124580383</v>
      </c>
      <c r="E7" s="49">
        <v>53300.377944231033</v>
      </c>
      <c r="F7" s="49">
        <v>50534.771603345871</v>
      </c>
      <c r="G7" s="49">
        <v>31994.55446267128</v>
      </c>
      <c r="H7" s="49">
        <v>31204.373031020164</v>
      </c>
      <c r="I7" s="49">
        <v>56385.187197685242</v>
      </c>
      <c r="J7" s="49">
        <v>61015.745806097984</v>
      </c>
      <c r="K7" s="49">
        <v>40913.811073899269</v>
      </c>
      <c r="L7" s="49">
        <v>51445.799931645393</v>
      </c>
    </row>
    <row r="8" spans="1:12" s="6" customFormat="1" ht="20.45" customHeight="1" x14ac:dyDescent="0.2">
      <c r="A8" s="29" t="s">
        <v>1</v>
      </c>
      <c r="B8" s="51">
        <v>3999284.9654890299</v>
      </c>
      <c r="C8" s="51">
        <v>9252840.4658218622</v>
      </c>
      <c r="D8" s="51">
        <v>9597189.8125292063</v>
      </c>
      <c r="E8" s="51">
        <v>1562066.8399820328</v>
      </c>
      <c r="F8" s="51">
        <v>1436975.4972120523</v>
      </c>
      <c r="G8" s="51">
        <v>952189.73749709129</v>
      </c>
      <c r="H8" s="51">
        <v>923910.35849606991</v>
      </c>
      <c r="I8" s="51">
        <v>1789515.6188553572</v>
      </c>
      <c r="J8" s="51">
        <v>1931089.1390092373</v>
      </c>
      <c r="K8" s="51">
        <v>1318821.3006179333</v>
      </c>
      <c r="L8" s="51">
        <v>1536475.1280543804</v>
      </c>
    </row>
    <row r="9" spans="1:12" ht="20.45" customHeight="1" x14ac:dyDescent="0.2">
      <c r="A9" s="30" t="s">
        <v>2</v>
      </c>
      <c r="B9" s="53">
        <v>425217.50214135647</v>
      </c>
      <c r="C9" s="53">
        <v>842926.14523172379</v>
      </c>
      <c r="D9" s="53">
        <v>918016.19195723534</v>
      </c>
      <c r="E9" s="53">
        <v>151410.61586153507</v>
      </c>
      <c r="F9" s="53">
        <v>140479.05332970619</v>
      </c>
      <c r="G9" s="53">
        <v>92713.592630624771</v>
      </c>
      <c r="H9" s="53">
        <v>88828.827246427536</v>
      </c>
      <c r="I9" s="53">
        <v>157833.2057993412</v>
      </c>
      <c r="J9" s="53">
        <v>174109.47258532047</v>
      </c>
      <c r="K9" s="53">
        <v>122917.2784832716</v>
      </c>
      <c r="L9" s="53">
        <v>161244.56121790409</v>
      </c>
    </row>
    <row r="10" spans="1:12" ht="20.45" customHeight="1" x14ac:dyDescent="0.2">
      <c r="A10" s="30" t="s">
        <v>3</v>
      </c>
      <c r="B10" s="53">
        <v>648449.97284579277</v>
      </c>
      <c r="C10" s="53">
        <v>1336128.8397437334</v>
      </c>
      <c r="D10" s="53">
        <v>1430864.5924472809</v>
      </c>
      <c r="E10" s="53">
        <v>245365.65839934349</v>
      </c>
      <c r="F10" s="53">
        <v>224029.64718663692</v>
      </c>
      <c r="G10" s="53">
        <v>152811.35916793346</v>
      </c>
      <c r="H10" s="53">
        <v>148896.7607986927</v>
      </c>
      <c r="I10" s="53">
        <v>256311.56048285961</v>
      </c>
      <c r="J10" s="53">
        <v>279971.46980679035</v>
      </c>
      <c r="K10" s="53">
        <v>191473.16426825523</v>
      </c>
      <c r="L10" s="53">
        <v>242806.86150717735</v>
      </c>
    </row>
    <row r="11" spans="1:12" ht="20.45" customHeight="1" x14ac:dyDescent="0.2">
      <c r="A11" s="30" t="s">
        <v>4</v>
      </c>
      <c r="B11" s="53">
        <v>1430113.6145436764</v>
      </c>
      <c r="C11" s="53">
        <v>3174541.3593935966</v>
      </c>
      <c r="D11" s="53">
        <v>3340532.3648478985</v>
      </c>
      <c r="E11" s="53">
        <v>544477.92932486534</v>
      </c>
      <c r="F11" s="53">
        <v>505326.44900548458</v>
      </c>
      <c r="G11" s="53">
        <v>342368.31149995327</v>
      </c>
      <c r="H11" s="53">
        <v>336840.9661552906</v>
      </c>
      <c r="I11" s="53">
        <v>623902.43927502632</v>
      </c>
      <c r="J11" s="53">
        <v>676552.1498670578</v>
      </c>
      <c r="K11" s="53">
        <v>435386.34599161148</v>
      </c>
      <c r="L11" s="53">
        <v>524717.3322108984</v>
      </c>
    </row>
    <row r="12" spans="1:12" ht="20.45" customHeight="1" x14ac:dyDescent="0.2">
      <c r="A12" s="30" t="s">
        <v>5</v>
      </c>
      <c r="B12" s="53">
        <v>945303.95051133633</v>
      </c>
      <c r="C12" s="53">
        <v>2322640.2973490953</v>
      </c>
      <c r="D12" s="53">
        <v>2365852.7010372877</v>
      </c>
      <c r="E12" s="53">
        <v>373889.85623669624</v>
      </c>
      <c r="F12" s="53">
        <v>342798.54931032658</v>
      </c>
      <c r="G12" s="53">
        <v>224686.44156694412</v>
      </c>
      <c r="H12" s="53">
        <v>218564.15085446835</v>
      </c>
      <c r="I12" s="53">
        <v>455835.12844014168</v>
      </c>
      <c r="J12" s="53">
        <v>486891.23248934746</v>
      </c>
      <c r="K12" s="53">
        <v>327025.91432487965</v>
      </c>
      <c r="L12" s="53">
        <v>360421.76297485828</v>
      </c>
    </row>
    <row r="13" spans="1:12" ht="20.45" customHeight="1" x14ac:dyDescent="0.2">
      <c r="A13" s="30" t="s">
        <v>6</v>
      </c>
      <c r="B13" s="53">
        <v>427038.72920608521</v>
      </c>
      <c r="C13" s="53">
        <v>1172629.0675228834</v>
      </c>
      <c r="D13" s="53">
        <v>1156274.6812360287</v>
      </c>
      <c r="E13" s="53">
        <v>183509.42478692532</v>
      </c>
      <c r="F13" s="53">
        <v>167474.4565217495</v>
      </c>
      <c r="G13" s="53">
        <v>104188.44390416145</v>
      </c>
      <c r="H13" s="53">
        <v>98267.515647649765</v>
      </c>
      <c r="I13" s="53">
        <v>220547.04519891739</v>
      </c>
      <c r="J13" s="53">
        <v>236056.87487435341</v>
      </c>
      <c r="K13" s="53">
        <v>177495.98896050453</v>
      </c>
      <c r="L13" s="53">
        <v>182567.19462502003</v>
      </c>
    </row>
    <row r="14" spans="1:12" ht="20.45" customHeight="1" x14ac:dyDescent="0.2">
      <c r="A14" s="30" t="s">
        <v>7</v>
      </c>
      <c r="B14" s="53">
        <v>81947.948482036591</v>
      </c>
      <c r="C14" s="53">
        <v>254550.74154257774</v>
      </c>
      <c r="D14" s="53">
        <v>246377.18303477764</v>
      </c>
      <c r="E14" s="53">
        <v>40312.822146773338</v>
      </c>
      <c r="F14" s="53">
        <v>36586.957854390144</v>
      </c>
      <c r="G14" s="53">
        <v>22232.587988138199</v>
      </c>
      <c r="H14" s="53">
        <v>19985.000574827194</v>
      </c>
      <c r="I14" s="53">
        <v>47151.345776081085</v>
      </c>
      <c r="J14" s="53">
        <v>50286.534388542175</v>
      </c>
      <c r="K14" s="53">
        <v>40266.950626373291</v>
      </c>
      <c r="L14" s="53">
        <v>41170.115151286125</v>
      </c>
    </row>
    <row r="15" spans="1:12" ht="20.45" customHeight="1" x14ac:dyDescent="0.2">
      <c r="A15" s="30" t="s">
        <v>8</v>
      </c>
      <c r="B15" s="53">
        <v>25962.588759422302</v>
      </c>
      <c r="C15" s="53">
        <v>90723.040021538734</v>
      </c>
      <c r="D15" s="53">
        <v>85750.341699719429</v>
      </c>
      <c r="E15" s="53">
        <v>14309.573724746704</v>
      </c>
      <c r="F15" s="53">
        <v>13002.330484032631</v>
      </c>
      <c r="G15" s="53">
        <v>8144.1822719573975</v>
      </c>
      <c r="H15" s="53">
        <v>7757.5686881542206</v>
      </c>
      <c r="I15" s="53">
        <v>17048.119661688805</v>
      </c>
      <c r="J15" s="53">
        <v>16661.75254547596</v>
      </c>
      <c r="K15" s="53">
        <v>14475.959322452545</v>
      </c>
      <c r="L15" s="53">
        <v>14702.245708823204</v>
      </c>
    </row>
    <row r="16" spans="1:12" ht="20.45" customHeight="1" x14ac:dyDescent="0.2">
      <c r="A16" s="30" t="s">
        <v>9</v>
      </c>
      <c r="B16" s="53">
        <v>7396.839360833168</v>
      </c>
      <c r="C16" s="53">
        <v>26767.880175709724</v>
      </c>
      <c r="D16" s="53">
        <v>23809.014961719513</v>
      </c>
      <c r="E16" s="53">
        <v>4314.254851102829</v>
      </c>
      <c r="F16" s="53">
        <v>3209.0900211334229</v>
      </c>
      <c r="G16" s="53">
        <v>1993.3605893850327</v>
      </c>
      <c r="H16" s="53">
        <v>2015.809937953949</v>
      </c>
      <c r="I16" s="53">
        <v>4788.4702131748199</v>
      </c>
      <c r="J16" s="53">
        <v>4331.0215740203857</v>
      </c>
      <c r="K16" s="53">
        <v>4659.0959179401398</v>
      </c>
      <c r="L16" s="53">
        <v>4276.4342272281647</v>
      </c>
    </row>
    <row r="17" spans="1:12" ht="20.45" customHeight="1" x14ac:dyDescent="0.2">
      <c r="A17" s="30" t="s">
        <v>10</v>
      </c>
      <c r="B17" s="53">
        <v>6978.5904805660248</v>
      </c>
      <c r="C17" s="53">
        <v>28366.889103889465</v>
      </c>
      <c r="D17" s="53">
        <v>26361.374410152435</v>
      </c>
      <c r="E17" s="53">
        <v>4164.3822346925735</v>
      </c>
      <c r="F17" s="53">
        <v>3716.2872972488403</v>
      </c>
      <c r="G17" s="53">
        <v>2762.2712882757187</v>
      </c>
      <c r="H17" s="53">
        <v>2460.2128701210022</v>
      </c>
      <c r="I17" s="53">
        <v>5235.0799261331558</v>
      </c>
      <c r="J17" s="53">
        <v>5514.9238575696945</v>
      </c>
      <c r="K17" s="53">
        <v>4590.8584885597229</v>
      </c>
      <c r="L17" s="53">
        <v>4027.3214848041534</v>
      </c>
    </row>
    <row r="18" spans="1:12" ht="20.45" customHeight="1" x14ac:dyDescent="0.2">
      <c r="A18" s="30" t="s">
        <v>11</v>
      </c>
      <c r="B18" s="53">
        <v>875.2291579246521</v>
      </c>
      <c r="C18" s="53">
        <v>3566.2057371139526</v>
      </c>
      <c r="D18" s="53">
        <v>3351.3668971061707</v>
      </c>
      <c r="E18" s="53">
        <v>312.32241535186768</v>
      </c>
      <c r="F18" s="53">
        <v>352.67620134353638</v>
      </c>
      <c r="G18" s="53">
        <v>289.18658971786499</v>
      </c>
      <c r="H18" s="53">
        <v>293.54572248458862</v>
      </c>
      <c r="I18" s="53">
        <v>863.22408199310303</v>
      </c>
      <c r="J18" s="53">
        <v>713.70702075958252</v>
      </c>
      <c r="K18" s="53">
        <v>529.74423408508301</v>
      </c>
      <c r="L18" s="53">
        <v>541.29894638061523</v>
      </c>
    </row>
    <row r="19" spans="1:12" s="6" customFormat="1" ht="20.45" customHeight="1" x14ac:dyDescent="0.2">
      <c r="A19" s="31" t="s">
        <v>12</v>
      </c>
      <c r="B19" s="25">
        <f>B7+B8</f>
        <v>4130789.1689232588</v>
      </c>
      <c r="C19" s="25">
        <f t="shared" ref="C19:L19" si="0">C7+C8</f>
        <v>9543825.4346926212</v>
      </c>
      <c r="D19" s="25">
        <f t="shared" si="0"/>
        <v>9904130.4937750101</v>
      </c>
      <c r="E19" s="25">
        <f t="shared" si="0"/>
        <v>1615367.2179262638</v>
      </c>
      <c r="F19" s="25">
        <f t="shared" si="0"/>
        <v>1487510.2688153982</v>
      </c>
      <c r="G19" s="25">
        <f t="shared" si="0"/>
        <v>984184.29195976257</v>
      </c>
      <c r="H19" s="25">
        <f t="shared" si="0"/>
        <v>955114.73152709007</v>
      </c>
      <c r="I19" s="25">
        <f t="shared" si="0"/>
        <v>1845900.8060530424</v>
      </c>
      <c r="J19" s="25">
        <f t="shared" si="0"/>
        <v>1992104.8848153353</v>
      </c>
      <c r="K19" s="25">
        <f t="shared" si="0"/>
        <v>1359735.1116918325</v>
      </c>
      <c r="L19" s="25">
        <f t="shared" si="0"/>
        <v>1587920.9279860258</v>
      </c>
    </row>
    <row r="20" spans="1:12" ht="12" customHeight="1" x14ac:dyDescent="0.2"/>
  </sheetData>
  <mergeCells count="9">
    <mergeCell ref="A1:L1"/>
    <mergeCell ref="A4:A6"/>
    <mergeCell ref="B4:B6"/>
    <mergeCell ref="C4:L4"/>
    <mergeCell ref="C5:D5"/>
    <mergeCell ref="E5:F5"/>
    <mergeCell ref="G5:H5"/>
    <mergeCell ref="I5:J5"/>
    <mergeCell ref="K5:L5"/>
  </mergeCells>
  <conditionalFormatting sqref="B7:B19">
    <cfRule type="cellIs" dxfId="204" priority="11" stopIfTrue="1" operator="equal">
      <formula>0</formula>
    </cfRule>
  </conditionalFormatting>
  <conditionalFormatting sqref="C7:C19">
    <cfRule type="cellIs" dxfId="203" priority="10" stopIfTrue="1" operator="equal">
      <formula>0</formula>
    </cfRule>
  </conditionalFormatting>
  <conditionalFormatting sqref="D7:D19">
    <cfRule type="cellIs" dxfId="202" priority="9" stopIfTrue="1" operator="equal">
      <formula>0</formula>
    </cfRule>
  </conditionalFormatting>
  <conditionalFormatting sqref="E7:E19">
    <cfRule type="cellIs" dxfId="201" priority="8" stopIfTrue="1" operator="equal">
      <formula>0</formula>
    </cfRule>
  </conditionalFormatting>
  <conditionalFormatting sqref="F7:F19">
    <cfRule type="cellIs" dxfId="200" priority="7" stopIfTrue="1" operator="equal">
      <formula>0</formula>
    </cfRule>
  </conditionalFormatting>
  <conditionalFormatting sqref="G7:G19">
    <cfRule type="cellIs" dxfId="199" priority="6" stopIfTrue="1" operator="equal">
      <formula>0</formula>
    </cfRule>
  </conditionalFormatting>
  <conditionalFormatting sqref="H7:H19">
    <cfRule type="cellIs" dxfId="198" priority="5" stopIfTrue="1" operator="equal">
      <formula>0</formula>
    </cfRule>
  </conditionalFormatting>
  <conditionalFormatting sqref="I7:I19">
    <cfRule type="cellIs" dxfId="197" priority="4" stopIfTrue="1" operator="equal">
      <formula>0</formula>
    </cfRule>
  </conditionalFormatting>
  <conditionalFormatting sqref="J7:J19">
    <cfRule type="cellIs" dxfId="196" priority="3" stopIfTrue="1" operator="equal">
      <formula>0</formula>
    </cfRule>
  </conditionalFormatting>
  <conditionalFormatting sqref="K7:K19">
    <cfRule type="cellIs" dxfId="195" priority="2" stopIfTrue="1" operator="equal">
      <formula>0</formula>
    </cfRule>
  </conditionalFormatting>
  <conditionalFormatting sqref="L7:L19">
    <cfRule type="cellIs" dxfId="19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52B1-0842-4DC2-9D3F-516917C33F50}">
  <dimension ref="A1:J20"/>
  <sheetViews>
    <sheetView zoomScale="103" zoomScaleNormal="75" workbookViewId="0">
      <selection activeCell="C19" sqref="C19"/>
    </sheetView>
  </sheetViews>
  <sheetFormatPr defaultRowHeight="12.75" x14ac:dyDescent="0.2"/>
  <cols>
    <col min="1" max="1" width="23.85546875" bestFit="1" customWidth="1"/>
    <col min="2" max="2" width="12.140625" customWidth="1"/>
    <col min="3" max="3" width="12.5703125" customWidth="1"/>
    <col min="4" max="9" width="11.42578125" customWidth="1"/>
  </cols>
  <sheetData>
    <row r="1" spans="1:9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</row>
    <row r="2" spans="1:9" x14ac:dyDescent="0.2">
      <c r="A2" s="27"/>
      <c r="B2" s="28"/>
      <c r="C2" s="28"/>
      <c r="D2" s="28"/>
      <c r="E2" s="28"/>
      <c r="F2" s="28"/>
      <c r="G2" s="28"/>
      <c r="H2" s="28"/>
      <c r="I2" s="28" t="s">
        <v>32</v>
      </c>
    </row>
    <row r="3" spans="1:9" x14ac:dyDescent="0.2">
      <c r="A3" s="27" t="s">
        <v>381</v>
      </c>
      <c r="B3" s="27"/>
      <c r="C3" s="27"/>
      <c r="D3" s="27"/>
      <c r="E3" s="27"/>
      <c r="F3" s="27"/>
      <c r="G3" s="27"/>
      <c r="H3" s="27"/>
      <c r="I3" s="27"/>
    </row>
    <row r="4" spans="1:9" ht="15.75" customHeight="1" x14ac:dyDescent="0.2">
      <c r="A4" s="129" t="s">
        <v>324</v>
      </c>
      <c r="B4" s="124" t="s">
        <v>378</v>
      </c>
      <c r="C4" s="128"/>
      <c r="D4" s="128"/>
      <c r="E4" s="128"/>
      <c r="F4" s="128"/>
      <c r="G4" s="128"/>
      <c r="H4" s="128"/>
      <c r="I4" s="125"/>
    </row>
    <row r="5" spans="1:9" s="7" customFormat="1" ht="15.75" customHeight="1" x14ac:dyDescent="0.2">
      <c r="A5" s="130"/>
      <c r="B5" s="122" t="s">
        <v>374</v>
      </c>
      <c r="C5" s="122"/>
      <c r="D5" s="122" t="s">
        <v>375</v>
      </c>
      <c r="E5" s="122"/>
      <c r="F5" s="122" t="s">
        <v>376</v>
      </c>
      <c r="G5" s="122"/>
      <c r="H5" s="122" t="s">
        <v>377</v>
      </c>
      <c r="I5" s="122"/>
    </row>
    <row r="6" spans="1:9" s="7" customFormat="1" ht="15.75" customHeight="1" x14ac:dyDescent="0.2">
      <c r="A6" s="131"/>
      <c r="B6" s="34" t="s">
        <v>239</v>
      </c>
      <c r="C6" s="34" t="s">
        <v>240</v>
      </c>
      <c r="D6" s="34" t="s">
        <v>239</v>
      </c>
      <c r="E6" s="34" t="s">
        <v>240</v>
      </c>
      <c r="F6" s="34" t="s">
        <v>239</v>
      </c>
      <c r="G6" s="34" t="s">
        <v>240</v>
      </c>
      <c r="H6" s="34" t="s">
        <v>239</v>
      </c>
      <c r="I6" s="34" t="s">
        <v>240</v>
      </c>
    </row>
    <row r="7" spans="1:9" s="6" customFormat="1" ht="20.45" customHeight="1" x14ac:dyDescent="0.2">
      <c r="A7" s="69" t="s">
        <v>0</v>
      </c>
      <c r="B7" s="49">
        <v>40571.888599395752</v>
      </c>
      <c r="C7" s="49">
        <v>46047.654291510582</v>
      </c>
      <c r="D7" s="49">
        <v>31484.457190155983</v>
      </c>
      <c r="E7" s="49">
        <v>29668.447868227959</v>
      </c>
      <c r="F7" s="49">
        <v>18922.951421737671</v>
      </c>
      <c r="G7" s="49">
        <v>19150.597020983696</v>
      </c>
      <c r="H7" s="49">
        <v>17411.74098098278</v>
      </c>
      <c r="I7" s="49">
        <v>17873.291692972183</v>
      </c>
    </row>
    <row r="8" spans="1:9" s="6" customFormat="1" ht="20.45" customHeight="1" x14ac:dyDescent="0.2">
      <c r="A8" s="29" t="s">
        <v>1</v>
      </c>
      <c r="B8" s="51">
        <v>1160509.7205253839</v>
      </c>
      <c r="C8" s="51">
        <v>1320427.560526967</v>
      </c>
      <c r="D8" s="51">
        <v>1000998.0078928471</v>
      </c>
      <c r="E8" s="51">
        <v>1043119.018897891</v>
      </c>
      <c r="F8" s="51">
        <v>754987.38426625729</v>
      </c>
      <c r="G8" s="51">
        <v>728355.11789977551</v>
      </c>
      <c r="H8" s="51">
        <v>713751.85618495941</v>
      </c>
      <c r="I8" s="51">
        <v>676837.99243283272</v>
      </c>
    </row>
    <row r="9" spans="1:9" ht="20.45" customHeight="1" x14ac:dyDescent="0.2">
      <c r="A9" s="30" t="s">
        <v>2</v>
      </c>
      <c r="B9" s="53">
        <v>116303.45525372028</v>
      </c>
      <c r="C9" s="53">
        <v>135874.34025120735</v>
      </c>
      <c r="D9" s="53">
        <v>85573.951390266418</v>
      </c>
      <c r="E9" s="53">
        <v>89535.144230604172</v>
      </c>
      <c r="F9" s="53">
        <v>59255.13933467865</v>
      </c>
      <c r="G9" s="53">
        <v>65601.541990876198</v>
      </c>
      <c r="H9" s="53">
        <v>56918.906478285789</v>
      </c>
      <c r="I9" s="53">
        <v>62343.251105189323</v>
      </c>
    </row>
    <row r="10" spans="1:9" ht="20.45" customHeight="1" x14ac:dyDescent="0.2">
      <c r="A10" s="30" t="s">
        <v>3</v>
      </c>
      <c r="B10" s="53">
        <v>174578.32287752628</v>
      </c>
      <c r="C10" s="53">
        <v>202122.51650309563</v>
      </c>
      <c r="D10" s="53">
        <v>134710.46578025818</v>
      </c>
      <c r="E10" s="53">
        <v>142233.30358088017</v>
      </c>
      <c r="F10" s="53">
        <v>93088.502135515213</v>
      </c>
      <c r="G10" s="53">
        <v>98372.728511691093</v>
      </c>
      <c r="H10" s="53">
        <v>87789.806632041931</v>
      </c>
      <c r="I10" s="53">
        <v>92431.304552316666</v>
      </c>
    </row>
    <row r="11" spans="1:9" ht="20.45" customHeight="1" x14ac:dyDescent="0.2">
      <c r="A11" s="30" t="s">
        <v>4</v>
      </c>
      <c r="B11" s="53">
        <v>403935.98173892498</v>
      </c>
      <c r="C11" s="53">
        <v>469906.69198763371</v>
      </c>
      <c r="D11" s="53">
        <v>344045.73990571499</v>
      </c>
      <c r="E11" s="53">
        <v>362559.41309654713</v>
      </c>
      <c r="F11" s="53">
        <v>252091.69753575325</v>
      </c>
      <c r="G11" s="53">
        <v>243924.91929924488</v>
      </c>
      <c r="H11" s="53">
        <v>228332.91412174702</v>
      </c>
      <c r="I11" s="53">
        <v>220704.44322574139</v>
      </c>
    </row>
    <row r="12" spans="1:9" ht="20.45" customHeight="1" x14ac:dyDescent="0.2">
      <c r="A12" s="30" t="s">
        <v>5</v>
      </c>
      <c r="B12" s="53">
        <v>277201.30119371414</v>
      </c>
      <c r="C12" s="53">
        <v>316798.38357746601</v>
      </c>
      <c r="D12" s="53">
        <v>263926.67944514751</v>
      </c>
      <c r="E12" s="53">
        <v>274018.6650288105</v>
      </c>
      <c r="F12" s="53">
        <v>205681.02100217342</v>
      </c>
      <c r="G12" s="53">
        <v>189480.36064779758</v>
      </c>
      <c r="H12" s="53">
        <v>194393.95513939857</v>
      </c>
      <c r="I12" s="53">
        <v>176879.59615421295</v>
      </c>
    </row>
    <row r="13" spans="1:9" ht="20.45" customHeight="1" x14ac:dyDescent="0.2">
      <c r="A13" s="30" t="s">
        <v>6</v>
      </c>
      <c r="B13" s="53">
        <v>138404.6013058424</v>
      </c>
      <c r="C13" s="53">
        <v>145770.93203699589</v>
      </c>
      <c r="D13" s="53">
        <v>129681.1990197897</v>
      </c>
      <c r="E13" s="53">
        <v>133990.84581077099</v>
      </c>
      <c r="F13" s="53">
        <v>109949.52356421947</v>
      </c>
      <c r="G13" s="53">
        <v>99493.319401144981</v>
      </c>
      <c r="H13" s="53">
        <v>108852.84078252316</v>
      </c>
      <c r="I13" s="53">
        <v>92653.542318344116</v>
      </c>
    </row>
    <row r="14" spans="1:9" ht="20.45" customHeight="1" x14ac:dyDescent="0.2">
      <c r="A14" s="30" t="s">
        <v>7</v>
      </c>
      <c r="B14" s="53">
        <v>30390.567797541618</v>
      </c>
      <c r="C14" s="53">
        <v>31070.160819172859</v>
      </c>
      <c r="D14" s="53">
        <v>27732.971932768822</v>
      </c>
      <c r="E14" s="53">
        <v>26457.110445737839</v>
      </c>
      <c r="F14" s="53">
        <v>22242.407751917839</v>
      </c>
      <c r="G14" s="53">
        <v>20313.309225440025</v>
      </c>
      <c r="H14" s="53">
        <v>24221.087522983551</v>
      </c>
      <c r="I14" s="53">
        <v>20507.994575381279</v>
      </c>
    </row>
    <row r="15" spans="1:9" ht="20.45" customHeight="1" x14ac:dyDescent="0.2">
      <c r="A15" s="30" t="s">
        <v>8</v>
      </c>
      <c r="B15" s="53">
        <v>11683.870459914207</v>
      </c>
      <c r="C15" s="53">
        <v>11165.202014446259</v>
      </c>
      <c r="D15" s="53">
        <v>8848.5364383459091</v>
      </c>
      <c r="E15" s="53">
        <v>8387.5635142326355</v>
      </c>
      <c r="F15" s="53">
        <v>8187.8593094348907</v>
      </c>
      <c r="G15" s="53">
        <v>7571.0338982343674</v>
      </c>
      <c r="H15" s="53">
        <v>8024.9388329982758</v>
      </c>
      <c r="I15" s="53">
        <v>6502.6448463201523</v>
      </c>
    </row>
    <row r="16" spans="1:9" ht="20.45" customHeight="1" x14ac:dyDescent="0.2">
      <c r="A16" s="30" t="s">
        <v>9</v>
      </c>
      <c r="B16" s="53">
        <v>3590.774041891098</v>
      </c>
      <c r="C16" s="53">
        <v>3278.6481260061264</v>
      </c>
      <c r="D16" s="53">
        <v>2724.301212310791</v>
      </c>
      <c r="E16" s="53">
        <v>2768.5730855464935</v>
      </c>
      <c r="F16" s="53">
        <v>2412.2745611667633</v>
      </c>
      <c r="G16" s="53">
        <v>1804.6429088115692</v>
      </c>
      <c r="H16" s="53">
        <v>2285.3487887382507</v>
      </c>
      <c r="I16" s="53">
        <v>2124.7950810194016</v>
      </c>
    </row>
    <row r="17" spans="1:10" ht="20.45" customHeight="1" x14ac:dyDescent="0.2">
      <c r="A17" s="30" t="s">
        <v>10</v>
      </c>
      <c r="B17" s="53">
        <v>3968.8551489114761</v>
      </c>
      <c r="C17" s="53">
        <v>3919.1418988704681</v>
      </c>
      <c r="D17" s="53">
        <v>3214.3335102796555</v>
      </c>
      <c r="E17" s="53">
        <v>2796.4079225063324</v>
      </c>
      <c r="F17" s="53">
        <v>1950.9211251735687</v>
      </c>
      <c r="G17" s="53">
        <v>1608.9221141338348</v>
      </c>
      <c r="H17" s="53">
        <v>2480.1873818635941</v>
      </c>
      <c r="I17" s="53">
        <v>2318.1569648981094</v>
      </c>
    </row>
    <row r="18" spans="1:10" ht="20.45" customHeight="1" x14ac:dyDescent="0.2">
      <c r="A18" s="30" t="s">
        <v>11</v>
      </c>
      <c r="B18" s="53">
        <v>451.99070739746094</v>
      </c>
      <c r="C18" s="53">
        <v>521.54331207275391</v>
      </c>
      <c r="D18" s="53">
        <v>539.82925796508789</v>
      </c>
      <c r="E18" s="53">
        <v>371.99218225479126</v>
      </c>
      <c r="F18" s="53">
        <v>128.03794622421265</v>
      </c>
      <c r="G18" s="53">
        <v>184.33990240097046</v>
      </c>
      <c r="H18" s="53">
        <v>451.87050437927246</v>
      </c>
      <c r="I18" s="53">
        <v>372.26360940933228</v>
      </c>
    </row>
    <row r="19" spans="1:10" s="6" customFormat="1" ht="20.45" customHeight="1" x14ac:dyDescent="0.2">
      <c r="A19" s="31" t="s">
        <v>12</v>
      </c>
      <c r="B19" s="25">
        <f>B7+B8</f>
        <v>1201081.6091247797</v>
      </c>
      <c r="C19" s="25">
        <f t="shared" ref="C19:I19" si="0">C7+C8</f>
        <v>1366475.2148184776</v>
      </c>
      <c r="D19" s="25">
        <f t="shared" si="0"/>
        <v>1032482.465083003</v>
      </c>
      <c r="E19" s="25">
        <f t="shared" si="0"/>
        <v>1072787.466766119</v>
      </c>
      <c r="F19" s="25">
        <f t="shared" si="0"/>
        <v>773910.33568799496</v>
      </c>
      <c r="G19" s="25">
        <f t="shared" si="0"/>
        <v>747505.7149207592</v>
      </c>
      <c r="H19" s="25">
        <f t="shared" si="0"/>
        <v>731163.59716594219</v>
      </c>
      <c r="I19" s="25">
        <f t="shared" si="0"/>
        <v>694711.2841258049</v>
      </c>
      <c r="J19" s="62"/>
    </row>
    <row r="20" spans="1:10" ht="12" customHeight="1" x14ac:dyDescent="0.2"/>
  </sheetData>
  <mergeCells count="7">
    <mergeCell ref="A1:I1"/>
    <mergeCell ref="A4:A6"/>
    <mergeCell ref="B4:I4"/>
    <mergeCell ref="B5:C5"/>
    <mergeCell ref="D5:E5"/>
    <mergeCell ref="F5:G5"/>
    <mergeCell ref="H5:I5"/>
  </mergeCells>
  <conditionalFormatting sqref="B7:B19">
    <cfRule type="cellIs" dxfId="193" priority="8" stopIfTrue="1" operator="equal">
      <formula>0</formula>
    </cfRule>
  </conditionalFormatting>
  <conditionalFormatting sqref="C7:C19">
    <cfRule type="cellIs" dxfId="192" priority="7" stopIfTrue="1" operator="equal">
      <formula>0</formula>
    </cfRule>
  </conditionalFormatting>
  <conditionalFormatting sqref="D7:D19">
    <cfRule type="cellIs" dxfId="191" priority="6" stopIfTrue="1" operator="equal">
      <formula>0</formula>
    </cfRule>
  </conditionalFormatting>
  <conditionalFormatting sqref="E7:E19">
    <cfRule type="cellIs" dxfId="190" priority="5" stopIfTrue="1" operator="equal">
      <formula>0</formula>
    </cfRule>
  </conditionalFormatting>
  <conditionalFormatting sqref="F7:F19">
    <cfRule type="cellIs" dxfId="189" priority="4" stopIfTrue="1" operator="equal">
      <formula>0</formula>
    </cfRule>
  </conditionalFormatting>
  <conditionalFormatting sqref="G7:G19">
    <cfRule type="cellIs" dxfId="188" priority="3" stopIfTrue="1" operator="equal">
      <formula>0</formula>
    </cfRule>
  </conditionalFormatting>
  <conditionalFormatting sqref="H7:H19">
    <cfRule type="cellIs" dxfId="187" priority="2" stopIfTrue="1" operator="equal">
      <formula>0</formula>
    </cfRule>
  </conditionalFormatting>
  <conditionalFormatting sqref="I7:I19">
    <cfRule type="cellIs" dxfId="186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2113-2FE4-44F8-8595-24F5B8AF518F}">
  <dimension ref="A1:M20"/>
  <sheetViews>
    <sheetView zoomScale="92" zoomScaleNormal="117" workbookViewId="0">
      <selection activeCell="C19" sqref="C19"/>
    </sheetView>
  </sheetViews>
  <sheetFormatPr defaultRowHeight="12.75" x14ac:dyDescent="0.2"/>
  <cols>
    <col min="1" max="1" width="24.85546875" customWidth="1"/>
    <col min="2" max="2" width="11.42578125" customWidth="1"/>
    <col min="3" max="4" width="10.5703125" customWidth="1"/>
    <col min="5" max="5" width="9.5703125" customWidth="1"/>
    <col min="6" max="6" width="10.5703125" customWidth="1"/>
    <col min="7" max="7" width="9.85546875" customWidth="1"/>
    <col min="8" max="8" width="11.5703125" customWidth="1"/>
    <col min="9" max="9" width="10.5703125" customWidth="1"/>
    <col min="10" max="12" width="11.5703125" customWidth="1"/>
    <col min="13" max="13" width="10.5703125" customWidth="1"/>
  </cols>
  <sheetData>
    <row r="1" spans="1:13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42"/>
      <c r="L2" s="27"/>
      <c r="M2" s="42" t="s">
        <v>32</v>
      </c>
    </row>
    <row r="3" spans="1:13" ht="16.5" customHeight="1" x14ac:dyDescent="0.2">
      <c r="A3" s="96" t="s">
        <v>382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8" customHeight="1" x14ac:dyDescent="0.2">
      <c r="A4" s="129" t="s">
        <v>30</v>
      </c>
      <c r="B4" s="122" t="s">
        <v>646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</row>
    <row r="5" spans="1:13" s="7" customFormat="1" ht="33" customHeight="1" x14ac:dyDescent="0.2">
      <c r="A5" s="130"/>
      <c r="B5" s="122" t="s">
        <v>47</v>
      </c>
      <c r="C5" s="122"/>
      <c r="D5" s="122" t="s">
        <v>513</v>
      </c>
      <c r="E5" s="122"/>
      <c r="F5" s="122" t="s">
        <v>514</v>
      </c>
      <c r="G5" s="122"/>
      <c r="H5" s="120" t="s">
        <v>516</v>
      </c>
      <c r="I5" s="120"/>
      <c r="J5" s="120" t="s">
        <v>515</v>
      </c>
      <c r="K5" s="120"/>
      <c r="L5" s="120" t="s">
        <v>517</v>
      </c>
      <c r="M5" s="120"/>
    </row>
    <row r="6" spans="1:13" s="7" customFormat="1" ht="18" customHeight="1" x14ac:dyDescent="0.2">
      <c r="A6" s="131"/>
      <c r="B6" s="34" t="s">
        <v>239</v>
      </c>
      <c r="C6" s="34" t="s">
        <v>240</v>
      </c>
      <c r="D6" s="34" t="s">
        <v>239</v>
      </c>
      <c r="E6" s="34" t="s">
        <v>240</v>
      </c>
      <c r="F6" s="34" t="s">
        <v>239</v>
      </c>
      <c r="G6" s="34" t="s">
        <v>240</v>
      </c>
      <c r="H6" s="34" t="s">
        <v>239</v>
      </c>
      <c r="I6" s="34" t="s">
        <v>240</v>
      </c>
      <c r="J6" s="34" t="s">
        <v>239</v>
      </c>
      <c r="K6" s="34" t="s">
        <v>240</v>
      </c>
      <c r="L6" s="34" t="s">
        <v>239</v>
      </c>
      <c r="M6" s="34" t="s">
        <v>240</v>
      </c>
    </row>
    <row r="7" spans="1:13" s="6" customFormat="1" ht="20.45" customHeight="1" x14ac:dyDescent="0.2">
      <c r="A7" s="69" t="s">
        <v>0</v>
      </c>
      <c r="B7" s="49">
        <v>268008.19957172871</v>
      </c>
      <c r="C7" s="49">
        <v>285467.72409975529</v>
      </c>
      <c r="D7" s="49">
        <v>10922.072653055191</v>
      </c>
      <c r="E7" s="49">
        <v>10750.413858890533</v>
      </c>
      <c r="F7" s="49">
        <v>64720.70790874958</v>
      </c>
      <c r="G7" s="49">
        <v>60799.212621569633</v>
      </c>
      <c r="H7" s="49">
        <v>44015.370532274246</v>
      </c>
      <c r="I7" s="49">
        <v>39154.189441919327</v>
      </c>
      <c r="J7" s="49">
        <v>38105.525905370712</v>
      </c>
      <c r="K7" s="49">
        <v>33346.046021103859</v>
      </c>
      <c r="L7" s="49">
        <v>15207.731859445572</v>
      </c>
      <c r="M7" s="49">
        <v>13107.516715049744</v>
      </c>
    </row>
    <row r="8" spans="1:13" s="6" customFormat="1" ht="20.45" customHeight="1" x14ac:dyDescent="0.2">
      <c r="A8" s="29" t="s">
        <v>1</v>
      </c>
      <c r="B8" s="51">
        <v>8543327.876160264</v>
      </c>
      <c r="C8" s="51">
        <v>8951856.6606966257</v>
      </c>
      <c r="D8" s="51">
        <v>250154.1474353075</v>
      </c>
      <c r="E8" s="51">
        <v>253787.4123442173</v>
      </c>
      <c r="F8" s="51">
        <v>2028715.3583730459</v>
      </c>
      <c r="G8" s="51">
        <v>1782047.8949979544</v>
      </c>
      <c r="H8" s="51">
        <v>1506121.3165775537</v>
      </c>
      <c r="I8" s="51">
        <v>1304392.3332178593</v>
      </c>
      <c r="J8" s="51">
        <v>1424288.2140781879</v>
      </c>
      <c r="K8" s="51">
        <v>1206238.9782652855</v>
      </c>
      <c r="L8" s="51">
        <v>472170.00894999504</v>
      </c>
      <c r="M8" s="51">
        <v>395024.6442002058</v>
      </c>
    </row>
    <row r="9" spans="1:13" ht="20.45" customHeight="1" x14ac:dyDescent="0.2">
      <c r="A9" s="30" t="s">
        <v>2</v>
      </c>
      <c r="B9" s="53">
        <v>775772.91921103001</v>
      </c>
      <c r="C9" s="53">
        <v>857297.42724442482</v>
      </c>
      <c r="D9" s="53">
        <v>25217.498237848282</v>
      </c>
      <c r="E9" s="53">
        <v>25637.098207831383</v>
      </c>
      <c r="F9" s="53">
        <v>187763.52128148079</v>
      </c>
      <c r="G9" s="53">
        <v>176864.02724528313</v>
      </c>
      <c r="H9" s="53">
        <v>132829.27876198292</v>
      </c>
      <c r="I9" s="53">
        <v>124378.02683508396</v>
      </c>
      <c r="J9" s="53">
        <v>117532.00461304188</v>
      </c>
      <c r="K9" s="53">
        <v>110186.32337462902</v>
      </c>
      <c r="L9" s="53">
        <v>46871.306609749794</v>
      </c>
      <c r="M9" s="53">
        <v>40676.016323447227</v>
      </c>
    </row>
    <row r="10" spans="1:13" ht="20.45" customHeight="1" x14ac:dyDescent="0.2">
      <c r="A10" s="30" t="s">
        <v>3</v>
      </c>
      <c r="B10" s="53">
        <v>1228467.6680355072</v>
      </c>
      <c r="C10" s="53">
        <v>1333818.9138578176</v>
      </c>
      <c r="D10" s="53">
        <v>39091.466280460358</v>
      </c>
      <c r="E10" s="53">
        <v>39949.870346069336</v>
      </c>
      <c r="F10" s="53">
        <v>321191.53280973434</v>
      </c>
      <c r="G10" s="53">
        <v>286426.5118765831</v>
      </c>
      <c r="H10" s="53">
        <v>224511.24410450459</v>
      </c>
      <c r="I10" s="53">
        <v>205121.15295362473</v>
      </c>
      <c r="J10" s="53">
        <v>188516.51926779747</v>
      </c>
      <c r="K10" s="53">
        <v>169807.5020635128</v>
      </c>
      <c r="L10" s="53">
        <v>61181.010522723198</v>
      </c>
      <c r="M10" s="53">
        <v>54159.125907063484</v>
      </c>
    </row>
    <row r="11" spans="1:13" ht="20.45" customHeight="1" x14ac:dyDescent="0.2">
      <c r="A11" s="30" t="s">
        <v>4</v>
      </c>
      <c r="B11" s="53">
        <v>2930845.7567249537</v>
      </c>
      <c r="C11" s="53">
        <v>3117317.577775836</v>
      </c>
      <c r="D11" s="53">
        <v>85923.852242946625</v>
      </c>
      <c r="E11" s="53">
        <v>90072.921425938606</v>
      </c>
      <c r="F11" s="53">
        <v>719272.47841465473</v>
      </c>
      <c r="G11" s="53">
        <v>634487.13289749622</v>
      </c>
      <c r="H11" s="53">
        <v>528603.89475858212</v>
      </c>
      <c r="I11" s="53">
        <v>464724.65612137318</v>
      </c>
      <c r="J11" s="53">
        <v>483712.61319363117</v>
      </c>
      <c r="K11" s="53">
        <v>418491.80970871449</v>
      </c>
      <c r="L11" s="53">
        <v>153803.71158540249</v>
      </c>
      <c r="M11" s="53">
        <v>133127.1791049242</v>
      </c>
    </row>
    <row r="12" spans="1:13" ht="20.45" customHeight="1" x14ac:dyDescent="0.2">
      <c r="A12" s="30" t="s">
        <v>5</v>
      </c>
      <c r="B12" s="53">
        <v>2149055.0403209925</v>
      </c>
      <c r="C12" s="53">
        <v>2206916.3851811886</v>
      </c>
      <c r="D12" s="53">
        <v>60356.751380562782</v>
      </c>
      <c r="E12" s="53">
        <v>59610.979673027992</v>
      </c>
      <c r="F12" s="53">
        <v>492901.75709545612</v>
      </c>
      <c r="G12" s="53">
        <v>422447.32030785084</v>
      </c>
      <c r="H12" s="53">
        <v>380120.4130243063</v>
      </c>
      <c r="I12" s="53">
        <v>314992.30822944641</v>
      </c>
      <c r="J12" s="53">
        <v>367889.151679039</v>
      </c>
      <c r="K12" s="53">
        <v>300696.45247447491</v>
      </c>
      <c r="L12" s="53">
        <v>120176.47787392139</v>
      </c>
      <c r="M12" s="53">
        <v>97708.818788051605</v>
      </c>
    </row>
    <row r="13" spans="1:13" ht="20.45" customHeight="1" x14ac:dyDescent="0.2">
      <c r="A13" s="30" t="s">
        <v>6</v>
      </c>
      <c r="B13" s="53">
        <v>1084971.6782075167</v>
      </c>
      <c r="C13" s="53">
        <v>1077627.6033176184</v>
      </c>
      <c r="D13" s="53">
        <v>28853.315506219864</v>
      </c>
      <c r="E13" s="53">
        <v>28752.279829859734</v>
      </c>
      <c r="F13" s="53">
        <v>232849.60316467285</v>
      </c>
      <c r="G13" s="53">
        <v>196811.91633689404</v>
      </c>
      <c r="H13" s="53">
        <v>181759.39070117474</v>
      </c>
      <c r="I13" s="53">
        <v>146127.75455200672</v>
      </c>
      <c r="J13" s="53">
        <v>196514.1355471611</v>
      </c>
      <c r="K13" s="53">
        <v>155033.84104955196</v>
      </c>
      <c r="L13" s="53">
        <v>64911.941534996033</v>
      </c>
      <c r="M13" s="53">
        <v>50670.032437562943</v>
      </c>
    </row>
    <row r="14" spans="1:13" ht="20.45" customHeight="1" x14ac:dyDescent="0.2">
      <c r="A14" s="30" t="s">
        <v>7</v>
      </c>
      <c r="B14" s="53">
        <v>235432.91369616985</v>
      </c>
      <c r="C14" s="53">
        <v>229130.83849811554</v>
      </c>
      <c r="D14" s="53">
        <v>6618.4754030704498</v>
      </c>
      <c r="E14" s="53">
        <v>6169.3239040374756</v>
      </c>
      <c r="F14" s="53">
        <v>48320.411360383034</v>
      </c>
      <c r="G14" s="53">
        <v>41056.603976726532</v>
      </c>
      <c r="H14" s="53">
        <v>38080.590419411659</v>
      </c>
      <c r="I14" s="53">
        <v>31549.819433569908</v>
      </c>
      <c r="J14" s="53">
        <v>43584.805450201035</v>
      </c>
      <c r="K14" s="53">
        <v>32876.497770905495</v>
      </c>
      <c r="L14" s="53">
        <v>15431.386237978935</v>
      </c>
      <c r="M14" s="53">
        <v>11727.891198158264</v>
      </c>
    </row>
    <row r="15" spans="1:13" ht="20.45" customHeight="1" x14ac:dyDescent="0.2">
      <c r="A15" s="30" t="s">
        <v>8</v>
      </c>
      <c r="B15" s="53">
        <v>84047.260604739189</v>
      </c>
      <c r="C15" s="53">
        <v>79508.416267633438</v>
      </c>
      <c r="D15" s="53">
        <v>2530.2211937904358</v>
      </c>
      <c r="E15" s="53">
        <v>2214.3206748962402</v>
      </c>
      <c r="F15" s="53">
        <v>16453.459039211273</v>
      </c>
      <c r="G15" s="53">
        <v>15124.321171760559</v>
      </c>
      <c r="H15" s="53">
        <v>12419.976510763168</v>
      </c>
      <c r="I15" s="53">
        <v>10271.132010698318</v>
      </c>
      <c r="J15" s="53">
        <v>16095.515767931938</v>
      </c>
      <c r="K15" s="53">
        <v>11422.665451288223</v>
      </c>
      <c r="L15" s="53">
        <v>6007.362468957901</v>
      </c>
      <c r="M15" s="53">
        <v>4229.8449046611786</v>
      </c>
    </row>
    <row r="16" spans="1:13" ht="20.45" customHeight="1" x14ac:dyDescent="0.2">
      <c r="A16" s="30" t="s">
        <v>9</v>
      </c>
      <c r="B16" s="53">
        <v>24803.499609351158</v>
      </c>
      <c r="C16" s="53">
        <v>22391.519190311432</v>
      </c>
      <c r="D16" s="53">
        <v>654.52668952941895</v>
      </c>
      <c r="E16" s="53">
        <v>572.26743721961975</v>
      </c>
      <c r="F16" s="53">
        <v>4798.6986384391785</v>
      </c>
      <c r="G16" s="53">
        <v>3919.1468524932861</v>
      </c>
      <c r="H16" s="53">
        <v>3694.366948723793</v>
      </c>
      <c r="I16" s="53">
        <v>3022.296546459198</v>
      </c>
      <c r="J16" s="53">
        <v>4698.7795330286026</v>
      </c>
      <c r="K16" s="53">
        <v>3853.6693377494812</v>
      </c>
      <c r="L16" s="53">
        <v>1694.2302098274231</v>
      </c>
      <c r="M16" s="53">
        <v>1178.1436333656311</v>
      </c>
    </row>
    <row r="17" spans="1:13" ht="20.45" customHeight="1" x14ac:dyDescent="0.2">
      <c r="A17" s="30" t="s">
        <v>10</v>
      </c>
      <c r="B17" s="53">
        <v>26499.616276741028</v>
      </c>
      <c r="C17" s="53">
        <v>24689.101843595505</v>
      </c>
      <c r="D17" s="53">
        <v>821.90385317802429</v>
      </c>
      <c r="E17" s="53">
        <v>766.4552116394043</v>
      </c>
      <c r="F17" s="53">
        <v>4686.2094967365265</v>
      </c>
      <c r="G17" s="53">
        <v>4394.8984866142273</v>
      </c>
      <c r="H17" s="53">
        <v>3682.2428233623505</v>
      </c>
      <c r="I17" s="53">
        <v>3884.3441526889801</v>
      </c>
      <c r="J17" s="53">
        <v>5134.685124874115</v>
      </c>
      <c r="K17" s="53">
        <v>3485.0185891389847</v>
      </c>
      <c r="L17" s="53">
        <v>1822.0193229913712</v>
      </c>
      <c r="M17" s="53">
        <v>1306.4668276309967</v>
      </c>
    </row>
    <row r="18" spans="1:13" ht="20.45" customHeight="1" x14ac:dyDescent="0.2">
      <c r="A18" s="30" t="s">
        <v>11</v>
      </c>
      <c r="B18" s="53">
        <v>3431.5234732627869</v>
      </c>
      <c r="C18" s="53">
        <v>3158.8775200843811</v>
      </c>
      <c r="D18" s="53">
        <v>86.136647701263428</v>
      </c>
      <c r="E18" s="53">
        <v>41.895633697509766</v>
      </c>
      <c r="F18" s="53">
        <v>477.68707227706909</v>
      </c>
      <c r="G18" s="53">
        <v>516.01584625244141</v>
      </c>
      <c r="H18" s="53">
        <v>419.91852474212646</v>
      </c>
      <c r="I18" s="53">
        <v>320.84238290786743</v>
      </c>
      <c r="J18" s="53">
        <v>610.00390148162842</v>
      </c>
      <c r="K18" s="53">
        <v>385.19844532012939</v>
      </c>
      <c r="L18" s="53">
        <v>270.56258344650269</v>
      </c>
      <c r="M18" s="53">
        <v>241.125075340271</v>
      </c>
    </row>
    <row r="19" spans="1:13" s="6" customFormat="1" ht="20.45" customHeight="1" x14ac:dyDescent="0.2">
      <c r="A19" s="31" t="s">
        <v>12</v>
      </c>
      <c r="B19" s="25">
        <f>B7+B8</f>
        <v>8811336.0757319927</v>
      </c>
      <c r="C19" s="25">
        <f t="shared" ref="C19:M19" si="0">C7+C8</f>
        <v>9237324.384796381</v>
      </c>
      <c r="D19" s="25">
        <f t="shared" si="0"/>
        <v>261076.22008836269</v>
      </c>
      <c r="E19" s="25">
        <f t="shared" si="0"/>
        <v>264537.82620310783</v>
      </c>
      <c r="F19" s="25">
        <f t="shared" si="0"/>
        <v>2093436.0662817955</v>
      </c>
      <c r="G19" s="25">
        <f t="shared" si="0"/>
        <v>1842847.107619524</v>
      </c>
      <c r="H19" s="25">
        <f t="shared" si="0"/>
        <v>1550136.687109828</v>
      </c>
      <c r="I19" s="25">
        <f t="shared" si="0"/>
        <v>1343546.5226597786</v>
      </c>
      <c r="J19" s="25">
        <f t="shared" si="0"/>
        <v>1462393.7399835587</v>
      </c>
      <c r="K19" s="25">
        <f t="shared" si="0"/>
        <v>1239585.0242863894</v>
      </c>
      <c r="L19" s="25">
        <f t="shared" si="0"/>
        <v>487377.74080944061</v>
      </c>
      <c r="M19" s="25">
        <f t="shared" si="0"/>
        <v>408132.16091525555</v>
      </c>
    </row>
    <row r="20" spans="1:13" ht="12" customHeight="1" x14ac:dyDescent="0.2"/>
  </sheetData>
  <mergeCells count="9">
    <mergeCell ref="L5:M5"/>
    <mergeCell ref="B4:M4"/>
    <mergeCell ref="A1:M1"/>
    <mergeCell ref="A4:A6"/>
    <mergeCell ref="B5:C5"/>
    <mergeCell ref="D5:E5"/>
    <mergeCell ref="F5:G5"/>
    <mergeCell ref="H5:I5"/>
    <mergeCell ref="J5:K5"/>
  </mergeCells>
  <conditionalFormatting sqref="B7:B19">
    <cfRule type="cellIs" dxfId="185" priority="12" stopIfTrue="1" operator="equal">
      <formula>0</formula>
    </cfRule>
  </conditionalFormatting>
  <conditionalFormatting sqref="C7:C19">
    <cfRule type="cellIs" dxfId="184" priority="11" stopIfTrue="1" operator="equal">
      <formula>0</formula>
    </cfRule>
  </conditionalFormatting>
  <conditionalFormatting sqref="D7:D19">
    <cfRule type="cellIs" dxfId="183" priority="10" stopIfTrue="1" operator="equal">
      <formula>0</formula>
    </cfRule>
  </conditionalFormatting>
  <conditionalFormatting sqref="E7:E19">
    <cfRule type="cellIs" dxfId="182" priority="9" stopIfTrue="1" operator="equal">
      <formula>0</formula>
    </cfRule>
  </conditionalFormatting>
  <conditionalFormatting sqref="F7:F19">
    <cfRule type="cellIs" dxfId="181" priority="8" stopIfTrue="1" operator="equal">
      <formula>0</formula>
    </cfRule>
  </conditionalFormatting>
  <conditionalFormatting sqref="G7:G19">
    <cfRule type="cellIs" dxfId="180" priority="7" stopIfTrue="1" operator="equal">
      <formula>0</formula>
    </cfRule>
  </conditionalFormatting>
  <conditionalFormatting sqref="H7:H19">
    <cfRule type="cellIs" dxfId="179" priority="6" stopIfTrue="1" operator="equal">
      <formula>0</formula>
    </cfRule>
  </conditionalFormatting>
  <conditionalFormatting sqref="I7:I19">
    <cfRule type="cellIs" dxfId="178" priority="5" stopIfTrue="1" operator="equal">
      <formula>0</formula>
    </cfRule>
  </conditionalFormatting>
  <conditionalFormatting sqref="J7:J19">
    <cfRule type="cellIs" dxfId="177" priority="4" stopIfTrue="1" operator="equal">
      <formula>0</formula>
    </cfRule>
  </conditionalFormatting>
  <conditionalFormatting sqref="K7:K19">
    <cfRule type="cellIs" dxfId="176" priority="3" stopIfTrue="1" operator="equal">
      <formula>0</formula>
    </cfRule>
  </conditionalFormatting>
  <conditionalFormatting sqref="L7:L19">
    <cfRule type="cellIs" dxfId="175" priority="2" stopIfTrue="1" operator="equal">
      <formula>0</formula>
    </cfRule>
  </conditionalFormatting>
  <conditionalFormatting sqref="M7:M19">
    <cfRule type="cellIs" dxfId="17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745C-D559-447C-A43A-B3B5B0D8DEEC}">
  <dimension ref="A1:K20"/>
  <sheetViews>
    <sheetView zoomScale="101" zoomScaleNormal="126" workbookViewId="0">
      <selection activeCell="C19" sqref="C19"/>
    </sheetView>
  </sheetViews>
  <sheetFormatPr defaultRowHeight="12.75" x14ac:dyDescent="0.2"/>
  <cols>
    <col min="1" max="1" width="27.85546875" customWidth="1"/>
    <col min="2" max="11" width="12.140625" customWidth="1"/>
  </cols>
  <sheetData>
    <row r="1" spans="1:11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 t="s">
        <v>32</v>
      </c>
    </row>
    <row r="3" spans="1:11" ht="16.5" customHeight="1" x14ac:dyDescent="0.2">
      <c r="A3" s="96" t="s">
        <v>383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18.600000000000001" customHeight="1" x14ac:dyDescent="0.2">
      <c r="A4" s="129" t="s">
        <v>30</v>
      </c>
      <c r="B4" s="122" t="s">
        <v>647</v>
      </c>
      <c r="C4" s="122"/>
      <c r="D4" s="122"/>
      <c r="E4" s="122"/>
      <c r="F4" s="122"/>
      <c r="G4" s="122"/>
      <c r="H4" s="122"/>
      <c r="I4" s="122"/>
      <c r="J4" s="122"/>
      <c r="K4" s="122"/>
    </row>
    <row r="5" spans="1:11" s="7" customFormat="1" ht="29.45" customHeight="1" x14ac:dyDescent="0.2">
      <c r="A5" s="130"/>
      <c r="B5" s="122" t="s">
        <v>539</v>
      </c>
      <c r="C5" s="122"/>
      <c r="D5" s="122" t="s">
        <v>518</v>
      </c>
      <c r="E5" s="122"/>
      <c r="F5" s="176" t="s">
        <v>519</v>
      </c>
      <c r="G5" s="178"/>
      <c r="H5" s="176" t="s">
        <v>524</v>
      </c>
      <c r="I5" s="178"/>
      <c r="J5" s="124" t="s">
        <v>523</v>
      </c>
      <c r="K5" s="125"/>
    </row>
    <row r="6" spans="1:11" s="7" customFormat="1" ht="18" customHeight="1" x14ac:dyDescent="0.2">
      <c r="A6" s="131"/>
      <c r="B6" s="34" t="s">
        <v>239</v>
      </c>
      <c r="C6" s="34" t="s">
        <v>240</v>
      </c>
      <c r="D6" s="34" t="s">
        <v>239</v>
      </c>
      <c r="E6" s="34" t="s">
        <v>240</v>
      </c>
      <c r="F6" s="34" t="s">
        <v>239</v>
      </c>
      <c r="G6" s="34" t="s">
        <v>240</v>
      </c>
      <c r="H6" s="34" t="s">
        <v>239</v>
      </c>
      <c r="I6" s="34" t="s">
        <v>240</v>
      </c>
      <c r="J6" s="34" t="s">
        <v>239</v>
      </c>
      <c r="K6" s="34" t="s">
        <v>240</v>
      </c>
    </row>
    <row r="7" spans="1:11" s="6" customFormat="1" ht="20.45" customHeight="1" x14ac:dyDescent="0.2">
      <c r="A7" s="69" t="s">
        <v>0</v>
      </c>
      <c r="B7" s="49">
        <v>22263.608680486679</v>
      </c>
      <c r="C7" s="49">
        <v>19588.456684112549</v>
      </c>
      <c r="D7" s="49">
        <v>7758.4338991641998</v>
      </c>
      <c r="E7" s="49">
        <v>6699.169713973999</v>
      </c>
      <c r="F7" s="49">
        <v>4299.4934377670288</v>
      </c>
      <c r="G7" s="49">
        <v>2610.1257719993591</v>
      </c>
      <c r="H7" s="49">
        <v>20186.075287699699</v>
      </c>
      <c r="I7" s="49">
        <v>28849.369257688522</v>
      </c>
      <c r="J7" s="49">
        <v>40529.179407715797</v>
      </c>
      <c r="K7" s="49">
        <v>70563.224013447762</v>
      </c>
    </row>
    <row r="8" spans="1:11" s="6" customFormat="1" ht="20.45" customHeight="1" x14ac:dyDescent="0.2">
      <c r="A8" s="29" t="s">
        <v>1</v>
      </c>
      <c r="B8" s="51">
        <v>803288.70905864239</v>
      </c>
      <c r="C8" s="51">
        <v>714260.97934186459</v>
      </c>
      <c r="D8" s="51">
        <v>227870.19485592842</v>
      </c>
      <c r="E8" s="51">
        <v>175762.39982151985</v>
      </c>
      <c r="F8" s="51">
        <v>146519.54056882858</v>
      </c>
      <c r="G8" s="51">
        <v>79870.640734910965</v>
      </c>
      <c r="H8" s="51">
        <v>708013.81947791576</v>
      </c>
      <c r="I8" s="51">
        <v>1148643.4695453644</v>
      </c>
      <c r="J8" s="51">
        <v>976186.5667848587</v>
      </c>
      <c r="K8" s="51">
        <v>1891827.9082274437</v>
      </c>
    </row>
    <row r="9" spans="1:11" ht="20.45" customHeight="1" x14ac:dyDescent="0.2">
      <c r="A9" s="30" t="s">
        <v>2</v>
      </c>
      <c r="B9" s="53">
        <v>77173.876325488091</v>
      </c>
      <c r="C9" s="53">
        <v>77118.468556523323</v>
      </c>
      <c r="D9" s="53">
        <v>30318.62420797348</v>
      </c>
      <c r="E9" s="53">
        <v>26964.090975642204</v>
      </c>
      <c r="F9" s="53">
        <v>17080.293258666992</v>
      </c>
      <c r="G9" s="53">
        <v>11597.835566163063</v>
      </c>
      <c r="H9" s="53">
        <v>60057.934846162796</v>
      </c>
      <c r="I9" s="53">
        <v>102034.54437804222</v>
      </c>
      <c r="J9" s="53">
        <v>80928.581068634987</v>
      </c>
      <c r="K9" s="53">
        <v>161840.99578177929</v>
      </c>
    </row>
    <row r="10" spans="1:11" ht="20.45" customHeight="1" x14ac:dyDescent="0.2">
      <c r="A10" s="30" t="s">
        <v>3</v>
      </c>
      <c r="B10" s="53">
        <v>104286.8150395155</v>
      </c>
      <c r="C10" s="53">
        <v>100469.12145853043</v>
      </c>
      <c r="D10" s="53">
        <v>29613.905817270279</v>
      </c>
      <c r="E10" s="53">
        <v>25800.963792800903</v>
      </c>
      <c r="F10" s="53">
        <v>17750.134712696075</v>
      </c>
      <c r="G10" s="53">
        <v>11022.474798679352</v>
      </c>
      <c r="H10" s="53">
        <v>103234.63120639324</v>
      </c>
      <c r="I10" s="53">
        <v>175134.25255274773</v>
      </c>
      <c r="J10" s="53">
        <v>139090.40827441216</v>
      </c>
      <c r="K10" s="53">
        <v>265927.9381082058</v>
      </c>
    </row>
    <row r="11" spans="1:11" ht="20.45" customHeight="1" x14ac:dyDescent="0.2">
      <c r="A11" s="30" t="s">
        <v>4</v>
      </c>
      <c r="B11" s="53">
        <v>259664.9921592474</v>
      </c>
      <c r="C11" s="53">
        <v>238314.16886198521</v>
      </c>
      <c r="D11" s="53">
        <v>64485.814195752144</v>
      </c>
      <c r="E11" s="53">
        <v>51733.464375734329</v>
      </c>
      <c r="F11" s="53">
        <v>41923.83053278923</v>
      </c>
      <c r="G11" s="53">
        <v>23686.752056598663</v>
      </c>
      <c r="H11" s="53">
        <v>253585.45705676079</v>
      </c>
      <c r="I11" s="53">
        <v>411522.14030134678</v>
      </c>
      <c r="J11" s="53">
        <v>339869.11258518696</v>
      </c>
      <c r="K11" s="53">
        <v>651157.35292172432</v>
      </c>
    </row>
    <row r="12" spans="1:11" ht="20.45" customHeight="1" x14ac:dyDescent="0.2">
      <c r="A12" s="30" t="s">
        <v>5</v>
      </c>
      <c r="B12" s="53">
        <v>203316.94520151615</v>
      </c>
      <c r="C12" s="53">
        <v>173430.65211892128</v>
      </c>
      <c r="D12" s="53">
        <v>52102.703740954399</v>
      </c>
      <c r="E12" s="53">
        <v>40669.718781709671</v>
      </c>
      <c r="F12" s="53">
        <v>34958.122871994972</v>
      </c>
      <c r="G12" s="53">
        <v>17775.142523884773</v>
      </c>
      <c r="H12" s="53">
        <v>180230.02162003517</v>
      </c>
      <c r="I12" s="53">
        <v>285989.02938008308</v>
      </c>
      <c r="J12" s="53">
        <v>257002.69583320618</v>
      </c>
      <c r="K12" s="53">
        <v>493595.96290373802</v>
      </c>
    </row>
    <row r="13" spans="1:11" ht="20.45" customHeight="1" x14ac:dyDescent="0.2">
      <c r="A13" s="30" t="s">
        <v>6</v>
      </c>
      <c r="B13" s="53">
        <v>112810.82654368877</v>
      </c>
      <c r="C13" s="53">
        <v>90230.998008370399</v>
      </c>
      <c r="D13" s="53">
        <v>33116.813476800919</v>
      </c>
      <c r="E13" s="53">
        <v>20975.528210997581</v>
      </c>
      <c r="F13" s="53">
        <v>22955.578847527504</v>
      </c>
      <c r="G13" s="53">
        <v>10833.758444547653</v>
      </c>
      <c r="H13" s="53">
        <v>87033.969669938087</v>
      </c>
      <c r="I13" s="53">
        <v>134615.45512378216</v>
      </c>
      <c r="J13" s="53">
        <v>124166.1032153368</v>
      </c>
      <c r="K13" s="53">
        <v>243576.03932404518</v>
      </c>
    </row>
    <row r="14" spans="1:11" ht="20.45" customHeight="1" x14ac:dyDescent="0.2">
      <c r="A14" s="30" t="s">
        <v>7</v>
      </c>
      <c r="B14" s="53">
        <v>26894.018536448479</v>
      </c>
      <c r="C14" s="53">
        <v>21074.586821317673</v>
      </c>
      <c r="D14" s="53">
        <v>9863.8844494819641</v>
      </c>
      <c r="E14" s="53">
        <v>5558.3469216823578</v>
      </c>
      <c r="F14" s="53">
        <v>6617.7854030132294</v>
      </c>
      <c r="G14" s="53">
        <v>3011.5471725463867</v>
      </c>
      <c r="H14" s="53">
        <v>15859.656695842743</v>
      </c>
      <c r="I14" s="53">
        <v>26107.104357481003</v>
      </c>
      <c r="J14" s="53">
        <v>24161.899740338326</v>
      </c>
      <c r="K14" s="53">
        <v>49999.116941690445</v>
      </c>
    </row>
    <row r="15" spans="1:11" ht="20.45" customHeight="1" x14ac:dyDescent="0.2">
      <c r="A15" s="30" t="s">
        <v>8</v>
      </c>
      <c r="B15" s="53">
        <v>11053.827558040619</v>
      </c>
      <c r="C15" s="53">
        <v>8010.7740159034729</v>
      </c>
      <c r="D15" s="53">
        <v>4405.4307882785797</v>
      </c>
      <c r="E15" s="53">
        <v>2307.8448865413666</v>
      </c>
      <c r="F15" s="53">
        <v>2829.7235708236694</v>
      </c>
      <c r="G15" s="53">
        <v>1084.0352272987366</v>
      </c>
      <c r="H15" s="53">
        <v>4916.0515847206116</v>
      </c>
      <c r="I15" s="53">
        <v>7994.390239238739</v>
      </c>
      <c r="J15" s="53">
        <v>7335.692122220993</v>
      </c>
      <c r="K15" s="53">
        <v>16849.087685346603</v>
      </c>
    </row>
    <row r="16" spans="1:11" ht="20.45" customHeight="1" x14ac:dyDescent="0.2">
      <c r="A16" s="30" t="s">
        <v>9</v>
      </c>
      <c r="B16" s="53">
        <v>3581.8757277727127</v>
      </c>
      <c r="C16" s="53">
        <v>2276.4583334922791</v>
      </c>
      <c r="D16" s="53">
        <v>1479.6298780441284</v>
      </c>
      <c r="E16" s="53">
        <v>637.4039626121521</v>
      </c>
      <c r="F16" s="53">
        <v>883.21353268623352</v>
      </c>
      <c r="G16" s="53">
        <v>343.16727519035339</v>
      </c>
      <c r="H16" s="53">
        <v>1663.9897439479828</v>
      </c>
      <c r="I16" s="53">
        <v>2558.172390460968</v>
      </c>
      <c r="J16" s="53">
        <v>1654.1887073516846</v>
      </c>
      <c r="K16" s="53">
        <v>4030.7934212684631</v>
      </c>
    </row>
    <row r="17" spans="1:11" ht="20.45" customHeight="1" x14ac:dyDescent="0.2">
      <c r="A17" s="30" t="s">
        <v>10</v>
      </c>
      <c r="B17" s="53">
        <v>3873.2350265979767</v>
      </c>
      <c r="C17" s="53">
        <v>2796.0505585670471</v>
      </c>
      <c r="D17" s="53">
        <v>2182.0387396812439</v>
      </c>
      <c r="E17" s="53">
        <v>944.24221754074097</v>
      </c>
      <c r="F17" s="53">
        <v>1304.1231284141541</v>
      </c>
      <c r="G17" s="53">
        <v>491.22390413284302</v>
      </c>
      <c r="H17" s="53">
        <v>1286.0710252523422</v>
      </c>
      <c r="I17" s="53">
        <v>2296.267972946167</v>
      </c>
      <c r="J17" s="53">
        <v>1707.0877356529236</v>
      </c>
      <c r="K17" s="53">
        <v>4324.1339226961136</v>
      </c>
    </row>
    <row r="18" spans="1:11" ht="20.45" customHeight="1" x14ac:dyDescent="0.2">
      <c r="A18" s="30" t="s">
        <v>11</v>
      </c>
      <c r="B18" s="53">
        <v>632.29694032669067</v>
      </c>
      <c r="C18" s="53">
        <v>539.700608253479</v>
      </c>
      <c r="D18" s="53">
        <v>301.34956169128418</v>
      </c>
      <c r="E18" s="53">
        <v>170.79569625854492</v>
      </c>
      <c r="F18" s="53">
        <v>216.73471021652222</v>
      </c>
      <c r="G18" s="53">
        <v>24.703765869140625</v>
      </c>
      <c r="H18" s="53">
        <v>146.03602886199951</v>
      </c>
      <c r="I18" s="53">
        <v>392.11284923553467</v>
      </c>
      <c r="J18" s="53">
        <v>270.7975025177002</v>
      </c>
      <c r="K18" s="53">
        <v>526.48721694946289</v>
      </c>
    </row>
    <row r="19" spans="1:11" s="6" customFormat="1" ht="20.45" customHeight="1" x14ac:dyDescent="0.2">
      <c r="A19" s="31" t="s">
        <v>12</v>
      </c>
      <c r="B19" s="25">
        <f>B7+B8</f>
        <v>825552.31773912907</v>
      </c>
      <c r="C19" s="25">
        <f t="shared" ref="C19:K19" si="0">C7+C8</f>
        <v>733849.43602597713</v>
      </c>
      <c r="D19" s="25">
        <f t="shared" si="0"/>
        <v>235628.62875509262</v>
      </c>
      <c r="E19" s="25">
        <f t="shared" si="0"/>
        <v>182461.56953549385</v>
      </c>
      <c r="F19" s="25">
        <f t="shared" si="0"/>
        <v>150819.03400659561</v>
      </c>
      <c r="G19" s="25">
        <f t="shared" si="0"/>
        <v>82480.766506910324</v>
      </c>
      <c r="H19" s="25">
        <f t="shared" si="0"/>
        <v>728199.89476561546</v>
      </c>
      <c r="I19" s="25">
        <f t="shared" si="0"/>
        <v>1177492.8388030529</v>
      </c>
      <c r="J19" s="25">
        <f t="shared" si="0"/>
        <v>1016715.7461925745</v>
      </c>
      <c r="K19" s="25">
        <f t="shared" si="0"/>
        <v>1962391.1322408915</v>
      </c>
    </row>
    <row r="20" spans="1:11" ht="12" customHeight="1" x14ac:dyDescent="0.2"/>
  </sheetData>
  <mergeCells count="8">
    <mergeCell ref="A1:K1"/>
    <mergeCell ref="A4:A6"/>
    <mergeCell ref="B4:K4"/>
    <mergeCell ref="B5:C5"/>
    <mergeCell ref="D5:E5"/>
    <mergeCell ref="F5:G5"/>
    <mergeCell ref="H5:I5"/>
    <mergeCell ref="J5:K5"/>
  </mergeCells>
  <conditionalFormatting sqref="B7:B19">
    <cfRule type="cellIs" dxfId="173" priority="10" stopIfTrue="1" operator="equal">
      <formula>0</formula>
    </cfRule>
  </conditionalFormatting>
  <conditionalFormatting sqref="C7:C19">
    <cfRule type="cellIs" dxfId="172" priority="9" stopIfTrue="1" operator="equal">
      <formula>0</formula>
    </cfRule>
  </conditionalFormatting>
  <conditionalFormatting sqref="D7:D19">
    <cfRule type="cellIs" dxfId="171" priority="8" stopIfTrue="1" operator="equal">
      <formula>0</formula>
    </cfRule>
  </conditionalFormatting>
  <conditionalFormatting sqref="E7:E19">
    <cfRule type="cellIs" dxfId="170" priority="7" stopIfTrue="1" operator="equal">
      <formula>0</formula>
    </cfRule>
  </conditionalFormatting>
  <conditionalFormatting sqref="F7:F19">
    <cfRule type="cellIs" dxfId="169" priority="6" stopIfTrue="1" operator="equal">
      <formula>0</formula>
    </cfRule>
  </conditionalFormatting>
  <conditionalFormatting sqref="G7:G19">
    <cfRule type="cellIs" dxfId="168" priority="5" stopIfTrue="1" operator="equal">
      <formula>0</formula>
    </cfRule>
  </conditionalFormatting>
  <conditionalFormatting sqref="H7:H19">
    <cfRule type="cellIs" dxfId="167" priority="4" stopIfTrue="1" operator="equal">
      <formula>0</formula>
    </cfRule>
  </conditionalFormatting>
  <conditionalFormatting sqref="I7:I19">
    <cfRule type="cellIs" dxfId="166" priority="3" stopIfTrue="1" operator="equal">
      <formula>0</formula>
    </cfRule>
  </conditionalFormatting>
  <conditionalFormatting sqref="J7:J19">
    <cfRule type="cellIs" dxfId="165" priority="2" stopIfTrue="1" operator="equal">
      <formula>0</formula>
    </cfRule>
  </conditionalFormatting>
  <conditionalFormatting sqref="K7:K19">
    <cfRule type="cellIs" dxfId="164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6596-560E-4C9D-9506-D5B6C178A6AB}">
  <dimension ref="A1:O20"/>
  <sheetViews>
    <sheetView zoomScale="114" zoomScaleNormal="150" workbookViewId="0">
      <selection sqref="A1:O1"/>
    </sheetView>
  </sheetViews>
  <sheetFormatPr defaultRowHeight="12.75" x14ac:dyDescent="0.2"/>
  <cols>
    <col min="1" max="1" width="22.85546875" customWidth="1"/>
    <col min="2" max="15" width="9.140625" customWidth="1"/>
  </cols>
  <sheetData>
    <row r="1" spans="1:15" x14ac:dyDescent="0.2">
      <c r="A1" s="150" t="s">
        <v>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x14ac:dyDescent="0.2">
      <c r="A2" s="45"/>
      <c r="B2" s="46"/>
      <c r="C2" s="46"/>
      <c r="D2" s="46"/>
      <c r="E2" s="46"/>
      <c r="F2" s="46"/>
      <c r="G2" s="46"/>
      <c r="H2" s="46"/>
      <c r="I2" s="45"/>
      <c r="J2" s="45"/>
      <c r="K2" s="45"/>
      <c r="L2" s="45"/>
      <c r="M2" s="45"/>
      <c r="N2" s="46"/>
      <c r="O2" s="47" t="s">
        <v>32</v>
      </c>
    </row>
    <row r="3" spans="1:15" x14ac:dyDescent="0.2">
      <c r="A3" s="45" t="s">
        <v>648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x14ac:dyDescent="0.2">
      <c r="A4" s="210" t="s">
        <v>384</v>
      </c>
      <c r="B4" s="211" t="s">
        <v>412</v>
      </c>
      <c r="C4" s="212"/>
      <c r="D4" s="215" t="s">
        <v>472</v>
      </c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</row>
    <row r="5" spans="1:15" ht="42" customHeight="1" x14ac:dyDescent="0.2">
      <c r="A5" s="210"/>
      <c r="B5" s="213"/>
      <c r="C5" s="214"/>
      <c r="D5" s="216" t="s">
        <v>385</v>
      </c>
      <c r="E5" s="217"/>
      <c r="F5" s="216" t="s">
        <v>386</v>
      </c>
      <c r="G5" s="217"/>
      <c r="H5" s="216" t="s">
        <v>387</v>
      </c>
      <c r="I5" s="217"/>
      <c r="J5" s="216" t="s">
        <v>388</v>
      </c>
      <c r="K5" s="217"/>
      <c r="L5" s="216" t="s">
        <v>389</v>
      </c>
      <c r="M5" s="217"/>
      <c r="N5" s="216" t="s">
        <v>390</v>
      </c>
      <c r="O5" s="218"/>
    </row>
    <row r="6" spans="1:15" x14ac:dyDescent="0.2">
      <c r="A6" s="210"/>
      <c r="B6" s="99" t="s">
        <v>239</v>
      </c>
      <c r="C6" s="99" t="s">
        <v>240</v>
      </c>
      <c r="D6" s="99" t="s">
        <v>239</v>
      </c>
      <c r="E6" s="99" t="s">
        <v>240</v>
      </c>
      <c r="F6" s="99" t="s">
        <v>239</v>
      </c>
      <c r="G6" s="99" t="s">
        <v>240</v>
      </c>
      <c r="H6" s="99" t="s">
        <v>239</v>
      </c>
      <c r="I6" s="99" t="s">
        <v>240</v>
      </c>
      <c r="J6" s="99" t="s">
        <v>239</v>
      </c>
      <c r="K6" s="99" t="s">
        <v>240</v>
      </c>
      <c r="L6" s="99" t="s">
        <v>239</v>
      </c>
      <c r="M6" s="99" t="s">
        <v>240</v>
      </c>
      <c r="N6" s="99" t="s">
        <v>239</v>
      </c>
      <c r="O6" s="99" t="s">
        <v>240</v>
      </c>
    </row>
    <row r="7" spans="1:15" ht="20.45" customHeight="1" x14ac:dyDescent="0.2">
      <c r="A7" s="69" t="s">
        <v>391</v>
      </c>
      <c r="B7" s="49">
        <v>85329.570398449898</v>
      </c>
      <c r="C7" s="49">
        <v>46174.633035778999</v>
      </c>
      <c r="D7" s="49">
        <v>717.51981687545776</v>
      </c>
      <c r="E7" s="49">
        <v>114.46604776382446</v>
      </c>
      <c r="F7" s="49">
        <v>1490.1076216697693</v>
      </c>
      <c r="G7" s="49">
        <v>514.54923534393311</v>
      </c>
      <c r="H7" s="49">
        <v>1910.2811989784241</v>
      </c>
      <c r="I7" s="49">
        <v>413.94308423995972</v>
      </c>
      <c r="J7" s="49">
        <v>1592.1183083057404</v>
      </c>
      <c r="K7" s="49">
        <v>284.39239692687988</v>
      </c>
      <c r="L7" s="49">
        <v>1028.0852332115173</v>
      </c>
      <c r="M7" s="49">
        <v>265.9261417388916</v>
      </c>
      <c r="N7" s="49">
        <v>6518.9948306083679</v>
      </c>
      <c r="O7" s="49">
        <v>1579.6917507648468</v>
      </c>
    </row>
    <row r="8" spans="1:15" ht="20.45" customHeight="1" x14ac:dyDescent="0.2">
      <c r="A8" s="29" t="s">
        <v>392</v>
      </c>
      <c r="B8" s="51">
        <v>2890713.4009364843</v>
      </c>
      <c r="C8" s="51">
        <v>1108571.5645525455</v>
      </c>
      <c r="D8" s="51">
        <v>10495.799352169037</v>
      </c>
      <c r="E8" s="51">
        <v>931.42057657241821</v>
      </c>
      <c r="F8" s="51">
        <v>32524.726603507996</v>
      </c>
      <c r="G8" s="51">
        <v>9045.0404855012894</v>
      </c>
      <c r="H8" s="51">
        <v>40286.357376933098</v>
      </c>
      <c r="I8" s="51">
        <v>8802.9626603126526</v>
      </c>
      <c r="J8" s="51">
        <v>29544.573815345764</v>
      </c>
      <c r="K8" s="51">
        <v>3160.0696175098419</v>
      </c>
      <c r="L8" s="51">
        <v>30191.714855909348</v>
      </c>
      <c r="M8" s="51">
        <v>5488.323005437851</v>
      </c>
      <c r="N8" s="51">
        <v>78155.079820752144</v>
      </c>
      <c r="O8" s="51">
        <v>14638.477137327194</v>
      </c>
    </row>
    <row r="9" spans="1:15" ht="20.45" customHeight="1" x14ac:dyDescent="0.2">
      <c r="A9" s="30" t="s">
        <v>393</v>
      </c>
      <c r="B9" s="53">
        <v>253003.995621562</v>
      </c>
      <c r="C9" s="53">
        <v>172213.50651979446</v>
      </c>
      <c r="D9" s="53">
        <v>1991.0138173103333</v>
      </c>
      <c r="E9" s="53">
        <v>128.10534858703613</v>
      </c>
      <c r="F9" s="53">
        <v>3594.8995146751404</v>
      </c>
      <c r="G9" s="53">
        <v>1615.1458051204681</v>
      </c>
      <c r="H9" s="53">
        <v>5143.3671519756317</v>
      </c>
      <c r="I9" s="53">
        <v>1657.5172929763794</v>
      </c>
      <c r="J9" s="53">
        <v>5427.3550419807434</v>
      </c>
      <c r="K9" s="53">
        <v>786.49610877037048</v>
      </c>
      <c r="L9" s="53">
        <v>4962.1794636249542</v>
      </c>
      <c r="M9" s="53">
        <v>1591.3085962533951</v>
      </c>
      <c r="N9" s="53">
        <v>15478.655381798744</v>
      </c>
      <c r="O9" s="53">
        <v>4923.8979330062866</v>
      </c>
    </row>
    <row r="10" spans="1:15" ht="20.45" customHeight="1" x14ac:dyDescent="0.2">
      <c r="A10" s="30" t="s">
        <v>394</v>
      </c>
      <c r="B10" s="53">
        <v>413688.4701551199</v>
      </c>
      <c r="C10" s="53">
        <v>234761.50269067287</v>
      </c>
      <c r="D10" s="53">
        <v>2362.3996379375458</v>
      </c>
      <c r="E10" s="53">
        <v>213.69099617004395</v>
      </c>
      <c r="F10" s="53">
        <v>4201.47918176651</v>
      </c>
      <c r="G10" s="53">
        <v>1804.2529984712601</v>
      </c>
      <c r="H10" s="53">
        <v>6159.0969533920288</v>
      </c>
      <c r="I10" s="53">
        <v>1709.311235666275</v>
      </c>
      <c r="J10" s="53">
        <v>4533.1422815322876</v>
      </c>
      <c r="K10" s="53">
        <v>536.94160032272339</v>
      </c>
      <c r="L10" s="53">
        <v>4971.5091094970703</v>
      </c>
      <c r="M10" s="53">
        <v>1280.1041719913483</v>
      </c>
      <c r="N10" s="53">
        <v>14903.644676685333</v>
      </c>
      <c r="O10" s="53">
        <v>2941.7415227890015</v>
      </c>
    </row>
    <row r="11" spans="1:15" ht="20.45" customHeight="1" x14ac:dyDescent="0.2">
      <c r="A11" s="30" t="s">
        <v>395</v>
      </c>
      <c r="B11" s="53">
        <v>1005193.010281086</v>
      </c>
      <c r="C11" s="53">
        <v>424920.60426259041</v>
      </c>
      <c r="D11" s="53">
        <v>3401.6342449188232</v>
      </c>
      <c r="E11" s="53">
        <v>251.45207977294922</v>
      </c>
      <c r="F11" s="53">
        <v>10190.98554456234</v>
      </c>
      <c r="G11" s="53">
        <v>3235.2225340604782</v>
      </c>
      <c r="H11" s="53">
        <v>11884.897293329239</v>
      </c>
      <c r="I11" s="53">
        <v>3043.7474737167358</v>
      </c>
      <c r="J11" s="53">
        <v>9058.9131064414978</v>
      </c>
      <c r="K11" s="53">
        <v>1186.226731300354</v>
      </c>
      <c r="L11" s="53">
        <v>9934.402702331543</v>
      </c>
      <c r="M11" s="53">
        <v>1569.7685185670853</v>
      </c>
      <c r="N11" s="53">
        <v>25362.061624884605</v>
      </c>
      <c r="O11" s="53">
        <v>4118.8425587415695</v>
      </c>
    </row>
    <row r="12" spans="1:15" ht="20.45" customHeight="1" x14ac:dyDescent="0.2">
      <c r="A12" s="30" t="s">
        <v>396</v>
      </c>
      <c r="B12" s="53">
        <v>742717.06283080578</v>
      </c>
      <c r="C12" s="53">
        <v>202586.88768053055</v>
      </c>
      <c r="D12" s="53">
        <v>1801.9747967720032</v>
      </c>
      <c r="E12" s="53">
        <v>242.89167833328247</v>
      </c>
      <c r="F12" s="53">
        <v>8142.9281809329987</v>
      </c>
      <c r="G12" s="53">
        <v>1700.3040937185287</v>
      </c>
      <c r="H12" s="53">
        <v>10067.977925777435</v>
      </c>
      <c r="I12" s="53">
        <v>1607.873443365097</v>
      </c>
      <c r="J12" s="53">
        <v>6354.4512376785278</v>
      </c>
      <c r="K12" s="53">
        <v>493.83100080490112</v>
      </c>
      <c r="L12" s="53">
        <v>6535.7850044965744</v>
      </c>
      <c r="M12" s="53">
        <v>785.54677939414978</v>
      </c>
      <c r="N12" s="53">
        <v>14820.547165632248</v>
      </c>
      <c r="O12" s="53">
        <v>2042.6605464220047</v>
      </c>
    </row>
    <row r="13" spans="1:15" ht="20.45" customHeight="1" x14ac:dyDescent="0.2">
      <c r="A13" s="30" t="s">
        <v>397</v>
      </c>
      <c r="B13" s="53">
        <v>364598.25539910793</v>
      </c>
      <c r="C13" s="53">
        <v>62440.473806977272</v>
      </c>
      <c r="D13" s="53">
        <v>793.5180971622467</v>
      </c>
      <c r="E13" s="53">
        <v>95.280473709106445</v>
      </c>
      <c r="F13" s="53">
        <v>4702.4759129285812</v>
      </c>
      <c r="G13" s="53">
        <v>568.816575050354</v>
      </c>
      <c r="H13" s="53">
        <v>5260.7640382051468</v>
      </c>
      <c r="I13" s="53">
        <v>674.6399097442627</v>
      </c>
      <c r="J13" s="53">
        <v>3233.1259112358093</v>
      </c>
      <c r="K13" s="53">
        <v>141.49693632125854</v>
      </c>
      <c r="L13" s="53">
        <v>2906.4347907304764</v>
      </c>
      <c r="M13" s="53">
        <v>214.194748878479</v>
      </c>
      <c r="N13" s="53">
        <v>5869.1932480335236</v>
      </c>
      <c r="O13" s="53">
        <v>508.88801980018616</v>
      </c>
    </row>
    <row r="14" spans="1:15" ht="20.45" customHeight="1" x14ac:dyDescent="0.2">
      <c r="A14" s="30" t="s">
        <v>398</v>
      </c>
      <c r="B14" s="53">
        <v>73494.591413855553</v>
      </c>
      <c r="C14" s="53">
        <v>8453.3570681810379</v>
      </c>
      <c r="D14" s="53">
        <v>89.984987735748291</v>
      </c>
      <c r="E14" s="53">
        <v>0</v>
      </c>
      <c r="F14" s="53">
        <v>1064.5234279632568</v>
      </c>
      <c r="G14" s="53">
        <v>77.751805305480957</v>
      </c>
      <c r="H14" s="53">
        <v>1186.5505983829498</v>
      </c>
      <c r="I14" s="53">
        <v>85.27019739151001</v>
      </c>
      <c r="J14" s="53">
        <v>588.19656801223755</v>
      </c>
      <c r="K14" s="53">
        <v>15.077239990234375</v>
      </c>
      <c r="L14" s="53">
        <v>552.66249632835388</v>
      </c>
      <c r="M14" s="53">
        <v>29.892292022705078</v>
      </c>
      <c r="N14" s="53">
        <v>1122.3821655511856</v>
      </c>
      <c r="O14" s="53">
        <v>70.151239395141602</v>
      </c>
    </row>
    <row r="15" spans="1:15" ht="20.45" customHeight="1" x14ac:dyDescent="0.2">
      <c r="A15" s="30" t="s">
        <v>399</v>
      </c>
      <c r="B15" s="53">
        <v>24021.271684169769</v>
      </c>
      <c r="C15" s="53">
        <v>1941.317075252533</v>
      </c>
      <c r="D15" s="53">
        <v>46.60550594329834</v>
      </c>
      <c r="E15" s="53">
        <v>0</v>
      </c>
      <c r="F15" s="53">
        <v>461.21061182022095</v>
      </c>
      <c r="G15" s="53">
        <v>40.701931953430176</v>
      </c>
      <c r="H15" s="53">
        <v>370.09931898117065</v>
      </c>
      <c r="I15" s="53">
        <v>8.3201131820678711</v>
      </c>
      <c r="J15" s="53">
        <v>227.4994969367981</v>
      </c>
      <c r="K15" s="53">
        <v>0</v>
      </c>
      <c r="L15" s="53">
        <v>156.16005325317383</v>
      </c>
      <c r="M15" s="53">
        <v>17.507898330688477</v>
      </c>
      <c r="N15" s="53">
        <v>383.360426902771</v>
      </c>
      <c r="O15" s="53">
        <v>32.29531717300415</v>
      </c>
    </row>
    <row r="16" spans="1:15" ht="20.45" customHeight="1" x14ac:dyDescent="0.2">
      <c r="A16" s="30" t="s">
        <v>400</v>
      </c>
      <c r="B16" s="53">
        <v>6736.7355757951736</v>
      </c>
      <c r="C16" s="53">
        <v>660.10378503799438</v>
      </c>
      <c r="D16" s="53">
        <v>8.6682643890380859</v>
      </c>
      <c r="E16" s="53">
        <v>0</v>
      </c>
      <c r="F16" s="53">
        <v>29.966925144195557</v>
      </c>
      <c r="G16" s="53">
        <v>2.8447418212890625</v>
      </c>
      <c r="H16" s="53">
        <v>102.79242181777954</v>
      </c>
      <c r="I16" s="53">
        <v>0</v>
      </c>
      <c r="J16" s="53">
        <v>65.008132934570313</v>
      </c>
      <c r="K16" s="53">
        <v>0</v>
      </c>
      <c r="L16" s="53">
        <v>105.07211184501648</v>
      </c>
      <c r="M16" s="53">
        <v>0</v>
      </c>
      <c r="N16" s="53">
        <v>104.03262615203857</v>
      </c>
      <c r="O16" s="53">
        <v>0</v>
      </c>
    </row>
    <row r="17" spans="1:15" ht="20.45" customHeight="1" x14ac:dyDescent="0.2">
      <c r="A17" s="30" t="s">
        <v>401</v>
      </c>
      <c r="B17" s="53">
        <v>6444.9353641271591</v>
      </c>
      <c r="C17" s="53">
        <v>533.65511643886566</v>
      </c>
      <c r="D17" s="53">
        <v>0</v>
      </c>
      <c r="E17" s="53">
        <v>0</v>
      </c>
      <c r="F17" s="53">
        <v>107.86274766921997</v>
      </c>
      <c r="G17" s="53">
        <v>0</v>
      </c>
      <c r="H17" s="53">
        <v>102.01034927368164</v>
      </c>
      <c r="I17" s="53">
        <v>16.282994270324707</v>
      </c>
      <c r="J17" s="53">
        <v>56.882038593292236</v>
      </c>
      <c r="K17" s="53">
        <v>0</v>
      </c>
      <c r="L17" s="53">
        <v>55.044119834899902</v>
      </c>
      <c r="M17" s="53">
        <v>0</v>
      </c>
      <c r="N17" s="53">
        <v>100.01004123687744</v>
      </c>
      <c r="O17" s="53">
        <v>0</v>
      </c>
    </row>
    <row r="18" spans="1:15" ht="20.45" customHeight="1" x14ac:dyDescent="0.2">
      <c r="A18" s="30" t="s">
        <v>402</v>
      </c>
      <c r="B18" s="53">
        <v>815.07261085510254</v>
      </c>
      <c r="C18" s="53">
        <v>60.156547069549561</v>
      </c>
      <c r="D18" s="53">
        <v>0</v>
      </c>
      <c r="E18" s="53">
        <v>0</v>
      </c>
      <c r="F18" s="53">
        <v>28.394556045532227</v>
      </c>
      <c r="G18" s="53">
        <v>0</v>
      </c>
      <c r="H18" s="53">
        <v>8.801325798034668</v>
      </c>
      <c r="I18" s="53">
        <v>0</v>
      </c>
      <c r="J18" s="53">
        <v>0</v>
      </c>
      <c r="K18" s="53">
        <v>0</v>
      </c>
      <c r="L18" s="53">
        <v>12.465003967285156</v>
      </c>
      <c r="M18" s="53">
        <v>0</v>
      </c>
      <c r="N18" s="53">
        <v>11.192463874816895</v>
      </c>
      <c r="O18" s="53">
        <v>0</v>
      </c>
    </row>
    <row r="19" spans="1:15" ht="20.45" customHeight="1" x14ac:dyDescent="0.2">
      <c r="A19" s="31" t="s">
        <v>47</v>
      </c>
      <c r="B19" s="25">
        <f>B7+B8</f>
        <v>2976042.9713349342</v>
      </c>
      <c r="C19" s="25">
        <f t="shared" ref="C19:O19" si="0">C7+C8</f>
        <v>1154746.1975883245</v>
      </c>
      <c r="D19" s="25">
        <f t="shared" si="0"/>
        <v>11213.319169044495</v>
      </c>
      <c r="E19" s="25">
        <f t="shared" si="0"/>
        <v>1045.8866243362427</v>
      </c>
      <c r="F19" s="25">
        <f t="shared" si="0"/>
        <v>34014.834225177765</v>
      </c>
      <c r="G19" s="25">
        <f t="shared" si="0"/>
        <v>9559.5897208452225</v>
      </c>
      <c r="H19" s="25">
        <f t="shared" si="0"/>
        <v>42196.638575911522</v>
      </c>
      <c r="I19" s="25">
        <f t="shared" si="0"/>
        <v>9216.9057445526123</v>
      </c>
      <c r="J19" s="25">
        <f t="shared" si="0"/>
        <v>31136.692123651505</v>
      </c>
      <c r="K19" s="25">
        <f t="shared" si="0"/>
        <v>3444.4620144367218</v>
      </c>
      <c r="L19" s="25">
        <f t="shared" si="0"/>
        <v>31219.800089120865</v>
      </c>
      <c r="M19" s="25">
        <f t="shared" si="0"/>
        <v>5754.2491471767426</v>
      </c>
      <c r="N19" s="25">
        <f t="shared" si="0"/>
        <v>84674.074651360512</v>
      </c>
      <c r="O19" s="25">
        <f t="shared" si="0"/>
        <v>16218.168888092041</v>
      </c>
    </row>
    <row r="20" spans="1:15" ht="12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</sheetData>
  <mergeCells count="10">
    <mergeCell ref="A1:O1"/>
    <mergeCell ref="A4:A6"/>
    <mergeCell ref="B4:C5"/>
    <mergeCell ref="D4:O4"/>
    <mergeCell ref="D5:E5"/>
    <mergeCell ref="F5:G5"/>
    <mergeCell ref="H5:I5"/>
    <mergeCell ref="J5:K5"/>
    <mergeCell ref="L5:M5"/>
    <mergeCell ref="N5:O5"/>
  </mergeCells>
  <conditionalFormatting sqref="B7:B19">
    <cfRule type="cellIs" dxfId="163" priority="14" stopIfTrue="1" operator="equal">
      <formula>0</formula>
    </cfRule>
  </conditionalFormatting>
  <conditionalFormatting sqref="C7:C19">
    <cfRule type="cellIs" dxfId="162" priority="13" stopIfTrue="1" operator="equal">
      <formula>0</formula>
    </cfRule>
  </conditionalFormatting>
  <conditionalFormatting sqref="D7:D19">
    <cfRule type="cellIs" dxfId="161" priority="12" stopIfTrue="1" operator="equal">
      <formula>0</formula>
    </cfRule>
  </conditionalFormatting>
  <conditionalFormatting sqref="E7:E19">
    <cfRule type="cellIs" dxfId="160" priority="11" stopIfTrue="1" operator="equal">
      <formula>0</formula>
    </cfRule>
  </conditionalFormatting>
  <conditionalFormatting sqref="F7:F19">
    <cfRule type="cellIs" dxfId="159" priority="10" stopIfTrue="1" operator="equal">
      <formula>0</formula>
    </cfRule>
  </conditionalFormatting>
  <conditionalFormatting sqref="G7:G19">
    <cfRule type="cellIs" dxfId="158" priority="9" stopIfTrue="1" operator="equal">
      <formula>0</formula>
    </cfRule>
  </conditionalFormatting>
  <conditionalFormatting sqref="H7:H19">
    <cfRule type="cellIs" dxfId="157" priority="8" stopIfTrue="1" operator="equal">
      <formula>0</formula>
    </cfRule>
  </conditionalFormatting>
  <conditionalFormatting sqref="I7:I19">
    <cfRule type="cellIs" dxfId="156" priority="7" stopIfTrue="1" operator="equal">
      <formula>0</formula>
    </cfRule>
  </conditionalFormatting>
  <conditionalFormatting sqref="J7:J19">
    <cfRule type="cellIs" dxfId="155" priority="6" stopIfTrue="1" operator="equal">
      <formula>0</formula>
    </cfRule>
  </conditionalFormatting>
  <conditionalFormatting sqref="K7:K19">
    <cfRule type="cellIs" dxfId="154" priority="5" stopIfTrue="1" operator="equal">
      <formula>0</formula>
    </cfRule>
  </conditionalFormatting>
  <conditionalFormatting sqref="L7:L19">
    <cfRule type="cellIs" dxfId="153" priority="4" stopIfTrue="1" operator="equal">
      <formula>0</formula>
    </cfRule>
  </conditionalFormatting>
  <conditionalFormatting sqref="M7:M19">
    <cfRule type="cellIs" dxfId="152" priority="3" stopIfTrue="1" operator="equal">
      <formula>0</formula>
    </cfRule>
  </conditionalFormatting>
  <conditionalFormatting sqref="N7:N19">
    <cfRule type="cellIs" dxfId="151" priority="2" stopIfTrue="1" operator="equal">
      <formula>0</formula>
    </cfRule>
  </conditionalFormatting>
  <conditionalFormatting sqref="O7:O19">
    <cfRule type="cellIs" dxfId="15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8090-EDD6-48AB-BA38-3EB5D58EB841}">
  <dimension ref="A1:K20"/>
  <sheetViews>
    <sheetView zoomScale="106" zoomScaleNormal="136" workbookViewId="0">
      <selection sqref="A1:K1"/>
    </sheetView>
  </sheetViews>
  <sheetFormatPr defaultRowHeight="12.75" x14ac:dyDescent="0.2"/>
  <cols>
    <col min="1" max="1" width="22.85546875" customWidth="1"/>
    <col min="2" max="11" width="9.140625" customWidth="1"/>
  </cols>
  <sheetData>
    <row r="1" spans="1:11" x14ac:dyDescent="0.2">
      <c r="A1" s="150" t="s">
        <v>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x14ac:dyDescent="0.2">
      <c r="A2" s="45"/>
      <c r="B2" s="46"/>
      <c r="C2" s="46"/>
      <c r="D2" s="46"/>
      <c r="E2" s="46"/>
      <c r="F2" s="46"/>
      <c r="G2" s="45"/>
      <c r="H2" s="45"/>
      <c r="I2" s="45"/>
      <c r="J2" s="45"/>
      <c r="K2" s="47" t="s">
        <v>32</v>
      </c>
    </row>
    <row r="3" spans="1:11" x14ac:dyDescent="0.2">
      <c r="A3" s="45" t="s">
        <v>649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x14ac:dyDescent="0.2">
      <c r="A4" s="210" t="s">
        <v>384</v>
      </c>
      <c r="B4" s="215" t="s">
        <v>472</v>
      </c>
      <c r="C4" s="215"/>
      <c r="D4" s="215"/>
      <c r="E4" s="215"/>
      <c r="F4" s="215"/>
      <c r="G4" s="215"/>
      <c r="H4" s="215"/>
      <c r="I4" s="215"/>
      <c r="J4" s="215"/>
      <c r="K4" s="215"/>
    </row>
    <row r="5" spans="1:11" ht="42" customHeight="1" x14ac:dyDescent="0.2">
      <c r="A5" s="210"/>
      <c r="B5" s="216" t="s">
        <v>650</v>
      </c>
      <c r="C5" s="217"/>
      <c r="D5" s="216" t="s">
        <v>651</v>
      </c>
      <c r="E5" s="217"/>
      <c r="F5" s="216" t="s">
        <v>652</v>
      </c>
      <c r="G5" s="217"/>
      <c r="H5" s="216" t="s">
        <v>653</v>
      </c>
      <c r="I5" s="217"/>
      <c r="J5" s="216" t="s">
        <v>654</v>
      </c>
      <c r="K5" s="217"/>
    </row>
    <row r="6" spans="1:11" x14ac:dyDescent="0.2">
      <c r="A6" s="210"/>
      <c r="B6" s="99" t="s">
        <v>239</v>
      </c>
      <c r="C6" s="99" t="s">
        <v>240</v>
      </c>
      <c r="D6" s="99" t="s">
        <v>239</v>
      </c>
      <c r="E6" s="99" t="s">
        <v>240</v>
      </c>
      <c r="F6" s="99" t="s">
        <v>239</v>
      </c>
      <c r="G6" s="99" t="s">
        <v>240</v>
      </c>
      <c r="H6" s="99" t="s">
        <v>239</v>
      </c>
      <c r="I6" s="99" t="s">
        <v>240</v>
      </c>
      <c r="J6" s="99" t="s">
        <v>239</v>
      </c>
      <c r="K6" s="99" t="s">
        <v>240</v>
      </c>
    </row>
    <row r="7" spans="1:11" ht="20.45" customHeight="1" x14ac:dyDescent="0.2">
      <c r="A7" s="69" t="s">
        <v>391</v>
      </c>
      <c r="B7" s="49">
        <v>42580.570553302765</v>
      </c>
      <c r="C7" s="49">
        <v>33115.481528401375</v>
      </c>
      <c r="D7" s="49">
        <v>12409.36249434948</v>
      </c>
      <c r="E7" s="49">
        <v>2057.8432645797729</v>
      </c>
      <c r="F7" s="49">
        <v>4709.4539560079575</v>
      </c>
      <c r="G7" s="49">
        <v>300.36302280426025</v>
      </c>
      <c r="H7" s="49">
        <v>6259.2418580055237</v>
      </c>
      <c r="I7" s="49">
        <v>1856.9896750450134</v>
      </c>
      <c r="J7" s="49">
        <v>6113.8345271348953</v>
      </c>
      <c r="K7" s="49">
        <v>5670.9868881702423</v>
      </c>
    </row>
    <row r="8" spans="1:11" ht="20.45" customHeight="1" x14ac:dyDescent="0.2">
      <c r="A8" s="29" t="s">
        <v>392</v>
      </c>
      <c r="B8" s="51">
        <v>2236251.6546787024</v>
      </c>
      <c r="C8" s="51">
        <v>936676.36551260948</v>
      </c>
      <c r="D8" s="51">
        <v>159926.72578334808</v>
      </c>
      <c r="E8" s="51">
        <v>14818.82493185997</v>
      </c>
      <c r="F8" s="51">
        <v>47362.419222712517</v>
      </c>
      <c r="G8" s="51">
        <v>2675.396027803421</v>
      </c>
      <c r="H8" s="51">
        <v>99214.597769141197</v>
      </c>
      <c r="I8" s="51">
        <v>30017.23205447197</v>
      </c>
      <c r="J8" s="51">
        <v>126759.7516579628</v>
      </c>
      <c r="K8" s="51">
        <v>82317.452543139458</v>
      </c>
    </row>
    <row r="9" spans="1:11" ht="20.45" customHeight="1" x14ac:dyDescent="0.2">
      <c r="A9" s="30" t="s">
        <v>393</v>
      </c>
      <c r="B9" s="53">
        <v>144676.46298778057</v>
      </c>
      <c r="C9" s="53">
        <v>131629.525218606</v>
      </c>
      <c r="D9" s="53">
        <v>31707.6155346632</v>
      </c>
      <c r="E9" s="53">
        <v>4700.9899024963379</v>
      </c>
      <c r="F9" s="53">
        <v>9565.2837332487106</v>
      </c>
      <c r="G9" s="53">
        <v>795.598464012146</v>
      </c>
      <c r="H9" s="53">
        <v>13137.119470596313</v>
      </c>
      <c r="I9" s="53">
        <v>5314.8957722187042</v>
      </c>
      <c r="J9" s="53">
        <v>17320.043523907661</v>
      </c>
      <c r="K9" s="53">
        <v>19070.026077747345</v>
      </c>
    </row>
    <row r="10" spans="1:11" ht="20.45" customHeight="1" x14ac:dyDescent="0.2">
      <c r="A10" s="30" t="s">
        <v>394</v>
      </c>
      <c r="B10" s="53">
        <v>299327.50835764408</v>
      </c>
      <c r="C10" s="53">
        <v>199053.36594700813</v>
      </c>
      <c r="D10" s="53">
        <v>31231.759312868118</v>
      </c>
      <c r="E10" s="53">
        <v>2957.7112128734589</v>
      </c>
      <c r="F10" s="53">
        <v>8646.757098197937</v>
      </c>
      <c r="G10" s="53">
        <v>628.2709493637085</v>
      </c>
      <c r="H10" s="53">
        <v>17034.571748971939</v>
      </c>
      <c r="I10" s="53">
        <v>6582.6544079780579</v>
      </c>
      <c r="J10" s="53">
        <v>20316.601796627045</v>
      </c>
      <c r="K10" s="53">
        <v>17053.457648038864</v>
      </c>
    </row>
    <row r="11" spans="1:11" ht="20.45" customHeight="1" x14ac:dyDescent="0.2">
      <c r="A11" s="30" t="s">
        <v>395</v>
      </c>
      <c r="B11" s="53">
        <v>785188.93632698059</v>
      </c>
      <c r="C11" s="53">
        <v>367879.98523592949</v>
      </c>
      <c r="D11" s="53">
        <v>54819.040778636932</v>
      </c>
      <c r="E11" s="53">
        <v>4661.0290944576263</v>
      </c>
      <c r="F11" s="53">
        <v>16803.411114454269</v>
      </c>
      <c r="G11" s="53">
        <v>633.58760523796082</v>
      </c>
      <c r="H11" s="53">
        <v>36547.764808654785</v>
      </c>
      <c r="I11" s="53">
        <v>11179.865479707718</v>
      </c>
      <c r="J11" s="53">
        <v>42000.962735891342</v>
      </c>
      <c r="K11" s="53">
        <v>27160.876951098442</v>
      </c>
    </row>
    <row r="12" spans="1:11" ht="20.45" customHeight="1" x14ac:dyDescent="0.2">
      <c r="A12" s="30" t="s">
        <v>396</v>
      </c>
      <c r="B12" s="53">
        <v>605952.27482891083</v>
      </c>
      <c r="C12" s="53">
        <v>174767.38688910007</v>
      </c>
      <c r="D12" s="53">
        <v>29401.440723419189</v>
      </c>
      <c r="E12" s="53">
        <v>1876.8668909072876</v>
      </c>
      <c r="F12" s="53">
        <v>8622.5730221271515</v>
      </c>
      <c r="G12" s="53">
        <v>478.87697696685791</v>
      </c>
      <c r="H12" s="53">
        <v>21731.926818609238</v>
      </c>
      <c r="I12" s="53">
        <v>5070.8990933895111</v>
      </c>
      <c r="J12" s="53">
        <v>29285.183126449585</v>
      </c>
      <c r="K12" s="53">
        <v>13519.750288128853</v>
      </c>
    </row>
    <row r="13" spans="1:11" ht="20.45" customHeight="1" x14ac:dyDescent="0.2">
      <c r="A13" s="30" t="s">
        <v>397</v>
      </c>
      <c r="B13" s="53">
        <v>306494.59938573837</v>
      </c>
      <c r="C13" s="53">
        <v>53574.354929685593</v>
      </c>
      <c r="D13" s="53">
        <v>10161.088032603264</v>
      </c>
      <c r="E13" s="53">
        <v>575.65176558494568</v>
      </c>
      <c r="F13" s="53">
        <v>3005.4989442825317</v>
      </c>
      <c r="G13" s="53">
        <v>87.484652042388916</v>
      </c>
      <c r="H13" s="53">
        <v>8487.4147084951401</v>
      </c>
      <c r="I13" s="53">
        <v>1580.0248107910156</v>
      </c>
      <c r="J13" s="53">
        <v>13684.142329692841</v>
      </c>
      <c r="K13" s="53">
        <v>4419.6409853696823</v>
      </c>
    </row>
    <row r="14" spans="1:11" ht="20.45" customHeight="1" x14ac:dyDescent="0.2">
      <c r="A14" s="30" t="s">
        <v>398</v>
      </c>
      <c r="B14" s="53">
        <v>62257.62351167202</v>
      </c>
      <c r="C14" s="53">
        <v>7068.6251667737961</v>
      </c>
      <c r="D14" s="53">
        <v>1898.7718753814697</v>
      </c>
      <c r="E14" s="53">
        <v>18.715335845947266</v>
      </c>
      <c r="F14" s="53">
        <v>518.62163877487183</v>
      </c>
      <c r="G14" s="53">
        <v>37.018820762634277</v>
      </c>
      <c r="H14" s="53">
        <v>1639.8458032608032</v>
      </c>
      <c r="I14" s="53">
        <v>206.55983734130859</v>
      </c>
      <c r="J14" s="53">
        <v>2575.4283407926559</v>
      </c>
      <c r="K14" s="53">
        <v>844.29513335227966</v>
      </c>
    </row>
    <row r="15" spans="1:11" ht="20.45" customHeight="1" x14ac:dyDescent="0.2">
      <c r="A15" s="30" t="s">
        <v>399</v>
      </c>
      <c r="B15" s="53">
        <v>20298.491297841072</v>
      </c>
      <c r="C15" s="53">
        <v>1583.0664510726929</v>
      </c>
      <c r="D15" s="53">
        <v>474.78246831893921</v>
      </c>
      <c r="E15" s="53">
        <v>12.338313102722168</v>
      </c>
      <c r="F15" s="53">
        <v>106.78619241714478</v>
      </c>
      <c r="G15" s="53">
        <v>14.558559417724609</v>
      </c>
      <c r="H15" s="53">
        <v>497.42512893676758</v>
      </c>
      <c r="I15" s="53">
        <v>58.811933040618896</v>
      </c>
      <c r="J15" s="53">
        <v>998.85118281841278</v>
      </c>
      <c r="K15" s="53">
        <v>173.71655797958374</v>
      </c>
    </row>
    <row r="16" spans="1:11" ht="20.45" customHeight="1" x14ac:dyDescent="0.2">
      <c r="A16" s="30" t="s">
        <v>400</v>
      </c>
      <c r="B16" s="53">
        <v>5839.4810236692429</v>
      </c>
      <c r="C16" s="53">
        <v>635.11983823776245</v>
      </c>
      <c r="D16" s="53">
        <v>130.76981782913208</v>
      </c>
      <c r="E16" s="53">
        <v>0</v>
      </c>
      <c r="F16" s="53">
        <v>36.583308219909668</v>
      </c>
      <c r="G16" s="53">
        <v>0</v>
      </c>
      <c r="H16" s="53">
        <v>74.909782409667969</v>
      </c>
      <c r="I16" s="53">
        <v>0</v>
      </c>
      <c r="J16" s="53">
        <v>239.45116138458252</v>
      </c>
      <c r="K16" s="53">
        <v>22.139204978942871</v>
      </c>
    </row>
    <row r="17" spans="1:11" ht="20.45" customHeight="1" x14ac:dyDescent="0.2">
      <c r="A17" s="30" t="s">
        <v>401</v>
      </c>
      <c r="B17" s="53">
        <v>5536.3714160919189</v>
      </c>
      <c r="C17" s="53">
        <v>441.09920489788055</v>
      </c>
      <c r="D17" s="53">
        <v>84.615211963653564</v>
      </c>
      <c r="E17" s="53">
        <v>15.522416591644287</v>
      </c>
      <c r="F17" s="53">
        <v>56.904170989990234</v>
      </c>
      <c r="G17" s="53">
        <v>0</v>
      </c>
      <c r="H17" s="53">
        <v>52.697910308837891</v>
      </c>
      <c r="I17" s="53">
        <v>23.5207200050354</v>
      </c>
      <c r="J17" s="53">
        <v>292.53735816478729</v>
      </c>
      <c r="K17" s="53">
        <v>37.229780673980713</v>
      </c>
    </row>
    <row r="18" spans="1:11" ht="20.45" customHeight="1" x14ac:dyDescent="0.2">
      <c r="A18" s="30" t="s">
        <v>402</v>
      </c>
      <c r="B18" s="53">
        <v>679.90554237365723</v>
      </c>
      <c r="C18" s="53">
        <v>43.836631298065186</v>
      </c>
      <c r="D18" s="53">
        <v>16.84202766418457</v>
      </c>
      <c r="E18" s="53">
        <v>0</v>
      </c>
      <c r="F18" s="53">
        <v>0</v>
      </c>
      <c r="G18" s="53">
        <v>0</v>
      </c>
      <c r="H18" s="53">
        <v>10.921588897705078</v>
      </c>
      <c r="I18" s="53">
        <v>0</v>
      </c>
      <c r="J18" s="53">
        <v>46.550102233886719</v>
      </c>
      <c r="K18" s="53">
        <v>16.319915771484375</v>
      </c>
    </row>
    <row r="19" spans="1:11" ht="20.45" customHeight="1" x14ac:dyDescent="0.2">
      <c r="A19" s="31" t="s">
        <v>47</v>
      </c>
      <c r="B19" s="25">
        <f>B7+B8</f>
        <v>2278832.2252320051</v>
      </c>
      <c r="C19" s="25">
        <f t="shared" ref="C19:K19" si="0">C7+C8</f>
        <v>969791.84704101086</v>
      </c>
      <c r="D19" s="25">
        <f t="shared" si="0"/>
        <v>172336.08827769756</v>
      </c>
      <c r="E19" s="25">
        <f t="shared" si="0"/>
        <v>16876.668196439743</v>
      </c>
      <c r="F19" s="25">
        <f t="shared" si="0"/>
        <v>52071.873178720474</v>
      </c>
      <c r="G19" s="25">
        <f t="shared" si="0"/>
        <v>2975.7590506076813</v>
      </c>
      <c r="H19" s="25">
        <f t="shared" si="0"/>
        <v>105473.83962714672</v>
      </c>
      <c r="I19" s="25">
        <f t="shared" si="0"/>
        <v>31874.221729516983</v>
      </c>
      <c r="J19" s="25">
        <f t="shared" si="0"/>
        <v>132873.58618509769</v>
      </c>
      <c r="K19" s="25">
        <f t="shared" si="0"/>
        <v>87988.4394313097</v>
      </c>
    </row>
    <row r="20" spans="1:11" ht="12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</sheetData>
  <mergeCells count="8">
    <mergeCell ref="A1:K1"/>
    <mergeCell ref="A4:A6"/>
    <mergeCell ref="B4:K4"/>
    <mergeCell ref="B5:C5"/>
    <mergeCell ref="D5:E5"/>
    <mergeCell ref="F5:G5"/>
    <mergeCell ref="H5:I5"/>
    <mergeCell ref="J5:K5"/>
  </mergeCells>
  <conditionalFormatting sqref="B7:B19">
    <cfRule type="cellIs" dxfId="149" priority="10" stopIfTrue="1" operator="equal">
      <formula>0</formula>
    </cfRule>
  </conditionalFormatting>
  <conditionalFormatting sqref="C7:C19">
    <cfRule type="cellIs" dxfId="148" priority="9" stopIfTrue="1" operator="equal">
      <formula>0</formula>
    </cfRule>
  </conditionalFormatting>
  <conditionalFormatting sqref="D7:D19">
    <cfRule type="cellIs" dxfId="147" priority="8" stopIfTrue="1" operator="equal">
      <formula>0</formula>
    </cfRule>
  </conditionalFormatting>
  <conditionalFormatting sqref="E7:E19">
    <cfRule type="cellIs" dxfId="146" priority="7" stopIfTrue="1" operator="equal">
      <formula>0</formula>
    </cfRule>
  </conditionalFormatting>
  <conditionalFormatting sqref="F7:F19">
    <cfRule type="cellIs" dxfId="145" priority="6" stopIfTrue="1" operator="equal">
      <formula>0</formula>
    </cfRule>
  </conditionalFormatting>
  <conditionalFormatting sqref="G7:G19">
    <cfRule type="cellIs" dxfId="144" priority="5" stopIfTrue="1" operator="equal">
      <formula>0</formula>
    </cfRule>
  </conditionalFormatting>
  <conditionalFormatting sqref="H7:H19">
    <cfRule type="cellIs" dxfId="143" priority="4" stopIfTrue="1" operator="equal">
      <formula>0</formula>
    </cfRule>
  </conditionalFormatting>
  <conditionalFormatting sqref="I7:I19">
    <cfRule type="cellIs" dxfId="142" priority="3" stopIfTrue="1" operator="equal">
      <formula>0</formula>
    </cfRule>
  </conditionalFormatting>
  <conditionalFormatting sqref="J7:J19">
    <cfRule type="cellIs" dxfId="141" priority="2" stopIfTrue="1" operator="equal">
      <formula>0</formula>
    </cfRule>
  </conditionalFormatting>
  <conditionalFormatting sqref="K7:K19">
    <cfRule type="cellIs" dxfId="140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9FEB-81E1-498F-9FF5-AE154AC17B6C}">
  <dimension ref="A1:O20"/>
  <sheetViews>
    <sheetView zoomScale="93" zoomScaleNormal="136" workbookViewId="0">
      <selection activeCell="C19" sqref="C19"/>
    </sheetView>
  </sheetViews>
  <sheetFormatPr defaultRowHeight="12.75" x14ac:dyDescent="0.2"/>
  <cols>
    <col min="1" max="1" width="22.85546875" customWidth="1"/>
    <col min="2" max="15" width="9.140625" customWidth="1"/>
  </cols>
  <sheetData>
    <row r="1" spans="1:15" x14ac:dyDescent="0.2">
      <c r="A1" s="150" t="s">
        <v>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x14ac:dyDescent="0.2">
      <c r="A2" s="45"/>
      <c r="B2" s="46"/>
      <c r="C2" s="46"/>
      <c r="D2" s="46"/>
      <c r="E2" s="46"/>
      <c r="F2" s="46"/>
      <c r="G2" s="46"/>
      <c r="H2" s="46"/>
      <c r="I2" s="45"/>
      <c r="J2" s="45"/>
      <c r="K2" s="45"/>
      <c r="L2" s="45"/>
      <c r="M2" s="45"/>
      <c r="N2" s="46"/>
      <c r="O2" s="47" t="s">
        <v>32</v>
      </c>
    </row>
    <row r="3" spans="1:15" x14ac:dyDescent="0.2">
      <c r="A3" s="45" t="s">
        <v>655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x14ac:dyDescent="0.2">
      <c r="A4" s="210" t="s">
        <v>384</v>
      </c>
      <c r="B4" s="215" t="s">
        <v>413</v>
      </c>
      <c r="C4" s="215"/>
      <c r="D4" s="215" t="s">
        <v>473</v>
      </c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</row>
    <row r="5" spans="1:15" ht="42" customHeight="1" x14ac:dyDescent="0.2">
      <c r="A5" s="210"/>
      <c r="B5" s="215"/>
      <c r="C5" s="215"/>
      <c r="D5" s="215" t="s">
        <v>385</v>
      </c>
      <c r="E5" s="210"/>
      <c r="F5" s="215" t="s">
        <v>386</v>
      </c>
      <c r="G5" s="210"/>
      <c r="H5" s="215" t="s">
        <v>387</v>
      </c>
      <c r="I5" s="210"/>
      <c r="J5" s="215" t="s">
        <v>388</v>
      </c>
      <c r="K5" s="210"/>
      <c r="L5" s="215" t="s">
        <v>389</v>
      </c>
      <c r="M5" s="210"/>
      <c r="N5" s="215" t="s">
        <v>390</v>
      </c>
      <c r="O5" s="210"/>
    </row>
    <row r="6" spans="1:15" x14ac:dyDescent="0.2">
      <c r="A6" s="210"/>
      <c r="B6" s="99" t="s">
        <v>239</v>
      </c>
      <c r="C6" s="99" t="s">
        <v>240</v>
      </c>
      <c r="D6" s="99" t="s">
        <v>239</v>
      </c>
      <c r="E6" s="99" t="s">
        <v>240</v>
      </c>
      <c r="F6" s="99" t="s">
        <v>239</v>
      </c>
      <c r="G6" s="99" t="s">
        <v>240</v>
      </c>
      <c r="H6" s="99" t="s">
        <v>239</v>
      </c>
      <c r="I6" s="99" t="s">
        <v>240</v>
      </c>
      <c r="J6" s="99" t="s">
        <v>239</v>
      </c>
      <c r="K6" s="99" t="s">
        <v>240</v>
      </c>
      <c r="L6" s="99" t="s">
        <v>239</v>
      </c>
      <c r="M6" s="99" t="s">
        <v>240</v>
      </c>
      <c r="N6" s="99" t="s">
        <v>239</v>
      </c>
      <c r="O6" s="99" t="s">
        <v>240</v>
      </c>
    </row>
    <row r="7" spans="1:15" ht="20.45" customHeight="1" x14ac:dyDescent="0.2">
      <c r="A7" s="69" t="s">
        <v>391</v>
      </c>
      <c r="B7" s="49">
        <v>152355.02052807808</v>
      </c>
      <c r="C7" s="49">
        <v>210231.27660667896</v>
      </c>
      <c r="D7" s="49">
        <v>1256.5882668495178</v>
      </c>
      <c r="E7" s="49">
        <v>366.32586717605591</v>
      </c>
      <c r="F7" s="49">
        <v>1311.5561738014221</v>
      </c>
      <c r="G7" s="49">
        <v>1167.5886740684509</v>
      </c>
      <c r="H7" s="49">
        <v>2321.5656766891479</v>
      </c>
      <c r="I7" s="49">
        <v>2674.5737844705582</v>
      </c>
      <c r="J7" s="49">
        <v>2639.2533190250397</v>
      </c>
      <c r="K7" s="49">
        <v>1395.46617603302</v>
      </c>
      <c r="L7" s="49">
        <v>2407.896134853363</v>
      </c>
      <c r="M7" s="49">
        <v>1657.7802340984344</v>
      </c>
      <c r="N7" s="49">
        <v>9315.6688821315765</v>
      </c>
      <c r="O7" s="49">
        <v>9036.348751783371</v>
      </c>
    </row>
    <row r="8" spans="1:15" ht="20.45" customHeight="1" x14ac:dyDescent="0.2">
      <c r="A8" s="29" t="s">
        <v>392</v>
      </c>
      <c r="B8" s="51">
        <v>4800060.2249033451</v>
      </c>
      <c r="C8" s="51">
        <v>7051642.7507646084</v>
      </c>
      <c r="D8" s="51">
        <v>33316.743146181107</v>
      </c>
      <c r="E8" s="51">
        <v>13924.939555168152</v>
      </c>
      <c r="F8" s="51">
        <v>41023.300695180893</v>
      </c>
      <c r="G8" s="51">
        <v>39423.123864769936</v>
      </c>
      <c r="H8" s="51">
        <v>76120.981694102287</v>
      </c>
      <c r="I8" s="51">
        <v>79918.862397551537</v>
      </c>
      <c r="J8" s="51">
        <v>72699.092119812965</v>
      </c>
      <c r="K8" s="51">
        <v>41852.436669826508</v>
      </c>
      <c r="L8" s="51">
        <v>63764.341658473015</v>
      </c>
      <c r="M8" s="51">
        <v>48886.803720355034</v>
      </c>
      <c r="N8" s="51">
        <v>180974.77663719654</v>
      </c>
      <c r="O8" s="51">
        <v>151552.22665977478</v>
      </c>
    </row>
    <row r="9" spans="1:15" ht="20.45" customHeight="1" x14ac:dyDescent="0.2">
      <c r="A9" s="30" t="s">
        <v>393</v>
      </c>
      <c r="B9" s="53">
        <v>438511.53374862671</v>
      </c>
      <c r="C9" s="53">
        <v>605323.63210773468</v>
      </c>
      <c r="D9" s="53">
        <v>4585.3763327598572</v>
      </c>
      <c r="E9" s="53">
        <v>1500.9320540428162</v>
      </c>
      <c r="F9" s="53">
        <v>4054.998944401741</v>
      </c>
      <c r="G9" s="53">
        <v>3925.1815394163132</v>
      </c>
      <c r="H9" s="53">
        <v>8653.0835702419281</v>
      </c>
      <c r="I9" s="53">
        <v>9014.1270885467529</v>
      </c>
      <c r="J9" s="53">
        <v>9378.0955190658569</v>
      </c>
      <c r="K9" s="53">
        <v>6036.3901553153992</v>
      </c>
      <c r="L9" s="53">
        <v>8360.3420605659485</v>
      </c>
      <c r="M9" s="53">
        <v>8282.08664894104</v>
      </c>
      <c r="N9" s="53">
        <v>23714.63322031498</v>
      </c>
      <c r="O9" s="53">
        <v>20670.456857562065</v>
      </c>
    </row>
    <row r="10" spans="1:15" ht="20.45" customHeight="1" x14ac:dyDescent="0.2">
      <c r="A10" s="30" t="s">
        <v>394</v>
      </c>
      <c r="B10" s="53">
        <v>677074.71118927002</v>
      </c>
      <c r="C10" s="53">
        <v>972073.44256997108</v>
      </c>
      <c r="D10" s="53">
        <v>4331.5570998191833</v>
      </c>
      <c r="E10" s="53">
        <v>1691.441835641861</v>
      </c>
      <c r="F10" s="53">
        <v>5683.5460652112961</v>
      </c>
      <c r="G10" s="53">
        <v>5157.0282979011536</v>
      </c>
      <c r="H10" s="53">
        <v>9483.4441351890564</v>
      </c>
      <c r="I10" s="53">
        <v>11375.157822847366</v>
      </c>
      <c r="J10" s="53">
        <v>8969.3464994430542</v>
      </c>
      <c r="K10" s="53">
        <v>7463.6326289176941</v>
      </c>
      <c r="L10" s="53">
        <v>7709.9637783765793</v>
      </c>
      <c r="M10" s="53">
        <v>7575.0529617071152</v>
      </c>
      <c r="N10" s="53">
        <v>26423.178439497948</v>
      </c>
      <c r="O10" s="53">
        <v>21339.904077410698</v>
      </c>
    </row>
    <row r="11" spans="1:15" ht="20.45" customHeight="1" x14ac:dyDescent="0.2">
      <c r="A11" s="30" t="s">
        <v>395</v>
      </c>
      <c r="B11" s="53">
        <v>1624870.4197876453</v>
      </c>
      <c r="C11" s="53">
        <v>2410285.3115798235</v>
      </c>
      <c r="D11" s="53">
        <v>10435.546866893768</v>
      </c>
      <c r="E11" s="53">
        <v>4757.4819675683975</v>
      </c>
      <c r="F11" s="53">
        <v>13449.236903786659</v>
      </c>
      <c r="G11" s="53">
        <v>12823.283343911171</v>
      </c>
      <c r="H11" s="53">
        <v>23033.227817773819</v>
      </c>
      <c r="I11" s="53">
        <v>24271.192725539207</v>
      </c>
      <c r="J11" s="53">
        <v>21530.237344384193</v>
      </c>
      <c r="K11" s="53">
        <v>11674.466242313385</v>
      </c>
      <c r="L11" s="53">
        <v>18715.386033058167</v>
      </c>
      <c r="M11" s="53">
        <v>14504.912423253059</v>
      </c>
      <c r="N11" s="53">
        <v>54955.201828598976</v>
      </c>
      <c r="O11" s="53">
        <v>45423.596079707146</v>
      </c>
    </row>
    <row r="12" spans="1:15" ht="20.45" customHeight="1" x14ac:dyDescent="0.2">
      <c r="A12" s="30" t="s">
        <v>396</v>
      </c>
      <c r="B12" s="53">
        <v>1206033.3782815933</v>
      </c>
      <c r="C12" s="53">
        <v>1820467.2640464306</v>
      </c>
      <c r="D12" s="53">
        <v>8620.865053653717</v>
      </c>
      <c r="E12" s="53">
        <v>3652.0928553342819</v>
      </c>
      <c r="F12" s="53">
        <v>9881.3984155654907</v>
      </c>
      <c r="G12" s="53">
        <v>10561.050145149231</v>
      </c>
      <c r="H12" s="53">
        <v>18990.691297888756</v>
      </c>
      <c r="I12" s="53">
        <v>20520.570812702179</v>
      </c>
      <c r="J12" s="53">
        <v>17198.146950721741</v>
      </c>
      <c r="K12" s="53">
        <v>9255.8658279180527</v>
      </c>
      <c r="L12" s="53">
        <v>15205.874451756477</v>
      </c>
      <c r="M12" s="53">
        <v>10968.866583704948</v>
      </c>
      <c r="N12" s="53">
        <v>44385.554307579994</v>
      </c>
      <c r="O12" s="53">
        <v>37219.795812010765</v>
      </c>
    </row>
    <row r="13" spans="1:15" ht="20.45" customHeight="1" x14ac:dyDescent="0.2">
      <c r="A13" s="30" t="s">
        <v>397</v>
      </c>
      <c r="B13" s="53">
        <v>624521.38733685017</v>
      </c>
      <c r="C13" s="53">
        <v>926359.7509073019</v>
      </c>
      <c r="D13" s="53">
        <v>3995.9267313480377</v>
      </c>
      <c r="E13" s="53">
        <v>1728.4162080287933</v>
      </c>
      <c r="F13" s="53">
        <v>5636.3572088479996</v>
      </c>
      <c r="G13" s="53">
        <v>5270.1201940774918</v>
      </c>
      <c r="H13" s="53">
        <v>11078.940197229385</v>
      </c>
      <c r="I13" s="53">
        <v>10429.658360242844</v>
      </c>
      <c r="J13" s="53">
        <v>10786.859020709991</v>
      </c>
      <c r="K13" s="53">
        <v>5187.1854777336121</v>
      </c>
      <c r="L13" s="53">
        <v>9638.7638679742813</v>
      </c>
      <c r="M13" s="53">
        <v>5217.9291052818298</v>
      </c>
      <c r="N13" s="53">
        <v>22700.560263037682</v>
      </c>
      <c r="O13" s="53">
        <v>19140.495739459991</v>
      </c>
    </row>
    <row r="14" spans="1:15" ht="20.45" customHeight="1" x14ac:dyDescent="0.2">
      <c r="A14" s="30" t="s">
        <v>398</v>
      </c>
      <c r="B14" s="53">
        <v>140743.32798194885</v>
      </c>
      <c r="C14" s="53">
        <v>201336.86811220646</v>
      </c>
      <c r="D14" s="53">
        <v>788.22679662704468</v>
      </c>
      <c r="E14" s="53">
        <v>411.81084442138672</v>
      </c>
      <c r="F14" s="53">
        <v>1393.5059390068054</v>
      </c>
      <c r="G14" s="53">
        <v>1079.2136478424072</v>
      </c>
      <c r="H14" s="53">
        <v>2483.1733214855194</v>
      </c>
      <c r="I14" s="53">
        <v>2562.3426990509033</v>
      </c>
      <c r="J14" s="53">
        <v>2706.3368945121765</v>
      </c>
      <c r="K14" s="53">
        <v>1383.8646227121353</v>
      </c>
      <c r="L14" s="53">
        <v>2382.3170614242554</v>
      </c>
      <c r="M14" s="53">
        <v>1462.7112512588501</v>
      </c>
      <c r="N14" s="53">
        <v>5423.8644080162048</v>
      </c>
      <c r="O14" s="53">
        <v>4927.5930881500244</v>
      </c>
    </row>
    <row r="15" spans="1:15" ht="20.45" customHeight="1" x14ac:dyDescent="0.2">
      <c r="A15" s="30" t="s">
        <v>399</v>
      </c>
      <c r="B15" s="53">
        <v>52392.194612622261</v>
      </c>
      <c r="C15" s="53">
        <v>70806.694140434265</v>
      </c>
      <c r="D15" s="53">
        <v>386.23412704467773</v>
      </c>
      <c r="E15" s="53">
        <v>78.871349334716797</v>
      </c>
      <c r="F15" s="53">
        <v>520.69908475875854</v>
      </c>
      <c r="G15" s="53">
        <v>400.59960222244263</v>
      </c>
      <c r="H15" s="53">
        <v>1195.866425037384</v>
      </c>
      <c r="I15" s="53">
        <v>975.4057445526123</v>
      </c>
      <c r="J15" s="53">
        <v>1275.961341381073</v>
      </c>
      <c r="K15" s="53">
        <v>464.3308310508728</v>
      </c>
      <c r="L15" s="53">
        <v>946.44376707077026</v>
      </c>
      <c r="M15" s="53">
        <v>480.52995014190674</v>
      </c>
      <c r="N15" s="53">
        <v>2033.1052575111389</v>
      </c>
      <c r="O15" s="53">
        <v>1612.1236443519592</v>
      </c>
    </row>
    <row r="16" spans="1:15" ht="20.45" customHeight="1" x14ac:dyDescent="0.2">
      <c r="A16" s="30" t="s">
        <v>400</v>
      </c>
      <c r="B16" s="53">
        <v>15716.889748811722</v>
      </c>
      <c r="C16" s="53">
        <v>19939.821155548096</v>
      </c>
      <c r="D16" s="53">
        <v>58.291099548339844</v>
      </c>
      <c r="E16" s="53">
        <v>24.144627571105957</v>
      </c>
      <c r="F16" s="53">
        <v>105.05752420425415</v>
      </c>
      <c r="G16" s="53">
        <v>72.798652648925781</v>
      </c>
      <c r="H16" s="53">
        <v>563.05358505249023</v>
      </c>
      <c r="I16" s="53">
        <v>358.01285600662231</v>
      </c>
      <c r="J16" s="53">
        <v>423.14490604400635</v>
      </c>
      <c r="K16" s="53">
        <v>172.93245029449463</v>
      </c>
      <c r="L16" s="53">
        <v>266.98698210716248</v>
      </c>
      <c r="M16" s="53">
        <v>148.48999261856079</v>
      </c>
      <c r="N16" s="53">
        <v>573.3174090385437</v>
      </c>
      <c r="O16" s="53">
        <v>635.33863544464111</v>
      </c>
    </row>
    <row r="17" spans="1:15" ht="20.45" customHeight="1" x14ac:dyDescent="0.2">
      <c r="A17" s="30" t="s">
        <v>401</v>
      </c>
      <c r="B17" s="53">
        <v>17757.571505069733</v>
      </c>
      <c r="C17" s="53">
        <v>22111.431996464729</v>
      </c>
      <c r="D17" s="53">
        <v>103.79744958877563</v>
      </c>
      <c r="E17" s="53">
        <v>79.74781322479248</v>
      </c>
      <c r="F17" s="53">
        <v>247.91406297683716</v>
      </c>
      <c r="G17" s="53">
        <v>117.28003406524658</v>
      </c>
      <c r="H17" s="53">
        <v>534.60096406936646</v>
      </c>
      <c r="I17" s="53">
        <v>398.5965633392334</v>
      </c>
      <c r="J17" s="53">
        <v>401.11986017227173</v>
      </c>
      <c r="K17" s="53">
        <v>151.7108850479126</v>
      </c>
      <c r="L17" s="53">
        <v>505.56741857528687</v>
      </c>
      <c r="M17" s="53">
        <v>213.02341318130493</v>
      </c>
      <c r="N17" s="53">
        <v>713.77205467224121</v>
      </c>
      <c r="O17" s="53">
        <v>506.91867542266846</v>
      </c>
    </row>
    <row r="18" spans="1:15" ht="20.45" customHeight="1" x14ac:dyDescent="0.2">
      <c r="A18" s="30" t="s">
        <v>402</v>
      </c>
      <c r="B18" s="53">
        <v>2438.8107109069824</v>
      </c>
      <c r="C18" s="53">
        <v>2938.5341486930847</v>
      </c>
      <c r="D18" s="53">
        <v>10.921588897705078</v>
      </c>
      <c r="E18" s="53">
        <v>0</v>
      </c>
      <c r="F18" s="53">
        <v>50.586546421051025</v>
      </c>
      <c r="G18" s="53">
        <v>16.568407535552979</v>
      </c>
      <c r="H18" s="53">
        <v>104.90038013458252</v>
      </c>
      <c r="I18" s="53">
        <v>13.797724723815918</v>
      </c>
      <c r="J18" s="53">
        <v>29.843783378601074</v>
      </c>
      <c r="K18" s="53">
        <v>62.057548522949219</v>
      </c>
      <c r="L18" s="53">
        <v>32.696237564086914</v>
      </c>
      <c r="M18" s="53">
        <v>33.201390266418457</v>
      </c>
      <c r="N18" s="53">
        <v>51.589448928833008</v>
      </c>
      <c r="O18" s="53">
        <v>76.004050254821777</v>
      </c>
    </row>
    <row r="19" spans="1:15" ht="20.45" customHeight="1" x14ac:dyDescent="0.2">
      <c r="A19" s="31" t="s">
        <v>47</v>
      </c>
      <c r="B19" s="25">
        <f>B7+B8</f>
        <v>4952415.2454314232</v>
      </c>
      <c r="C19" s="25">
        <f t="shared" ref="C19:O19" si="0">C7+C8</f>
        <v>7261874.0273712873</v>
      </c>
      <c r="D19" s="25">
        <f t="shared" si="0"/>
        <v>34573.331413030624</v>
      </c>
      <c r="E19" s="25">
        <f t="shared" si="0"/>
        <v>14291.265422344208</v>
      </c>
      <c r="F19" s="25">
        <f t="shared" si="0"/>
        <v>42334.856868982315</v>
      </c>
      <c r="G19" s="25">
        <f t="shared" si="0"/>
        <v>40590.712538838387</v>
      </c>
      <c r="H19" s="25">
        <f t="shared" si="0"/>
        <v>78442.547370791435</v>
      </c>
      <c r="I19" s="25">
        <f t="shared" si="0"/>
        <v>82593.436182022095</v>
      </c>
      <c r="J19" s="25">
        <f t="shared" si="0"/>
        <v>75338.345438838005</v>
      </c>
      <c r="K19" s="25">
        <f t="shared" si="0"/>
        <v>43247.902845859528</v>
      </c>
      <c r="L19" s="25">
        <f t="shared" si="0"/>
        <v>66172.237793326378</v>
      </c>
      <c r="M19" s="25">
        <f t="shared" si="0"/>
        <v>50544.583954453468</v>
      </c>
      <c r="N19" s="25">
        <f t="shared" si="0"/>
        <v>190290.44551932812</v>
      </c>
      <c r="O19" s="25">
        <f t="shared" si="0"/>
        <v>160588.57541155815</v>
      </c>
    </row>
    <row r="20" spans="1:15" ht="12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</sheetData>
  <mergeCells count="10">
    <mergeCell ref="A1:O1"/>
    <mergeCell ref="A4:A6"/>
    <mergeCell ref="B4:C5"/>
    <mergeCell ref="D4:O4"/>
    <mergeCell ref="D5:E5"/>
    <mergeCell ref="F5:G5"/>
    <mergeCell ref="H5:I5"/>
    <mergeCell ref="J5:K5"/>
    <mergeCell ref="L5:M5"/>
    <mergeCell ref="N5:O5"/>
  </mergeCells>
  <conditionalFormatting sqref="B7:B19">
    <cfRule type="cellIs" dxfId="139" priority="16" stopIfTrue="1" operator="equal">
      <formula>0</formula>
    </cfRule>
  </conditionalFormatting>
  <conditionalFormatting sqref="C7:C19">
    <cfRule type="cellIs" dxfId="138" priority="15" stopIfTrue="1" operator="equal">
      <formula>0</formula>
    </cfRule>
  </conditionalFormatting>
  <conditionalFormatting sqref="D7:D19">
    <cfRule type="cellIs" dxfId="137" priority="14" stopIfTrue="1" operator="equal">
      <formula>0</formula>
    </cfRule>
  </conditionalFormatting>
  <conditionalFormatting sqref="E7:E19">
    <cfRule type="cellIs" dxfId="136" priority="13" stopIfTrue="1" operator="equal">
      <formula>0</formula>
    </cfRule>
  </conditionalFormatting>
  <conditionalFormatting sqref="F7:F19">
    <cfRule type="cellIs" dxfId="135" priority="12" stopIfTrue="1" operator="equal">
      <formula>0</formula>
    </cfRule>
  </conditionalFormatting>
  <conditionalFormatting sqref="G7:G19">
    <cfRule type="cellIs" dxfId="134" priority="11" stopIfTrue="1" operator="equal">
      <formula>0</formula>
    </cfRule>
  </conditionalFormatting>
  <conditionalFormatting sqref="H7:H19">
    <cfRule type="cellIs" dxfId="133" priority="10" stopIfTrue="1" operator="equal">
      <formula>0</formula>
    </cfRule>
  </conditionalFormatting>
  <conditionalFormatting sqref="I7:I19">
    <cfRule type="cellIs" dxfId="132" priority="9" stopIfTrue="1" operator="equal">
      <formula>0</formula>
    </cfRule>
  </conditionalFormatting>
  <conditionalFormatting sqref="J7:J19">
    <cfRule type="cellIs" dxfId="131" priority="8" stopIfTrue="1" operator="equal">
      <formula>0</formula>
    </cfRule>
  </conditionalFormatting>
  <conditionalFormatting sqref="K7:K19">
    <cfRule type="cellIs" dxfId="130" priority="7" stopIfTrue="1" operator="equal">
      <formula>0</formula>
    </cfRule>
  </conditionalFormatting>
  <conditionalFormatting sqref="L7:L19">
    <cfRule type="cellIs" dxfId="129" priority="6" stopIfTrue="1" operator="equal">
      <formula>0</formula>
    </cfRule>
  </conditionalFormatting>
  <conditionalFormatting sqref="M7:M19">
    <cfRule type="cellIs" dxfId="128" priority="5" stopIfTrue="1" operator="equal">
      <formula>0</formula>
    </cfRule>
  </conditionalFormatting>
  <conditionalFormatting sqref="N7:N19">
    <cfRule type="cellIs" dxfId="127" priority="4" stopIfTrue="1" operator="equal">
      <formula>0</formula>
    </cfRule>
  </conditionalFormatting>
  <conditionalFormatting sqref="O7:O19">
    <cfRule type="cellIs" dxfId="126" priority="3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1671-F323-4461-877B-9C84A41F2FCA}">
  <dimension ref="A1:K20"/>
  <sheetViews>
    <sheetView zoomScale="90" zoomScaleNormal="75" workbookViewId="0">
      <selection activeCell="C19" sqref="C19"/>
    </sheetView>
  </sheetViews>
  <sheetFormatPr defaultRowHeight="12.75" x14ac:dyDescent="0.2"/>
  <cols>
    <col min="1" max="1" width="22.85546875" customWidth="1"/>
    <col min="2" max="11" width="10.5703125" customWidth="1"/>
  </cols>
  <sheetData>
    <row r="1" spans="1:11" x14ac:dyDescent="0.2">
      <c r="A1" s="150" t="s">
        <v>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x14ac:dyDescent="0.2">
      <c r="A2" s="45"/>
      <c r="B2" s="46"/>
      <c r="C2" s="46"/>
      <c r="D2" s="46"/>
      <c r="E2" s="46"/>
      <c r="F2" s="46"/>
      <c r="G2" s="45"/>
      <c r="H2" s="45"/>
      <c r="I2" s="45"/>
      <c r="J2" s="45"/>
      <c r="K2" s="47" t="s">
        <v>32</v>
      </c>
    </row>
    <row r="3" spans="1:11" x14ac:dyDescent="0.2">
      <c r="A3" s="45" t="s">
        <v>406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ht="13.35" customHeight="1" x14ac:dyDescent="0.2">
      <c r="A4" s="210" t="s">
        <v>384</v>
      </c>
      <c r="B4" s="219" t="s">
        <v>473</v>
      </c>
      <c r="C4" s="220"/>
      <c r="D4" s="220"/>
      <c r="E4" s="220"/>
      <c r="F4" s="220"/>
      <c r="G4" s="220"/>
      <c r="H4" s="220"/>
      <c r="I4" s="220"/>
      <c r="J4" s="220"/>
      <c r="K4" s="221"/>
    </row>
    <row r="5" spans="1:11" ht="42" customHeight="1" x14ac:dyDescent="0.2">
      <c r="A5" s="210"/>
      <c r="B5" s="216" t="s">
        <v>650</v>
      </c>
      <c r="C5" s="217"/>
      <c r="D5" s="216" t="s">
        <v>403</v>
      </c>
      <c r="E5" s="217"/>
      <c r="F5" s="216" t="s">
        <v>404</v>
      </c>
      <c r="G5" s="217"/>
      <c r="H5" s="216" t="s">
        <v>405</v>
      </c>
      <c r="I5" s="217"/>
      <c r="J5" s="216" t="s">
        <v>654</v>
      </c>
      <c r="K5" s="217"/>
    </row>
    <row r="6" spans="1:11" x14ac:dyDescent="0.2">
      <c r="A6" s="210"/>
      <c r="B6" s="99" t="s">
        <v>239</v>
      </c>
      <c r="C6" s="99" t="s">
        <v>240</v>
      </c>
      <c r="D6" s="99" t="s">
        <v>239</v>
      </c>
      <c r="E6" s="99" t="s">
        <v>240</v>
      </c>
      <c r="F6" s="99" t="s">
        <v>239</v>
      </c>
      <c r="G6" s="99" t="s">
        <v>240</v>
      </c>
      <c r="H6" s="99" t="s">
        <v>239</v>
      </c>
      <c r="I6" s="99" t="s">
        <v>240</v>
      </c>
      <c r="J6" s="99" t="s">
        <v>239</v>
      </c>
      <c r="K6" s="99" t="s">
        <v>240</v>
      </c>
    </row>
    <row r="7" spans="1:11" ht="20.45" customHeight="1" x14ac:dyDescent="0.2">
      <c r="A7" s="69" t="s">
        <v>391</v>
      </c>
      <c r="B7" s="49">
        <v>24801.422826528549</v>
      </c>
      <c r="C7" s="49">
        <v>64765.689240217209</v>
      </c>
      <c r="D7" s="49">
        <v>16653.255213737488</v>
      </c>
      <c r="E7" s="49">
        <v>7583.7689216136932</v>
      </c>
      <c r="F7" s="49">
        <v>6104.8418709039688</v>
      </c>
      <c r="G7" s="49">
        <v>1323.6728978157043</v>
      </c>
      <c r="H7" s="49">
        <v>9340.4082381725311</v>
      </c>
      <c r="I7" s="49">
        <v>6715.4842211008072</v>
      </c>
      <c r="J7" s="49">
        <v>76202.563925385475</v>
      </c>
      <c r="K7" s="49">
        <v>113544.57783830166</v>
      </c>
    </row>
    <row r="8" spans="1:11" ht="20.45" customHeight="1" x14ac:dyDescent="0.2">
      <c r="A8" s="29" t="s">
        <v>392</v>
      </c>
      <c r="B8" s="51">
        <v>1562224.8397754431</v>
      </c>
      <c r="C8" s="51">
        <v>3570922.3711919785</v>
      </c>
      <c r="D8" s="51">
        <v>318936.73494160175</v>
      </c>
      <c r="E8" s="51">
        <v>111864.49133527279</v>
      </c>
      <c r="F8" s="51">
        <v>132220.99762642384</v>
      </c>
      <c r="G8" s="51">
        <v>21779.076112270355</v>
      </c>
      <c r="H8" s="51">
        <v>178555.52631115913</v>
      </c>
      <c r="I8" s="51">
        <v>172478.19231677055</v>
      </c>
      <c r="J8" s="51">
        <v>2140222.8902977705</v>
      </c>
      <c r="K8" s="51">
        <v>2799040.2269408703</v>
      </c>
    </row>
    <row r="9" spans="1:11" ht="20.45" customHeight="1" x14ac:dyDescent="0.2">
      <c r="A9" s="30" t="s">
        <v>393</v>
      </c>
      <c r="B9" s="53">
        <v>90089.458714723587</v>
      </c>
      <c r="C9" s="53">
        <v>232720.14536964893</v>
      </c>
      <c r="D9" s="53">
        <v>40220.094366073608</v>
      </c>
      <c r="E9" s="53">
        <v>19033.101291775703</v>
      </c>
      <c r="F9" s="53">
        <v>15530.723605155945</v>
      </c>
      <c r="G9" s="53">
        <v>3565.549905538559</v>
      </c>
      <c r="H9" s="53">
        <v>17822.197378277779</v>
      </c>
      <c r="I9" s="53">
        <v>15204.110899448395</v>
      </c>
      <c r="J9" s="53">
        <v>216102.53003704548</v>
      </c>
      <c r="K9" s="53">
        <v>285371.5502974987</v>
      </c>
    </row>
    <row r="10" spans="1:11" ht="20.45" customHeight="1" x14ac:dyDescent="0.2">
      <c r="A10" s="30" t="s">
        <v>394</v>
      </c>
      <c r="B10" s="53">
        <v>199382.68199360371</v>
      </c>
      <c r="C10" s="53">
        <v>465248.08818662167</v>
      </c>
      <c r="D10" s="53">
        <v>47506.43363058567</v>
      </c>
      <c r="E10" s="53">
        <v>17893.556085348129</v>
      </c>
      <c r="F10" s="53">
        <v>17336.784400224686</v>
      </c>
      <c r="G10" s="53">
        <v>2763.658100605011</v>
      </c>
      <c r="H10" s="53">
        <v>27835.939593195915</v>
      </c>
      <c r="I10" s="53">
        <v>25663.261647343636</v>
      </c>
      <c r="J10" s="53">
        <v>322411.83555412292</v>
      </c>
      <c r="K10" s="53">
        <v>405902.66092562675</v>
      </c>
    </row>
    <row r="11" spans="1:11" ht="20.45" customHeight="1" x14ac:dyDescent="0.2">
      <c r="A11" s="30" t="s">
        <v>395</v>
      </c>
      <c r="B11" s="53">
        <v>527112.91348230839</v>
      </c>
      <c r="C11" s="53">
        <v>1235855.6846162081</v>
      </c>
      <c r="D11" s="53">
        <v>102427.92341303825</v>
      </c>
      <c r="E11" s="53">
        <v>35772.954556822777</v>
      </c>
      <c r="F11" s="53">
        <v>42238.044450283051</v>
      </c>
      <c r="G11" s="53">
        <v>6988.4610786437988</v>
      </c>
      <c r="H11" s="53">
        <v>59813.564573287964</v>
      </c>
      <c r="I11" s="53">
        <v>62417.318322896957</v>
      </c>
      <c r="J11" s="53">
        <v>751159.1370742321</v>
      </c>
      <c r="K11" s="53">
        <v>955795.96022295952</v>
      </c>
    </row>
    <row r="12" spans="1:11" ht="20.45" customHeight="1" x14ac:dyDescent="0.2">
      <c r="A12" s="30" t="s">
        <v>396</v>
      </c>
      <c r="B12" s="53">
        <v>423894.40914607048</v>
      </c>
      <c r="C12" s="53">
        <v>974035.20276272297</v>
      </c>
      <c r="D12" s="53">
        <v>77337.418852329254</v>
      </c>
      <c r="E12" s="53">
        <v>24254.702838182449</v>
      </c>
      <c r="F12" s="53">
        <v>32761.583893179893</v>
      </c>
      <c r="G12" s="53">
        <v>5229.8032546043396</v>
      </c>
      <c r="H12" s="53">
        <v>44472.511083364487</v>
      </c>
      <c r="I12" s="53">
        <v>43357.802561759949</v>
      </c>
      <c r="J12" s="53">
        <v>513284.92482948303</v>
      </c>
      <c r="K12" s="53">
        <v>681411.51059234142</v>
      </c>
    </row>
    <row r="13" spans="1:11" ht="20.45" customHeight="1" x14ac:dyDescent="0.2">
      <c r="A13" s="30" t="s">
        <v>397</v>
      </c>
      <c r="B13" s="53">
        <v>231991.68546009064</v>
      </c>
      <c r="C13" s="53">
        <v>501635.95452749729</v>
      </c>
      <c r="D13" s="53">
        <v>38955.509475588799</v>
      </c>
      <c r="E13" s="53">
        <v>11534.900893568993</v>
      </c>
      <c r="F13" s="53">
        <v>18717.315794706345</v>
      </c>
      <c r="G13" s="53">
        <v>2531.1661422252655</v>
      </c>
      <c r="H13" s="53">
        <v>21843.978217601776</v>
      </c>
      <c r="I13" s="53">
        <v>19791.303623914719</v>
      </c>
      <c r="J13" s="53">
        <v>249175.49109971523</v>
      </c>
      <c r="K13" s="53">
        <v>343892.62063527107</v>
      </c>
    </row>
    <row r="14" spans="1:11" ht="20.45" customHeight="1" x14ac:dyDescent="0.2">
      <c r="A14" s="30" t="s">
        <v>398</v>
      </c>
      <c r="B14" s="53">
        <v>55058.849038124084</v>
      </c>
      <c r="C14" s="53">
        <v>105170.98087930679</v>
      </c>
      <c r="D14" s="53">
        <v>8389.8109592199326</v>
      </c>
      <c r="E14" s="53">
        <v>2498.237051486969</v>
      </c>
      <c r="F14" s="53">
        <v>3462.9487340450287</v>
      </c>
      <c r="G14" s="53">
        <v>461.9275426864624</v>
      </c>
      <c r="H14" s="53">
        <v>4842.7872090339661</v>
      </c>
      <c r="I14" s="53">
        <v>4102.1757990121841</v>
      </c>
      <c r="J14" s="53">
        <v>53811.507620453835</v>
      </c>
      <c r="K14" s="53">
        <v>77276.010686278343</v>
      </c>
    </row>
    <row r="15" spans="1:11" ht="20.45" customHeight="1" x14ac:dyDescent="0.2">
      <c r="A15" s="30" t="s">
        <v>399</v>
      </c>
      <c r="B15" s="53">
        <v>20076.59129345417</v>
      </c>
      <c r="C15" s="53">
        <v>34840.943567872047</v>
      </c>
      <c r="D15" s="53">
        <v>2544.058735370636</v>
      </c>
      <c r="E15" s="53">
        <v>523.83700752258301</v>
      </c>
      <c r="F15" s="53">
        <v>1479.8444457054138</v>
      </c>
      <c r="G15" s="53">
        <v>134.50014066696167</v>
      </c>
      <c r="H15" s="53">
        <v>1332.6441030502319</v>
      </c>
      <c r="I15" s="53">
        <v>1409.1571359634399</v>
      </c>
      <c r="J15" s="53">
        <v>20600.746032238007</v>
      </c>
      <c r="K15" s="53">
        <v>29886.395166754723</v>
      </c>
    </row>
    <row r="16" spans="1:11" ht="20.45" customHeight="1" x14ac:dyDescent="0.2">
      <c r="A16" s="30" t="s">
        <v>400</v>
      </c>
      <c r="B16" s="53">
        <v>6816.5607231855392</v>
      </c>
      <c r="C16" s="53">
        <v>10371.011156797409</v>
      </c>
      <c r="D16" s="53">
        <v>667.06225728988647</v>
      </c>
      <c r="E16" s="53">
        <v>158.22383594512939</v>
      </c>
      <c r="F16" s="53">
        <v>343.33287811279297</v>
      </c>
      <c r="G16" s="53">
        <v>30.545543193817139</v>
      </c>
      <c r="H16" s="53">
        <v>207.38442230224609</v>
      </c>
      <c r="I16" s="53">
        <v>236.79529571533203</v>
      </c>
      <c r="J16" s="53">
        <v>5692.6979619264603</v>
      </c>
      <c r="K16" s="53">
        <v>7731.5281093120575</v>
      </c>
    </row>
    <row r="17" spans="1:11" ht="20.45" customHeight="1" x14ac:dyDescent="0.2">
      <c r="A17" s="30" t="s">
        <v>401</v>
      </c>
      <c r="B17" s="53">
        <v>6622.2876878976822</v>
      </c>
      <c r="C17" s="53">
        <v>9655.3819406032562</v>
      </c>
      <c r="D17" s="53">
        <v>825.75879955291748</v>
      </c>
      <c r="E17" s="53">
        <v>161.48807954788208</v>
      </c>
      <c r="F17" s="53">
        <v>306.22140693664551</v>
      </c>
      <c r="G17" s="53">
        <v>73.464404106140137</v>
      </c>
      <c r="H17" s="53">
        <v>384.51973104476929</v>
      </c>
      <c r="I17" s="53">
        <v>238.54333686828613</v>
      </c>
      <c r="J17" s="53">
        <v>7112.0120695829391</v>
      </c>
      <c r="K17" s="53">
        <v>10515.276851058006</v>
      </c>
    </row>
    <row r="18" spans="1:11" ht="20.45" customHeight="1" x14ac:dyDescent="0.2">
      <c r="A18" s="30" t="s">
        <v>402</v>
      </c>
      <c r="B18" s="53">
        <v>1179.4022359848022</v>
      </c>
      <c r="C18" s="53">
        <v>1388.9781847000122</v>
      </c>
      <c r="D18" s="53">
        <v>62.66445255279541</v>
      </c>
      <c r="E18" s="53">
        <v>33.489695072174072</v>
      </c>
      <c r="F18" s="53">
        <v>44.198018074035645</v>
      </c>
      <c r="G18" s="53">
        <v>0</v>
      </c>
      <c r="H18" s="53">
        <v>0</v>
      </c>
      <c r="I18" s="53">
        <v>57.72369384765625</v>
      </c>
      <c r="J18" s="53">
        <v>872.0080189704895</v>
      </c>
      <c r="K18" s="53">
        <v>1256.7134537696838</v>
      </c>
    </row>
    <row r="19" spans="1:11" ht="20.45" customHeight="1" x14ac:dyDescent="0.2">
      <c r="A19" s="31" t="s">
        <v>47</v>
      </c>
      <c r="B19" s="25">
        <f>B7+B8</f>
        <v>1587026.2626019716</v>
      </c>
      <c r="C19" s="25">
        <f t="shared" ref="C19:K19" si="0">C7+C8</f>
        <v>3635688.0604321957</v>
      </c>
      <c r="D19" s="25">
        <f t="shared" si="0"/>
        <v>335589.99015533924</v>
      </c>
      <c r="E19" s="25">
        <f t="shared" si="0"/>
        <v>119448.26025688648</v>
      </c>
      <c r="F19" s="25">
        <f t="shared" si="0"/>
        <v>138325.8394973278</v>
      </c>
      <c r="G19" s="25">
        <f t="shared" si="0"/>
        <v>23102.74901008606</v>
      </c>
      <c r="H19" s="25">
        <f t="shared" si="0"/>
        <v>187895.93454933167</v>
      </c>
      <c r="I19" s="25">
        <f t="shared" si="0"/>
        <v>179193.67653787136</v>
      </c>
      <c r="J19" s="25">
        <f t="shared" si="0"/>
        <v>2216425.454223156</v>
      </c>
      <c r="K19" s="25">
        <f t="shared" si="0"/>
        <v>2912584.8047791719</v>
      </c>
    </row>
    <row r="20" spans="1:11" ht="12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</sheetData>
  <mergeCells count="8">
    <mergeCell ref="A1:K1"/>
    <mergeCell ref="A4:A6"/>
    <mergeCell ref="B4:K4"/>
    <mergeCell ref="B5:C5"/>
    <mergeCell ref="D5:E5"/>
    <mergeCell ref="F5:G5"/>
    <mergeCell ref="H5:I5"/>
    <mergeCell ref="J5:K5"/>
  </mergeCells>
  <conditionalFormatting sqref="B7:B19">
    <cfRule type="cellIs" dxfId="125" priority="10" stopIfTrue="1" operator="equal">
      <formula>0</formula>
    </cfRule>
  </conditionalFormatting>
  <conditionalFormatting sqref="C7:C19">
    <cfRule type="cellIs" dxfId="124" priority="9" stopIfTrue="1" operator="equal">
      <formula>0</formula>
    </cfRule>
  </conditionalFormatting>
  <conditionalFormatting sqref="D7:D19">
    <cfRule type="cellIs" dxfId="123" priority="8" stopIfTrue="1" operator="equal">
      <formula>0</formula>
    </cfRule>
  </conditionalFormatting>
  <conditionalFormatting sqref="E7:E19">
    <cfRule type="cellIs" dxfId="122" priority="7" stopIfTrue="1" operator="equal">
      <formula>0</formula>
    </cfRule>
  </conditionalFormatting>
  <conditionalFormatting sqref="F7:F19">
    <cfRule type="cellIs" dxfId="121" priority="6" stopIfTrue="1" operator="equal">
      <formula>0</formula>
    </cfRule>
  </conditionalFormatting>
  <conditionalFormatting sqref="G7:G19">
    <cfRule type="cellIs" dxfId="120" priority="5" stopIfTrue="1" operator="equal">
      <formula>0</formula>
    </cfRule>
  </conditionalFormatting>
  <conditionalFormatting sqref="H7:H19">
    <cfRule type="cellIs" dxfId="119" priority="4" stopIfTrue="1" operator="equal">
      <formula>0</formula>
    </cfRule>
  </conditionalFormatting>
  <conditionalFormatting sqref="I7:I19">
    <cfRule type="cellIs" dxfId="118" priority="3" stopIfTrue="1" operator="equal">
      <formula>0</formula>
    </cfRule>
  </conditionalFormatting>
  <conditionalFormatting sqref="J7:J19">
    <cfRule type="cellIs" dxfId="117" priority="2" stopIfTrue="1" operator="equal">
      <formula>0</formula>
    </cfRule>
  </conditionalFormatting>
  <conditionalFormatting sqref="K7:K19">
    <cfRule type="cellIs" dxfId="116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FAC8-537B-45F0-83C4-87A4E463BE09}">
  <dimension ref="A1:Q20"/>
  <sheetViews>
    <sheetView zoomScale="102" zoomScaleNormal="145" workbookViewId="0">
      <selection activeCell="C19" sqref="C19"/>
    </sheetView>
  </sheetViews>
  <sheetFormatPr defaultRowHeight="12.75" x14ac:dyDescent="0.2"/>
  <cols>
    <col min="1" max="1" width="22.85546875" customWidth="1"/>
    <col min="2" max="2" width="11.140625" customWidth="1"/>
    <col min="3" max="3" width="7.5703125" customWidth="1"/>
    <col min="4" max="6" width="9.140625" customWidth="1"/>
    <col min="7" max="7" width="10.140625" customWidth="1"/>
    <col min="8" max="8" width="9.140625" customWidth="1"/>
    <col min="9" max="9" width="10.140625" customWidth="1"/>
    <col min="10" max="15" width="9.140625" customWidth="1"/>
  </cols>
  <sheetData>
    <row r="1" spans="1:17" x14ac:dyDescent="0.2">
      <c r="A1" s="150" t="s">
        <v>34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7" x14ac:dyDescent="0.2">
      <c r="A2" s="45"/>
      <c r="B2" s="45"/>
      <c r="C2" s="45"/>
      <c r="D2" s="46"/>
      <c r="E2" s="46"/>
      <c r="F2" s="46"/>
      <c r="G2" s="46"/>
      <c r="H2" s="46"/>
      <c r="I2" s="45"/>
      <c r="J2" s="45"/>
      <c r="K2" s="45"/>
      <c r="L2" s="45"/>
      <c r="M2" s="45"/>
      <c r="N2" s="46"/>
      <c r="O2" s="47" t="s">
        <v>32</v>
      </c>
    </row>
    <row r="3" spans="1:17" ht="27" customHeight="1" x14ac:dyDescent="0.2">
      <c r="A3" s="226" t="s">
        <v>656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</row>
    <row r="4" spans="1:17" ht="33.6" customHeight="1" x14ac:dyDescent="0.2">
      <c r="A4" s="210" t="s">
        <v>384</v>
      </c>
      <c r="B4" s="222" t="s">
        <v>657</v>
      </c>
      <c r="C4" s="223"/>
      <c r="D4" s="222" t="s">
        <v>658</v>
      </c>
      <c r="E4" s="223"/>
      <c r="F4" s="219" t="s">
        <v>659</v>
      </c>
      <c r="G4" s="220"/>
      <c r="H4" s="220"/>
      <c r="I4" s="220"/>
      <c r="J4" s="220"/>
      <c r="K4" s="220"/>
      <c r="L4" s="220"/>
      <c r="M4" s="220"/>
      <c r="N4" s="220"/>
      <c r="O4" s="221"/>
      <c r="P4" s="24"/>
      <c r="Q4" s="24"/>
    </row>
    <row r="5" spans="1:17" ht="35.450000000000003" customHeight="1" x14ac:dyDescent="0.2">
      <c r="A5" s="210"/>
      <c r="B5" s="224"/>
      <c r="C5" s="225"/>
      <c r="D5" s="224"/>
      <c r="E5" s="225"/>
      <c r="F5" s="216" t="s">
        <v>407</v>
      </c>
      <c r="G5" s="217"/>
      <c r="H5" s="216" t="s">
        <v>408</v>
      </c>
      <c r="I5" s="217"/>
      <c r="J5" s="216" t="s">
        <v>409</v>
      </c>
      <c r="K5" s="217"/>
      <c r="L5" s="216" t="s">
        <v>410</v>
      </c>
      <c r="M5" s="217"/>
      <c r="N5" s="216" t="s">
        <v>411</v>
      </c>
      <c r="O5" s="217"/>
      <c r="P5" s="8"/>
    </row>
    <row r="6" spans="1:17" ht="23.45" customHeight="1" x14ac:dyDescent="0.2">
      <c r="A6" s="210"/>
      <c r="B6" s="99" t="s">
        <v>239</v>
      </c>
      <c r="C6" s="99" t="s">
        <v>240</v>
      </c>
      <c r="D6" s="99" t="s">
        <v>239</v>
      </c>
      <c r="E6" s="99" t="s">
        <v>240</v>
      </c>
      <c r="F6" s="99" t="s">
        <v>239</v>
      </c>
      <c r="G6" s="99" t="s">
        <v>240</v>
      </c>
      <c r="H6" s="99" t="s">
        <v>239</v>
      </c>
      <c r="I6" s="99" t="s">
        <v>240</v>
      </c>
      <c r="J6" s="99" t="s">
        <v>239</v>
      </c>
      <c r="K6" s="99" t="s">
        <v>240</v>
      </c>
      <c r="L6" s="99" t="s">
        <v>239</v>
      </c>
      <c r="M6" s="99" t="s">
        <v>240</v>
      </c>
      <c r="N6" s="99" t="s">
        <v>239</v>
      </c>
      <c r="O6" s="99" t="s">
        <v>240</v>
      </c>
    </row>
    <row r="7" spans="1:17" ht="20.45" customHeight="1" x14ac:dyDescent="0.2">
      <c r="A7" s="69" t="s">
        <v>391</v>
      </c>
      <c r="B7" s="49">
        <v>9433.8757967948914</v>
      </c>
      <c r="C7" s="49">
        <v>9091.2635127305984</v>
      </c>
      <c r="D7" s="49">
        <v>127131.8347235918</v>
      </c>
      <c r="E7" s="49">
        <v>135948.30352985859</v>
      </c>
      <c r="F7" s="49">
        <v>58045.652784585953</v>
      </c>
      <c r="G7" s="49">
        <v>55088.470598101616</v>
      </c>
      <c r="H7" s="49">
        <v>33389.670990943909</v>
      </c>
      <c r="I7" s="49">
        <v>38775.722125172615</v>
      </c>
      <c r="J7" s="49">
        <v>42943.789226770401</v>
      </c>
      <c r="K7" s="49">
        <v>47323.979202985764</v>
      </c>
      <c r="L7" s="49">
        <v>24302.470593452454</v>
      </c>
      <c r="M7" s="49">
        <v>39618.063747525215</v>
      </c>
      <c r="N7" s="49">
        <v>79003.007330775261</v>
      </c>
      <c r="O7" s="49">
        <v>75599.673968672752</v>
      </c>
    </row>
    <row r="8" spans="1:17" ht="20.45" customHeight="1" x14ac:dyDescent="0.2">
      <c r="A8" s="29" t="s">
        <v>392</v>
      </c>
      <c r="B8" s="51">
        <v>522716.20642483234</v>
      </c>
      <c r="C8" s="51">
        <v>443356.4179879427</v>
      </c>
      <c r="D8" s="51">
        <v>4795102.0840072632</v>
      </c>
      <c r="E8" s="51">
        <v>4813725.9488097429</v>
      </c>
      <c r="F8" s="51">
        <v>1632140.7799851894</v>
      </c>
      <c r="G8" s="51">
        <v>1518801.8573319912</v>
      </c>
      <c r="H8" s="51">
        <v>1320593.6820617914</v>
      </c>
      <c r="I8" s="51">
        <v>1447059.7654048204</v>
      </c>
      <c r="J8" s="51">
        <v>1769962.5284243822</v>
      </c>
      <c r="K8" s="51">
        <v>1959645.0233132839</v>
      </c>
      <c r="L8" s="51">
        <v>1508508.0074802637</v>
      </c>
      <c r="M8" s="51">
        <v>1773057.8730432987</v>
      </c>
      <c r="N8" s="51">
        <v>1459568.6278882027</v>
      </c>
      <c r="O8" s="51">
        <v>1461649.7962237597</v>
      </c>
    </row>
    <row r="9" spans="1:17" ht="20.45" customHeight="1" x14ac:dyDescent="0.2">
      <c r="A9" s="30" t="s">
        <v>393</v>
      </c>
      <c r="B9" s="53">
        <v>32524.563160061836</v>
      </c>
      <c r="C9" s="53">
        <v>36887.095196485519</v>
      </c>
      <c r="D9" s="53">
        <v>392498.53961515427</v>
      </c>
      <c r="E9" s="53">
        <v>473475.40941917896</v>
      </c>
      <c r="F9" s="53">
        <v>178240.28462159634</v>
      </c>
      <c r="G9" s="53">
        <v>163993.68667161465</v>
      </c>
      <c r="H9" s="53">
        <v>119715.02674770355</v>
      </c>
      <c r="I9" s="53">
        <v>133123.27515125275</v>
      </c>
      <c r="J9" s="53">
        <v>132004.46104121208</v>
      </c>
      <c r="K9" s="53">
        <v>172832.60537075996</v>
      </c>
      <c r="L9" s="53">
        <v>81230.03446495533</v>
      </c>
      <c r="M9" s="53">
        <v>149459.88147580624</v>
      </c>
      <c r="N9" s="53">
        <v>180325.72249472141</v>
      </c>
      <c r="O9" s="53">
        <v>158127.68995809555</v>
      </c>
    </row>
    <row r="10" spans="1:17" ht="20.45" customHeight="1" x14ac:dyDescent="0.2">
      <c r="A10" s="30" t="s">
        <v>394</v>
      </c>
      <c r="B10" s="53">
        <v>60945.829001069069</v>
      </c>
      <c r="C10" s="53">
        <v>65670.687191486359</v>
      </c>
      <c r="D10" s="53">
        <v>660273.7499114275</v>
      </c>
      <c r="E10" s="53">
        <v>734213.20113062859</v>
      </c>
      <c r="F10" s="53">
        <v>249282.93165707588</v>
      </c>
      <c r="G10" s="53">
        <v>228106.99661743641</v>
      </c>
      <c r="H10" s="53">
        <v>197811.16992354393</v>
      </c>
      <c r="I10" s="53">
        <v>214204.94587039948</v>
      </c>
      <c r="J10" s="53">
        <v>240890.63088059425</v>
      </c>
      <c r="K10" s="53">
        <v>288129.91558766365</v>
      </c>
      <c r="L10" s="53">
        <v>184754.35511875153</v>
      </c>
      <c r="M10" s="53">
        <v>270695.02243709564</v>
      </c>
      <c r="N10" s="53">
        <v>218024.09376442432</v>
      </c>
      <c r="O10" s="53">
        <v>205698.06474804878</v>
      </c>
    </row>
    <row r="11" spans="1:17" ht="20.45" customHeight="1" x14ac:dyDescent="0.2">
      <c r="A11" s="30" t="s">
        <v>395</v>
      </c>
      <c r="B11" s="53">
        <v>170392.50677227974</v>
      </c>
      <c r="C11" s="53">
        <v>161079.92011535168</v>
      </c>
      <c r="D11" s="53">
        <v>1644923.4126750231</v>
      </c>
      <c r="E11" s="53">
        <v>1693222.6337513924</v>
      </c>
      <c r="F11" s="53">
        <v>564340.39965581894</v>
      </c>
      <c r="G11" s="53">
        <v>518161.44552111626</v>
      </c>
      <c r="H11" s="53">
        <v>458988.45191824436</v>
      </c>
      <c r="I11" s="53">
        <v>496923.09409189224</v>
      </c>
      <c r="J11" s="53">
        <v>620075.69486641884</v>
      </c>
      <c r="K11" s="53">
        <v>703240.39000606537</v>
      </c>
      <c r="L11" s="53">
        <v>508360.91850554943</v>
      </c>
      <c r="M11" s="53">
        <v>639837.59231340885</v>
      </c>
      <c r="N11" s="53">
        <v>478297.96512269974</v>
      </c>
      <c r="O11" s="53">
        <v>477043.39390993118</v>
      </c>
    </row>
    <row r="12" spans="1:17" ht="20.45" customHeight="1" x14ac:dyDescent="0.2">
      <c r="A12" s="30" t="s">
        <v>396</v>
      </c>
      <c r="B12" s="53">
        <v>142842.81781876087</v>
      </c>
      <c r="C12" s="53">
        <v>110568.90849685669</v>
      </c>
      <c r="D12" s="53">
        <v>1244632.8730586767</v>
      </c>
      <c r="E12" s="53">
        <v>1179720.5350862741</v>
      </c>
      <c r="F12" s="53">
        <v>387526.055742383</v>
      </c>
      <c r="G12" s="53">
        <v>365463.76895356178</v>
      </c>
      <c r="H12" s="53">
        <v>329892.70825302601</v>
      </c>
      <c r="I12" s="53">
        <v>363999.3262898922</v>
      </c>
      <c r="J12" s="53">
        <v>463544.94299650192</v>
      </c>
      <c r="K12" s="53">
        <v>494021.85344815254</v>
      </c>
      <c r="L12" s="53">
        <v>423921.39016139507</v>
      </c>
      <c r="M12" s="53">
        <v>446016.28070092201</v>
      </c>
      <c r="N12" s="53">
        <v>343865.34395909309</v>
      </c>
      <c r="O12" s="53">
        <v>353552.9223344326</v>
      </c>
    </row>
    <row r="13" spans="1:17" ht="20.45" customHeight="1" x14ac:dyDescent="0.2">
      <c r="A13" s="30" t="s">
        <v>397</v>
      </c>
      <c r="B13" s="53">
        <v>83145.030707120895</v>
      </c>
      <c r="C13" s="53">
        <v>52842.478980302811</v>
      </c>
      <c r="D13" s="53">
        <v>637266.11167240143</v>
      </c>
      <c r="E13" s="53">
        <v>561444.82830810547</v>
      </c>
      <c r="F13" s="53">
        <v>188589.04461288452</v>
      </c>
      <c r="G13" s="53">
        <v>181380.26231384277</v>
      </c>
      <c r="H13" s="53">
        <v>162184.83204364777</v>
      </c>
      <c r="I13" s="53">
        <v>178883.37065374851</v>
      </c>
      <c r="J13" s="53">
        <v>234658.42674732208</v>
      </c>
      <c r="K13" s="53">
        <v>232852.12439441681</v>
      </c>
      <c r="L13" s="53">
        <v>231116.29813623428</v>
      </c>
      <c r="M13" s="53">
        <v>206956.8344732523</v>
      </c>
      <c r="N13" s="53">
        <v>172571.04119586945</v>
      </c>
      <c r="O13" s="53">
        <v>188727.63287901878</v>
      </c>
    </row>
    <row r="14" spans="1:17" ht="20.45" customHeight="1" x14ac:dyDescent="0.2">
      <c r="A14" s="30" t="s">
        <v>398</v>
      </c>
      <c r="B14" s="53">
        <v>19523.705465197563</v>
      </c>
      <c r="C14" s="53">
        <v>10596.256663322449</v>
      </c>
      <c r="D14" s="53">
        <v>137772.59748923779</v>
      </c>
      <c r="E14" s="53">
        <v>113297.89990472794</v>
      </c>
      <c r="F14" s="53">
        <v>41324.842085599899</v>
      </c>
      <c r="G14" s="53">
        <v>38808.121664881706</v>
      </c>
      <c r="H14" s="53">
        <v>33159.441536664963</v>
      </c>
      <c r="I14" s="53">
        <v>38703.908208847046</v>
      </c>
      <c r="J14" s="53">
        <v>49945.381225705147</v>
      </c>
      <c r="K14" s="53">
        <v>46388.826150178909</v>
      </c>
      <c r="L14" s="53">
        <v>50444.418896794319</v>
      </c>
      <c r="M14" s="53">
        <v>39823.225387096405</v>
      </c>
      <c r="N14" s="53">
        <v>39363.835651040077</v>
      </c>
      <c r="O14" s="53">
        <v>46066.14376938343</v>
      </c>
    </row>
    <row r="15" spans="1:17" ht="20.45" customHeight="1" x14ac:dyDescent="0.2">
      <c r="A15" s="30" t="s">
        <v>399</v>
      </c>
      <c r="B15" s="53">
        <v>8001.6803478002548</v>
      </c>
      <c r="C15" s="53">
        <v>3560.7044720649719</v>
      </c>
      <c r="D15" s="53">
        <v>47149.53758919239</v>
      </c>
      <c r="E15" s="53">
        <v>35919.677815794945</v>
      </c>
      <c r="F15" s="53">
        <v>13760.471125125885</v>
      </c>
      <c r="G15" s="53">
        <v>13837.04740023613</v>
      </c>
      <c r="H15" s="53">
        <v>11621.774477243423</v>
      </c>
      <c r="I15" s="53">
        <v>13149.752076625824</v>
      </c>
      <c r="J15" s="53">
        <v>17739.05026113987</v>
      </c>
      <c r="K15" s="53">
        <v>14064.016644001007</v>
      </c>
      <c r="L15" s="53">
        <v>17051.883597612381</v>
      </c>
      <c r="M15" s="53">
        <v>12410.620405316353</v>
      </c>
      <c r="N15" s="53">
        <v>16240.286835670471</v>
      </c>
      <c r="O15" s="53">
        <v>19286.574689507484</v>
      </c>
    </row>
    <row r="16" spans="1:17" ht="20.45" customHeight="1" x14ac:dyDescent="0.2">
      <c r="A16" s="30" t="s">
        <v>400</v>
      </c>
      <c r="B16" s="53">
        <v>2286.7309302091599</v>
      </c>
      <c r="C16" s="53">
        <v>921.8811719417572</v>
      </c>
      <c r="D16" s="53">
        <v>13943.100107312202</v>
      </c>
      <c r="E16" s="53">
        <v>10496.118327379227</v>
      </c>
      <c r="F16" s="53">
        <v>4253.9354504346848</v>
      </c>
      <c r="G16" s="53">
        <v>3706.6109256744385</v>
      </c>
      <c r="H16" s="53">
        <v>3114.5791828632355</v>
      </c>
      <c r="I16" s="53">
        <v>3758.851739525795</v>
      </c>
      <c r="J16" s="53">
        <v>5122.389845252037</v>
      </c>
      <c r="K16" s="53">
        <v>3908.9040007591248</v>
      </c>
      <c r="L16" s="53">
        <v>5443.0448943376541</v>
      </c>
      <c r="M16" s="53">
        <v>3961.2368844747543</v>
      </c>
      <c r="N16" s="53">
        <v>4519.6759517192841</v>
      </c>
      <c r="O16" s="53">
        <v>5264.3213901519775</v>
      </c>
    </row>
    <row r="17" spans="1:15" ht="20.45" customHeight="1" x14ac:dyDescent="0.2">
      <c r="A17" s="30" t="s">
        <v>401</v>
      </c>
      <c r="B17" s="53">
        <v>2650.8102985620499</v>
      </c>
      <c r="C17" s="53">
        <v>1154.8326692581177</v>
      </c>
      <c r="D17" s="53">
        <v>14633.566774129868</v>
      </c>
      <c r="E17" s="53">
        <v>10553.091979503632</v>
      </c>
      <c r="F17" s="53">
        <v>4457.8757966756821</v>
      </c>
      <c r="G17" s="53">
        <v>4889.156351685524</v>
      </c>
      <c r="H17" s="53">
        <v>3656.8235086202621</v>
      </c>
      <c r="I17" s="53">
        <v>3790.5437737703323</v>
      </c>
      <c r="J17" s="53">
        <v>5279.8354408740997</v>
      </c>
      <c r="K17" s="53">
        <v>3655.8628942966461</v>
      </c>
      <c r="L17" s="66">
        <v>5345.2396461963654</v>
      </c>
      <c r="M17" s="53">
        <v>3440.8598026037216</v>
      </c>
      <c r="N17" s="53">
        <v>5462.7324768304825</v>
      </c>
      <c r="O17" s="53">
        <v>6868.6642905473709</v>
      </c>
    </row>
    <row r="18" spans="1:15" ht="20.45" customHeight="1" x14ac:dyDescent="0.2">
      <c r="A18" s="30" t="s">
        <v>402</v>
      </c>
      <c r="B18" s="53">
        <v>402.53192377090454</v>
      </c>
      <c r="C18" s="53">
        <v>73.653030872344971</v>
      </c>
      <c r="D18" s="53">
        <v>2008.5951147079468</v>
      </c>
      <c r="E18" s="53">
        <v>1382.5530867576599</v>
      </c>
      <c r="F18" s="53">
        <v>364.93923759460449</v>
      </c>
      <c r="G18" s="53">
        <v>454.76091194152832</v>
      </c>
      <c r="H18" s="53">
        <v>448.87447023391724</v>
      </c>
      <c r="I18" s="53">
        <v>522.69754886627197</v>
      </c>
      <c r="J18" s="53">
        <v>701.71511936187744</v>
      </c>
      <c r="K18" s="53">
        <v>550.52481698989868</v>
      </c>
      <c r="L18" s="53">
        <v>840.42405843734741</v>
      </c>
      <c r="M18" s="53">
        <v>456.31916332244873</v>
      </c>
      <c r="N18" s="53">
        <v>897.93043613433838</v>
      </c>
      <c r="O18" s="53">
        <v>1014.3882546424866</v>
      </c>
    </row>
    <row r="19" spans="1:15" ht="20.45" customHeight="1" x14ac:dyDescent="0.2">
      <c r="A19" s="31" t="s">
        <v>47</v>
      </c>
      <c r="B19" s="25">
        <f>B7+B8</f>
        <v>532150.08222162724</v>
      </c>
      <c r="C19" s="25">
        <f t="shared" ref="C19:O19" si="0">C7+C8</f>
        <v>452447.68150067329</v>
      </c>
      <c r="D19" s="25">
        <f t="shared" si="0"/>
        <v>4922233.918730855</v>
      </c>
      <c r="E19" s="25">
        <f t="shared" si="0"/>
        <v>4949674.2523396015</v>
      </c>
      <c r="F19" s="25">
        <f t="shared" si="0"/>
        <v>1690186.4327697754</v>
      </c>
      <c r="G19" s="25">
        <f t="shared" si="0"/>
        <v>1573890.3279300928</v>
      </c>
      <c r="H19" s="25">
        <f t="shared" si="0"/>
        <v>1353983.3530527353</v>
      </c>
      <c r="I19" s="25">
        <f t="shared" si="0"/>
        <v>1485835.4875299931</v>
      </c>
      <c r="J19" s="25">
        <f t="shared" si="0"/>
        <v>1812906.3176511526</v>
      </c>
      <c r="K19" s="25">
        <f t="shared" si="0"/>
        <v>2006969.0025162697</v>
      </c>
      <c r="L19" s="25">
        <f t="shared" si="0"/>
        <v>1532810.4780737162</v>
      </c>
      <c r="M19" s="25">
        <f t="shared" si="0"/>
        <v>1812675.9367908239</v>
      </c>
      <c r="N19" s="25">
        <f t="shared" si="0"/>
        <v>1538571.6352189779</v>
      </c>
      <c r="O19" s="25">
        <f t="shared" si="0"/>
        <v>1537249.4701924324</v>
      </c>
    </row>
    <row r="20" spans="1:15" ht="12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</sheetData>
  <mergeCells count="11">
    <mergeCell ref="A1:O1"/>
    <mergeCell ref="A4:A6"/>
    <mergeCell ref="F5:G5"/>
    <mergeCell ref="H5:I5"/>
    <mergeCell ref="J5:K5"/>
    <mergeCell ref="B4:C5"/>
    <mergeCell ref="L5:M5"/>
    <mergeCell ref="N5:O5"/>
    <mergeCell ref="F4:O4"/>
    <mergeCell ref="D4:E5"/>
    <mergeCell ref="A3:O3"/>
  </mergeCells>
  <conditionalFormatting sqref="B7:B19">
    <cfRule type="cellIs" dxfId="115" priority="14" stopIfTrue="1" operator="equal">
      <formula>0</formula>
    </cfRule>
  </conditionalFormatting>
  <conditionalFormatting sqref="C7:C19">
    <cfRule type="cellIs" dxfId="114" priority="13" stopIfTrue="1" operator="equal">
      <formula>0</formula>
    </cfRule>
  </conditionalFormatting>
  <conditionalFormatting sqref="D7:D19">
    <cfRule type="cellIs" dxfId="113" priority="12" stopIfTrue="1" operator="equal">
      <formula>0</formula>
    </cfRule>
  </conditionalFormatting>
  <conditionalFormatting sqref="E7:E19">
    <cfRule type="cellIs" dxfId="112" priority="11" stopIfTrue="1" operator="equal">
      <formula>0</formula>
    </cfRule>
  </conditionalFormatting>
  <conditionalFormatting sqref="F7:F19">
    <cfRule type="cellIs" dxfId="111" priority="10" stopIfTrue="1" operator="equal">
      <formula>0</formula>
    </cfRule>
  </conditionalFormatting>
  <conditionalFormatting sqref="G7:G19">
    <cfRule type="cellIs" dxfId="110" priority="9" stopIfTrue="1" operator="equal">
      <formula>0</formula>
    </cfRule>
  </conditionalFormatting>
  <conditionalFormatting sqref="H7:H19">
    <cfRule type="cellIs" dxfId="109" priority="8" stopIfTrue="1" operator="equal">
      <formula>0</formula>
    </cfRule>
  </conditionalFormatting>
  <conditionalFormatting sqref="I7:I19">
    <cfRule type="cellIs" dxfId="108" priority="7" stopIfTrue="1" operator="equal">
      <formula>0</formula>
    </cfRule>
  </conditionalFormatting>
  <conditionalFormatting sqref="J7:J19">
    <cfRule type="cellIs" dxfId="107" priority="6" stopIfTrue="1" operator="equal">
      <formula>0</formula>
    </cfRule>
  </conditionalFormatting>
  <conditionalFormatting sqref="K7:K19">
    <cfRule type="cellIs" dxfId="106" priority="5" stopIfTrue="1" operator="equal">
      <formula>0</formula>
    </cfRule>
  </conditionalFormatting>
  <conditionalFormatting sqref="L7:L19">
    <cfRule type="cellIs" dxfId="105" priority="4" stopIfTrue="1" operator="equal">
      <formula>0</formula>
    </cfRule>
  </conditionalFormatting>
  <conditionalFormatting sqref="M7:M19">
    <cfRule type="cellIs" dxfId="104" priority="3" stopIfTrue="1" operator="equal">
      <formula>0</formula>
    </cfRule>
  </conditionalFormatting>
  <conditionalFormatting sqref="N7:N19">
    <cfRule type="cellIs" dxfId="103" priority="2" stopIfTrue="1" operator="equal">
      <formula>0</formula>
    </cfRule>
  </conditionalFormatting>
  <conditionalFormatting sqref="O7:O19">
    <cfRule type="cellIs" dxfId="102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9ADE-0E18-4AD8-9818-69CEE065E5A6}">
  <dimension ref="A1:G20"/>
  <sheetViews>
    <sheetView zoomScale="96" zoomScaleNormal="112" workbookViewId="0">
      <selection activeCell="C19" sqref="C19"/>
    </sheetView>
  </sheetViews>
  <sheetFormatPr defaultRowHeight="12.75" x14ac:dyDescent="0.2"/>
  <cols>
    <col min="1" max="1" width="23.85546875" bestFit="1" customWidth="1"/>
    <col min="2" max="7" width="18.140625" customWidth="1"/>
  </cols>
  <sheetData>
    <row r="1" spans="1:7" x14ac:dyDescent="0.2">
      <c r="A1" s="119" t="s">
        <v>34</v>
      </c>
      <c r="B1" s="119"/>
      <c r="C1" s="119"/>
      <c r="D1" s="119"/>
      <c r="E1" s="119"/>
      <c r="F1" s="119"/>
      <c r="G1" s="119"/>
    </row>
    <row r="2" spans="1:7" x14ac:dyDescent="0.2">
      <c r="A2" s="27"/>
      <c r="B2" s="28"/>
      <c r="C2" s="28"/>
      <c r="D2" s="28"/>
      <c r="E2" s="28"/>
      <c r="F2" s="28"/>
      <c r="G2" s="28" t="s">
        <v>32</v>
      </c>
    </row>
    <row r="3" spans="1:7" x14ac:dyDescent="0.2">
      <c r="A3" s="27" t="s">
        <v>660</v>
      </c>
      <c r="B3" s="27"/>
      <c r="C3" s="27"/>
      <c r="D3" s="27"/>
      <c r="E3" s="27"/>
      <c r="F3" s="27"/>
      <c r="G3" s="27"/>
    </row>
    <row r="4" spans="1:7" x14ac:dyDescent="0.2">
      <c r="A4" s="100"/>
      <c r="B4" s="27"/>
      <c r="C4" s="27"/>
      <c r="D4" s="27"/>
      <c r="E4" s="27"/>
      <c r="F4" s="27"/>
      <c r="G4" s="27"/>
    </row>
    <row r="5" spans="1:7" s="7" customFormat="1" ht="12.75" customHeight="1" x14ac:dyDescent="0.2">
      <c r="A5" s="123" t="s">
        <v>30</v>
      </c>
      <c r="B5" s="126" t="s">
        <v>428</v>
      </c>
      <c r="C5" s="122" t="s">
        <v>662</v>
      </c>
      <c r="D5" s="122"/>
      <c r="E5" s="122" t="s">
        <v>661</v>
      </c>
      <c r="F5" s="122"/>
      <c r="G5" s="122"/>
    </row>
    <row r="6" spans="1:7" s="7" customFormat="1" ht="51.75" customHeight="1" x14ac:dyDescent="0.2">
      <c r="A6" s="123"/>
      <c r="B6" s="127"/>
      <c r="C6" s="34" t="s">
        <v>663</v>
      </c>
      <c r="D6" s="34" t="s">
        <v>664</v>
      </c>
      <c r="E6" s="34" t="s">
        <v>429</v>
      </c>
      <c r="F6" s="34" t="s">
        <v>430</v>
      </c>
      <c r="G6" s="34" t="s">
        <v>431</v>
      </c>
    </row>
    <row r="7" spans="1:7" s="6" customFormat="1" ht="20.45" customHeight="1" x14ac:dyDescent="0.2">
      <c r="A7" s="69" t="s">
        <v>0</v>
      </c>
      <c r="B7" s="49">
        <v>131504.2034342289</v>
      </c>
      <c r="C7" s="49">
        <v>116125.07882523537</v>
      </c>
      <c r="D7" s="49">
        <v>15379.12460899353</v>
      </c>
      <c r="E7" s="49">
        <v>129302.56919384003</v>
      </c>
      <c r="F7" s="49">
        <v>1816.0401465892792</v>
      </c>
      <c r="G7" s="49">
        <v>385.59409379959106</v>
      </c>
    </row>
    <row r="8" spans="1:7" s="6" customFormat="1" ht="20.45" customHeight="1" x14ac:dyDescent="0.2">
      <c r="A8" s="29" t="s">
        <v>1</v>
      </c>
      <c r="B8" s="51">
        <v>3999284.9654890299</v>
      </c>
      <c r="C8" s="51">
        <v>3618872.107468605</v>
      </c>
      <c r="D8" s="51">
        <v>380412.85802042484</v>
      </c>
      <c r="E8" s="51">
        <v>3919990.2855892181</v>
      </c>
      <c r="F8" s="51">
        <v>66391.887420773506</v>
      </c>
      <c r="G8" s="51">
        <v>12902.792479038239</v>
      </c>
    </row>
    <row r="9" spans="1:7" ht="20.45" customHeight="1" x14ac:dyDescent="0.2">
      <c r="A9" s="30" t="s">
        <v>2</v>
      </c>
      <c r="B9" s="53">
        <v>425217.50214135647</v>
      </c>
      <c r="C9" s="53">
        <v>371183.36771273613</v>
      </c>
      <c r="D9" s="53">
        <v>54034.134428620338</v>
      </c>
      <c r="E9" s="53">
        <v>419854.55602824688</v>
      </c>
      <c r="F9" s="53">
        <v>4355.856635093689</v>
      </c>
      <c r="G9" s="53">
        <v>1007.0894780158997</v>
      </c>
    </row>
    <row r="10" spans="1:7" ht="20.45" customHeight="1" x14ac:dyDescent="0.2">
      <c r="A10" s="30" t="s">
        <v>3</v>
      </c>
      <c r="B10" s="53">
        <v>648449.97284579277</v>
      </c>
      <c r="C10" s="53">
        <v>582962.40794754028</v>
      </c>
      <c r="D10" s="53">
        <v>65487.564898252487</v>
      </c>
      <c r="E10" s="53">
        <v>638511.56288766861</v>
      </c>
      <c r="F10" s="53">
        <v>8715.9440178871155</v>
      </c>
      <c r="G10" s="53">
        <v>1222.4659402370453</v>
      </c>
    </row>
    <row r="11" spans="1:7" ht="20.45" customHeight="1" x14ac:dyDescent="0.2">
      <c r="A11" s="30" t="s">
        <v>4</v>
      </c>
      <c r="B11" s="53">
        <v>1430113.6145436764</v>
      </c>
      <c r="C11" s="53">
        <v>1290816.754560113</v>
      </c>
      <c r="D11" s="53">
        <v>139296.85998356342</v>
      </c>
      <c r="E11" s="53">
        <v>1405002.4228795767</v>
      </c>
      <c r="F11" s="53">
        <v>21221.310083508492</v>
      </c>
      <c r="G11" s="53">
        <v>3889.8815805912018</v>
      </c>
    </row>
    <row r="12" spans="1:7" ht="20.45" customHeight="1" x14ac:dyDescent="0.2">
      <c r="A12" s="30" t="s">
        <v>5</v>
      </c>
      <c r="B12" s="53">
        <v>945303.95051133633</v>
      </c>
      <c r="C12" s="53">
        <v>862799.25535571575</v>
      </c>
      <c r="D12" s="53">
        <v>82504.695155620575</v>
      </c>
      <c r="E12" s="53">
        <v>924097.55891954899</v>
      </c>
      <c r="F12" s="53">
        <v>17418.142461061478</v>
      </c>
      <c r="G12" s="53">
        <v>3788.2491307258606</v>
      </c>
    </row>
    <row r="13" spans="1:7" ht="20.45" customHeight="1" x14ac:dyDescent="0.2">
      <c r="A13" s="30" t="s">
        <v>6</v>
      </c>
      <c r="B13" s="53">
        <v>427038.72920608521</v>
      </c>
      <c r="C13" s="53">
        <v>396015.82061207294</v>
      </c>
      <c r="D13" s="53">
        <v>31022.90859401226</v>
      </c>
      <c r="E13" s="53">
        <v>414797.18496704102</v>
      </c>
      <c r="F13" s="53">
        <v>10200.678299427032</v>
      </c>
      <c r="G13" s="53">
        <v>2040.865939617157</v>
      </c>
    </row>
    <row r="14" spans="1:7" ht="20.45" customHeight="1" x14ac:dyDescent="0.2">
      <c r="A14" s="30" t="s">
        <v>7</v>
      </c>
      <c r="B14" s="53">
        <v>81947.948482036591</v>
      </c>
      <c r="C14" s="53">
        <v>76459.964874386787</v>
      </c>
      <c r="D14" s="53">
        <v>5487.9836076498032</v>
      </c>
      <c r="E14" s="53">
        <v>78954.718410015106</v>
      </c>
      <c r="F14" s="53">
        <v>2464.8175177574158</v>
      </c>
      <c r="G14" s="53">
        <v>528.4125542640686</v>
      </c>
    </row>
    <row r="15" spans="1:7" ht="20.45" customHeight="1" x14ac:dyDescent="0.2">
      <c r="A15" s="30" t="s">
        <v>8</v>
      </c>
      <c r="B15" s="53">
        <v>25962.588759422302</v>
      </c>
      <c r="C15" s="53">
        <v>24393.402650475502</v>
      </c>
      <c r="D15" s="53">
        <v>1569.1861089468002</v>
      </c>
      <c r="E15" s="53">
        <v>24608.937899112701</v>
      </c>
      <c r="F15" s="53">
        <v>1131.7181787490845</v>
      </c>
      <c r="G15" s="53">
        <v>221.93268156051636</v>
      </c>
    </row>
    <row r="16" spans="1:7" ht="20.45" customHeight="1" x14ac:dyDescent="0.2">
      <c r="A16" s="30" t="s">
        <v>9</v>
      </c>
      <c r="B16" s="53">
        <v>7396.839360833168</v>
      </c>
      <c r="C16" s="53">
        <v>6879.5382863283157</v>
      </c>
      <c r="D16" s="53">
        <v>517.30107450485229</v>
      </c>
      <c r="E16" s="53">
        <v>6976.320917725563</v>
      </c>
      <c r="F16" s="53">
        <v>337.94695043563843</v>
      </c>
      <c r="G16" s="53">
        <v>82.571492671966553</v>
      </c>
    </row>
    <row r="17" spans="1:7" ht="20.45" customHeight="1" x14ac:dyDescent="0.2">
      <c r="A17" s="30" t="s">
        <v>10</v>
      </c>
      <c r="B17" s="53">
        <v>6978.5904805660248</v>
      </c>
      <c r="C17" s="53">
        <v>6560.9281103610992</v>
      </c>
      <c r="D17" s="53">
        <v>417.66237020492554</v>
      </c>
      <c r="E17" s="53">
        <v>6451.9229397773743</v>
      </c>
      <c r="F17" s="53">
        <v>434.3870952129364</v>
      </c>
      <c r="G17" s="53">
        <v>92.280445575714111</v>
      </c>
    </row>
    <row r="18" spans="1:7" ht="20.45" customHeight="1" x14ac:dyDescent="0.2">
      <c r="A18" s="30" t="s">
        <v>11</v>
      </c>
      <c r="B18" s="53">
        <v>875.2291579246521</v>
      </c>
      <c r="C18" s="53">
        <v>800.66735887527466</v>
      </c>
      <c r="D18" s="53">
        <v>74.561799049377441</v>
      </c>
      <c r="E18" s="53">
        <v>735.09974050521851</v>
      </c>
      <c r="F18" s="53">
        <v>111.086181640625</v>
      </c>
      <c r="G18" s="53">
        <v>29.043235778808594</v>
      </c>
    </row>
    <row r="19" spans="1:7" s="6" customFormat="1" ht="20.45" customHeight="1" x14ac:dyDescent="0.2">
      <c r="A19" s="31" t="s">
        <v>12</v>
      </c>
      <c r="B19" s="25">
        <f t="shared" ref="B19:G19" si="0">B7+B8</f>
        <v>4130789.1689232588</v>
      </c>
      <c r="C19" s="25">
        <f t="shared" si="0"/>
        <v>3734997.1862938404</v>
      </c>
      <c r="D19" s="25">
        <f t="shared" si="0"/>
        <v>395791.98262941837</v>
      </c>
      <c r="E19" s="25">
        <f t="shared" si="0"/>
        <v>4049292.8547830582</v>
      </c>
      <c r="F19" s="25">
        <f t="shared" si="0"/>
        <v>68207.927567362785</v>
      </c>
      <c r="G19" s="25">
        <f t="shared" si="0"/>
        <v>13288.38657283783</v>
      </c>
    </row>
    <row r="20" spans="1:7" ht="12" customHeight="1" x14ac:dyDescent="0.2"/>
  </sheetData>
  <mergeCells count="5">
    <mergeCell ref="A1:G1"/>
    <mergeCell ref="A5:A6"/>
    <mergeCell ref="B5:B6"/>
    <mergeCell ref="C5:D5"/>
    <mergeCell ref="E5:G5"/>
  </mergeCells>
  <conditionalFormatting sqref="B7:B19">
    <cfRule type="cellIs" dxfId="101" priority="6" stopIfTrue="1" operator="equal">
      <formula>0</formula>
    </cfRule>
  </conditionalFormatting>
  <conditionalFormatting sqref="C7:C19">
    <cfRule type="cellIs" dxfId="100" priority="5" stopIfTrue="1" operator="equal">
      <formula>0</formula>
    </cfRule>
  </conditionalFormatting>
  <conditionalFormatting sqref="D7:D19">
    <cfRule type="cellIs" dxfId="99" priority="4" stopIfTrue="1" operator="equal">
      <formula>0</formula>
    </cfRule>
  </conditionalFormatting>
  <conditionalFormatting sqref="E7:E19">
    <cfRule type="cellIs" dxfId="98" priority="3" stopIfTrue="1" operator="equal">
      <formula>0</formula>
    </cfRule>
  </conditionalFormatting>
  <conditionalFormatting sqref="F7:F19">
    <cfRule type="cellIs" dxfId="97" priority="2" stopIfTrue="1" operator="equal">
      <formula>0</formula>
    </cfRule>
  </conditionalFormatting>
  <conditionalFormatting sqref="G7:G19">
    <cfRule type="cellIs" dxfId="96" priority="1" stopIfTrue="1" operator="equal">
      <formula>0</formula>
    </cfRule>
  </conditionalFormatting>
  <pageMargins left="0.27559055118110237" right="0.11811023622047245" top="0.74803149606299213" bottom="0.74803149606299213" header="0.31496062992125984" footer="0.31496062992125984"/>
  <pageSetup scale="85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1DBC-A0BE-4B0E-B742-199904CC78F8}">
  <dimension ref="A1:N20"/>
  <sheetViews>
    <sheetView zoomScale="113" workbookViewId="0">
      <selection sqref="A1:N1"/>
    </sheetView>
  </sheetViews>
  <sheetFormatPr defaultColWidth="11" defaultRowHeight="12.75" x14ac:dyDescent="0.2"/>
  <cols>
    <col min="1" max="1" width="22.5703125" customWidth="1"/>
    <col min="2" max="2" width="10.5703125" customWidth="1"/>
    <col min="3" max="3" width="9.140625" customWidth="1"/>
    <col min="4" max="4" width="9.85546875" customWidth="1"/>
    <col min="5" max="5" width="8.140625" customWidth="1"/>
    <col min="6" max="6" width="7.140625" customWidth="1"/>
    <col min="7" max="7" width="7.85546875" customWidth="1"/>
    <col min="8" max="8" width="8.85546875" customWidth="1"/>
    <col min="9" max="9" width="7.5703125" customWidth="1"/>
    <col min="10" max="10" width="7.85546875" customWidth="1"/>
    <col min="11" max="11" width="9.140625" customWidth="1"/>
    <col min="12" max="12" width="9.85546875" customWidth="1"/>
    <col min="13" max="13" width="10.140625" customWidth="1"/>
    <col min="14" max="14" width="7.5703125" customWidth="1"/>
    <col min="15" max="252" width="8.85546875" customWidth="1"/>
    <col min="253" max="253" width="27.5703125" customWidth="1"/>
    <col min="254" max="254" width="10.5703125" customWidth="1"/>
    <col min="255" max="255" width="9.42578125" customWidth="1"/>
  </cols>
  <sheetData>
    <row r="1" spans="1:14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x14ac:dyDescent="0.2">
      <c r="A2" s="27"/>
      <c r="B2" s="27"/>
      <c r="C2" s="28"/>
      <c r="D2" s="28"/>
      <c r="E2" s="28"/>
      <c r="F2" s="28"/>
      <c r="G2" s="28"/>
      <c r="H2" s="28"/>
      <c r="I2" s="28"/>
      <c r="J2" s="28"/>
      <c r="K2" s="27"/>
      <c r="L2" s="27"/>
      <c r="M2" s="27"/>
      <c r="N2" s="42" t="s">
        <v>32</v>
      </c>
    </row>
    <row r="3" spans="1:14" x14ac:dyDescent="0.2">
      <c r="A3" s="83" t="s">
        <v>474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s="7" customFormat="1" ht="30" customHeight="1" x14ac:dyDescent="0.2">
      <c r="A4" s="129" t="s">
        <v>30</v>
      </c>
      <c r="B4" s="126" t="s">
        <v>338</v>
      </c>
      <c r="C4" s="227" t="s">
        <v>475</v>
      </c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</row>
    <row r="5" spans="1:14" s="7" customFormat="1" ht="31.35" customHeight="1" x14ac:dyDescent="0.2">
      <c r="A5" s="131"/>
      <c r="B5" s="127"/>
      <c r="C5" s="95" t="s">
        <v>476</v>
      </c>
      <c r="D5" s="95" t="s">
        <v>234</v>
      </c>
      <c r="E5" s="95" t="s">
        <v>477</v>
      </c>
      <c r="F5" s="95" t="s">
        <v>478</v>
      </c>
      <c r="G5" s="95" t="s">
        <v>450</v>
      </c>
      <c r="H5" s="95" t="s">
        <v>479</v>
      </c>
      <c r="I5" s="95" t="s">
        <v>292</v>
      </c>
      <c r="J5" s="101" t="s">
        <v>480</v>
      </c>
      <c r="K5" s="95" t="s">
        <v>323</v>
      </c>
      <c r="L5" s="95" t="s">
        <v>319</v>
      </c>
      <c r="M5" s="95" t="s">
        <v>481</v>
      </c>
      <c r="N5" s="95" t="s">
        <v>249</v>
      </c>
    </row>
    <row r="6" spans="1:14" s="6" customFormat="1" ht="20.45" customHeight="1" x14ac:dyDescent="0.2">
      <c r="A6" s="69" t="s">
        <v>0</v>
      </c>
      <c r="B6" s="49">
        <v>131504.2034342289</v>
      </c>
      <c r="C6" s="49">
        <v>25903.211461663246</v>
      </c>
      <c r="D6" s="49">
        <v>15600.09429705143</v>
      </c>
      <c r="E6" s="49">
        <v>599.88474941253662</v>
      </c>
      <c r="F6" s="49">
        <v>21.817657947540283</v>
      </c>
      <c r="G6" s="49">
        <v>268.20901536941528</v>
      </c>
      <c r="H6" s="49">
        <v>78366.92698264122</v>
      </c>
      <c r="I6" s="49">
        <v>8671.5583500862122</v>
      </c>
      <c r="J6" s="49">
        <v>404.04373788833618</v>
      </c>
      <c r="K6" s="49">
        <v>0</v>
      </c>
      <c r="L6" s="49">
        <v>15.445740699768066</v>
      </c>
      <c r="M6" s="49">
        <v>132.15564632415771</v>
      </c>
      <c r="N6" s="49">
        <v>1520.8557951450348</v>
      </c>
    </row>
    <row r="7" spans="1:14" s="6" customFormat="1" ht="20.45" customHeight="1" x14ac:dyDescent="0.2">
      <c r="A7" s="29" t="s">
        <v>1</v>
      </c>
      <c r="B7" s="51">
        <v>3999284.9654890299</v>
      </c>
      <c r="C7" s="51">
        <v>3603614.3149238825</v>
      </c>
      <c r="D7" s="51">
        <v>241419.9647166729</v>
      </c>
      <c r="E7" s="51">
        <v>18535.317879199982</v>
      </c>
      <c r="F7" s="51">
        <v>1019.8694086074829</v>
      </c>
      <c r="G7" s="51">
        <v>45612.705433368683</v>
      </c>
      <c r="H7" s="51">
        <v>64138.400893211365</v>
      </c>
      <c r="I7" s="51">
        <v>9205.173942565918</v>
      </c>
      <c r="J7" s="51">
        <v>1998.6089472770691</v>
      </c>
      <c r="K7" s="51">
        <v>343.32802820205688</v>
      </c>
      <c r="L7" s="51">
        <v>463.96830034255981</v>
      </c>
      <c r="M7" s="51">
        <v>9546.7648388147354</v>
      </c>
      <c r="N7" s="51">
        <v>3386.5481768846512</v>
      </c>
    </row>
    <row r="8" spans="1:14" ht="20.45" customHeight="1" x14ac:dyDescent="0.2">
      <c r="A8" s="30" t="s">
        <v>2</v>
      </c>
      <c r="B8" s="53">
        <v>425217.50214135647</v>
      </c>
      <c r="C8" s="53">
        <v>285293.18253076077</v>
      </c>
      <c r="D8" s="53">
        <v>112327.62681508064</v>
      </c>
      <c r="E8" s="53">
        <v>2266.1345031261444</v>
      </c>
      <c r="F8" s="53">
        <v>127.44177913665771</v>
      </c>
      <c r="G8" s="53">
        <v>1808.6776807308197</v>
      </c>
      <c r="H8" s="53">
        <v>17873.759843111038</v>
      </c>
      <c r="I8" s="53">
        <v>2994.1124911308289</v>
      </c>
      <c r="J8" s="53">
        <v>52.391717910766602</v>
      </c>
      <c r="K8" s="53">
        <v>27.131223678588867</v>
      </c>
      <c r="L8" s="53">
        <v>70.270044326782227</v>
      </c>
      <c r="M8" s="53">
        <v>1319.1584343910217</v>
      </c>
      <c r="N8" s="53">
        <v>1057.6150779724121</v>
      </c>
    </row>
    <row r="9" spans="1:14" ht="20.45" customHeight="1" x14ac:dyDescent="0.2">
      <c r="A9" s="30" t="s">
        <v>3</v>
      </c>
      <c r="B9" s="53">
        <v>648449.97284579277</v>
      </c>
      <c r="C9" s="53">
        <v>588845.29055058956</v>
      </c>
      <c r="D9" s="53">
        <v>37403.466768622398</v>
      </c>
      <c r="E9" s="53">
        <v>2579.7744424343109</v>
      </c>
      <c r="F9" s="53">
        <v>214.84161710739136</v>
      </c>
      <c r="G9" s="53">
        <v>3989.1348421573639</v>
      </c>
      <c r="H9" s="53">
        <v>11133.087183833122</v>
      </c>
      <c r="I9" s="53">
        <v>1904.3659677505493</v>
      </c>
      <c r="J9" s="53">
        <v>82.313299655914307</v>
      </c>
      <c r="K9" s="53">
        <v>72.999814033508301</v>
      </c>
      <c r="L9" s="53">
        <v>58.426126956939697</v>
      </c>
      <c r="M9" s="53">
        <v>1597.0488424301147</v>
      </c>
      <c r="N9" s="53">
        <v>569.22339022159576</v>
      </c>
    </row>
    <row r="10" spans="1:14" ht="20.45" customHeight="1" x14ac:dyDescent="0.2">
      <c r="A10" s="30" t="s">
        <v>4</v>
      </c>
      <c r="B10" s="53">
        <v>1430113.6145436764</v>
      </c>
      <c r="C10" s="53">
        <v>1343413.3077532053</v>
      </c>
      <c r="D10" s="53">
        <v>46823.943859219551</v>
      </c>
      <c r="E10" s="53">
        <v>5317.9261436462402</v>
      </c>
      <c r="F10" s="53">
        <v>374.40332937240601</v>
      </c>
      <c r="G10" s="53">
        <v>10937.409748077393</v>
      </c>
      <c r="H10" s="53">
        <v>16026.643590927124</v>
      </c>
      <c r="I10" s="53">
        <v>2245.5719151496887</v>
      </c>
      <c r="J10" s="53">
        <v>346.34681415557861</v>
      </c>
      <c r="K10" s="53">
        <v>143.77554845809937</v>
      </c>
      <c r="L10" s="53">
        <v>188.59515905380249</v>
      </c>
      <c r="M10" s="53">
        <v>3446.3808733224869</v>
      </c>
      <c r="N10" s="53">
        <v>849.30980908870697</v>
      </c>
    </row>
    <row r="11" spans="1:14" ht="20.45" customHeight="1" x14ac:dyDescent="0.2">
      <c r="A11" s="30" t="s">
        <v>5</v>
      </c>
      <c r="B11" s="53">
        <v>945303.95051133633</v>
      </c>
      <c r="C11" s="53">
        <v>884741.90614438057</v>
      </c>
      <c r="D11" s="53">
        <v>28101.115561842918</v>
      </c>
      <c r="E11" s="53">
        <v>4458.2442150115967</v>
      </c>
      <c r="F11" s="53">
        <v>226.58705520629883</v>
      </c>
      <c r="G11" s="53">
        <v>12230.480512857437</v>
      </c>
      <c r="H11" s="53">
        <v>10688.64441549778</v>
      </c>
      <c r="I11" s="53">
        <v>1435.756254196167</v>
      </c>
      <c r="J11" s="53">
        <v>493.59701871871948</v>
      </c>
      <c r="K11" s="53">
        <v>46.332886695861816</v>
      </c>
      <c r="L11" s="53">
        <v>101.93950366973877</v>
      </c>
      <c r="M11" s="53">
        <v>2278.3994827270508</v>
      </c>
      <c r="N11" s="53">
        <v>500.94746053218842</v>
      </c>
    </row>
    <row r="12" spans="1:14" ht="20.45" customHeight="1" x14ac:dyDescent="0.2">
      <c r="A12" s="30" t="s">
        <v>6</v>
      </c>
      <c r="B12" s="53">
        <v>427038.72920608521</v>
      </c>
      <c r="C12" s="53">
        <v>392679.89102947712</v>
      </c>
      <c r="D12" s="53">
        <v>12997.670677304268</v>
      </c>
      <c r="E12" s="53">
        <v>2823.9840025901794</v>
      </c>
      <c r="F12" s="53">
        <v>26.435461044311523</v>
      </c>
      <c r="G12" s="53">
        <v>10585.137789964676</v>
      </c>
      <c r="H12" s="53">
        <v>5836.3925988674164</v>
      </c>
      <c r="I12" s="53">
        <v>468.57480001449585</v>
      </c>
      <c r="J12" s="53">
        <v>540.72242021560669</v>
      </c>
      <c r="K12" s="53">
        <v>24.778385162353516</v>
      </c>
      <c r="L12" s="53">
        <v>32.689032077789307</v>
      </c>
      <c r="M12" s="53">
        <v>755.86574125289917</v>
      </c>
      <c r="N12" s="53">
        <v>266.58726811408997</v>
      </c>
    </row>
    <row r="13" spans="1:14" ht="20.45" customHeight="1" x14ac:dyDescent="0.2">
      <c r="A13" s="30" t="s">
        <v>7</v>
      </c>
      <c r="B13" s="53">
        <v>81947.948482036591</v>
      </c>
      <c r="C13" s="53">
        <v>73442.523952245712</v>
      </c>
      <c r="D13" s="53">
        <v>2268.5350542068481</v>
      </c>
      <c r="E13" s="53">
        <v>571.91168260574341</v>
      </c>
      <c r="F13" s="53">
        <v>28.304140090942383</v>
      </c>
      <c r="G13" s="53">
        <v>3345.6811163425446</v>
      </c>
      <c r="H13" s="53">
        <v>1713.9824347496033</v>
      </c>
      <c r="I13" s="53">
        <v>66.568831443786621</v>
      </c>
      <c r="J13" s="53">
        <v>279.87369871139526</v>
      </c>
      <c r="K13" s="53">
        <v>16.321563720703125</v>
      </c>
      <c r="L13" s="53">
        <v>12.048434257507324</v>
      </c>
      <c r="M13" s="53">
        <v>107.46362733840942</v>
      </c>
      <c r="N13" s="53">
        <v>94.733946323394775</v>
      </c>
    </row>
    <row r="14" spans="1:14" ht="20.45" customHeight="1" x14ac:dyDescent="0.2">
      <c r="A14" s="30" t="s">
        <v>8</v>
      </c>
      <c r="B14" s="53">
        <v>25962.588759422302</v>
      </c>
      <c r="C14" s="53">
        <v>22433.335602998734</v>
      </c>
      <c r="D14" s="53">
        <v>919.73113346099854</v>
      </c>
      <c r="E14" s="53">
        <v>194.65685319900513</v>
      </c>
      <c r="F14" s="53">
        <v>21.856026649475098</v>
      </c>
      <c r="G14" s="53">
        <v>1488.3014857769012</v>
      </c>
      <c r="H14" s="53">
        <v>617.75138568878174</v>
      </c>
      <c r="I14" s="53">
        <v>74.676494121551514</v>
      </c>
      <c r="J14" s="53">
        <v>122.14758253097534</v>
      </c>
      <c r="K14" s="53">
        <v>11.988606452941895</v>
      </c>
      <c r="L14" s="53">
        <v>0</v>
      </c>
      <c r="M14" s="53">
        <v>30.012363910675049</v>
      </c>
      <c r="N14" s="53">
        <v>48.131224632263184</v>
      </c>
    </row>
    <row r="15" spans="1:14" ht="20.45" customHeight="1" x14ac:dyDescent="0.2">
      <c r="A15" s="30" t="s">
        <v>9</v>
      </c>
      <c r="B15" s="53">
        <v>7396.839360833168</v>
      </c>
      <c r="C15" s="53">
        <v>6267.6550213098526</v>
      </c>
      <c r="D15" s="53">
        <v>301.49156951904297</v>
      </c>
      <c r="E15" s="53">
        <v>123.08581781387329</v>
      </c>
      <c r="F15" s="53">
        <v>0</v>
      </c>
      <c r="G15" s="53">
        <v>537.1009955406189</v>
      </c>
      <c r="H15" s="53">
        <v>127.28785705566406</v>
      </c>
      <c r="I15" s="53">
        <v>0</v>
      </c>
      <c r="J15" s="53">
        <v>40.218099594116211</v>
      </c>
      <c r="K15" s="53">
        <v>0</v>
      </c>
      <c r="L15" s="53">
        <v>0</v>
      </c>
      <c r="M15" s="53">
        <v>0</v>
      </c>
      <c r="N15" s="53">
        <v>0</v>
      </c>
    </row>
    <row r="16" spans="1:14" ht="20.45" customHeight="1" x14ac:dyDescent="0.2">
      <c r="A16" s="30" t="s">
        <v>10</v>
      </c>
      <c r="B16" s="53">
        <v>6978.5904805660248</v>
      </c>
      <c r="C16" s="53">
        <v>5813.9542057514191</v>
      </c>
      <c r="D16" s="53">
        <v>260.12237882614136</v>
      </c>
      <c r="E16" s="53">
        <v>139.45712566375732</v>
      </c>
      <c r="F16" s="53">
        <v>0</v>
      </c>
      <c r="G16" s="53">
        <v>582.02301740646362</v>
      </c>
      <c r="H16" s="53">
        <v>120.85158348083496</v>
      </c>
      <c r="I16" s="53">
        <v>15.547188758850098</v>
      </c>
      <c r="J16" s="53">
        <v>34.199507236480713</v>
      </c>
      <c r="K16" s="53">
        <v>0</v>
      </c>
      <c r="L16" s="53">
        <v>0</v>
      </c>
      <c r="M16" s="53">
        <v>12.435473442077637</v>
      </c>
      <c r="N16" s="53">
        <v>0</v>
      </c>
    </row>
    <row r="17" spans="1:14" ht="20.45" customHeight="1" x14ac:dyDescent="0.2">
      <c r="A17" s="30" t="s">
        <v>11</v>
      </c>
      <c r="B17" s="53">
        <v>875.2291579246521</v>
      </c>
      <c r="C17" s="53">
        <v>683.26813316345215</v>
      </c>
      <c r="D17" s="53">
        <v>16.260898590087891</v>
      </c>
      <c r="E17" s="53">
        <v>60.143093109130859</v>
      </c>
      <c r="F17" s="53">
        <v>0</v>
      </c>
      <c r="G17" s="53">
        <v>108.75824451446533</v>
      </c>
      <c r="H17" s="53">
        <v>0</v>
      </c>
      <c r="I17" s="53">
        <v>0</v>
      </c>
      <c r="J17" s="53">
        <v>6.7987885475158691</v>
      </c>
      <c r="K17" s="53">
        <v>0</v>
      </c>
      <c r="L17" s="53">
        <v>0</v>
      </c>
      <c r="M17" s="53">
        <v>0</v>
      </c>
      <c r="N17" s="53">
        <v>0</v>
      </c>
    </row>
    <row r="18" spans="1:14" s="6" customFormat="1" ht="20.45" customHeight="1" x14ac:dyDescent="0.2">
      <c r="A18" s="31" t="s">
        <v>12</v>
      </c>
      <c r="B18" s="25">
        <f>B6+B7</f>
        <v>4130789.1689232588</v>
      </c>
      <c r="C18" s="25">
        <f t="shared" ref="C18:N18" si="0">C6+C7</f>
        <v>3629517.5263855457</v>
      </c>
      <c r="D18" s="25">
        <f t="shared" si="0"/>
        <v>257020.05901372433</v>
      </c>
      <c r="E18" s="25">
        <f t="shared" si="0"/>
        <v>19135.202628612518</v>
      </c>
      <c r="F18" s="25">
        <f t="shared" si="0"/>
        <v>1041.6870665550232</v>
      </c>
      <c r="G18" s="25">
        <f t="shared" si="0"/>
        <v>45880.914448738098</v>
      </c>
      <c r="H18" s="25">
        <f t="shared" si="0"/>
        <v>142505.32787585258</v>
      </c>
      <c r="I18" s="25">
        <f t="shared" si="0"/>
        <v>17876.73229265213</v>
      </c>
      <c r="J18" s="25">
        <f t="shared" si="0"/>
        <v>2402.6526851654053</v>
      </c>
      <c r="K18" s="25">
        <f t="shared" si="0"/>
        <v>343.32802820205688</v>
      </c>
      <c r="L18" s="25">
        <f t="shared" si="0"/>
        <v>479.41404104232788</v>
      </c>
      <c r="M18" s="25">
        <f t="shared" si="0"/>
        <v>9678.9204851388931</v>
      </c>
      <c r="N18" s="25">
        <f t="shared" si="0"/>
        <v>4907.403972029686</v>
      </c>
    </row>
    <row r="20" spans="1:14" ht="12" customHeight="1" x14ac:dyDescent="0.2"/>
  </sheetData>
  <mergeCells count="4">
    <mergeCell ref="A4:A5"/>
    <mergeCell ref="B4:B5"/>
    <mergeCell ref="C4:N4"/>
    <mergeCell ref="A1:N1"/>
  </mergeCells>
  <conditionalFormatting sqref="B6:B18">
    <cfRule type="cellIs" dxfId="95" priority="13" stopIfTrue="1" operator="equal">
      <formula>0</formula>
    </cfRule>
  </conditionalFormatting>
  <conditionalFormatting sqref="C6:C18">
    <cfRule type="cellIs" dxfId="94" priority="12" stopIfTrue="1" operator="equal">
      <formula>0</formula>
    </cfRule>
  </conditionalFormatting>
  <conditionalFormatting sqref="D6:D18">
    <cfRule type="cellIs" dxfId="93" priority="11" stopIfTrue="1" operator="equal">
      <formula>0</formula>
    </cfRule>
  </conditionalFormatting>
  <conditionalFormatting sqref="E6:E18">
    <cfRule type="cellIs" dxfId="92" priority="10" stopIfTrue="1" operator="equal">
      <formula>0</formula>
    </cfRule>
  </conditionalFormatting>
  <conditionalFormatting sqref="F6:F18">
    <cfRule type="cellIs" dxfId="91" priority="9" stopIfTrue="1" operator="equal">
      <formula>0</formula>
    </cfRule>
  </conditionalFormatting>
  <conditionalFormatting sqref="G6:G18">
    <cfRule type="cellIs" dxfId="90" priority="8" stopIfTrue="1" operator="equal">
      <formula>0</formula>
    </cfRule>
  </conditionalFormatting>
  <conditionalFormatting sqref="H6:H18">
    <cfRule type="cellIs" dxfId="89" priority="7" stopIfTrue="1" operator="equal">
      <formula>0</formula>
    </cfRule>
  </conditionalFormatting>
  <conditionalFormatting sqref="I6:I18">
    <cfRule type="cellIs" dxfId="88" priority="6" stopIfTrue="1" operator="equal">
      <formula>0</formula>
    </cfRule>
  </conditionalFormatting>
  <conditionalFormatting sqref="J6:J18">
    <cfRule type="cellIs" dxfId="87" priority="5" stopIfTrue="1" operator="equal">
      <formula>0</formula>
    </cfRule>
  </conditionalFormatting>
  <conditionalFormatting sqref="K6:K18">
    <cfRule type="cellIs" dxfId="86" priority="4" stopIfTrue="1" operator="equal">
      <formula>0</formula>
    </cfRule>
  </conditionalFormatting>
  <conditionalFormatting sqref="L6:L18">
    <cfRule type="cellIs" dxfId="85" priority="3" stopIfTrue="1" operator="equal">
      <formula>0</formula>
    </cfRule>
  </conditionalFormatting>
  <conditionalFormatting sqref="M6:M18">
    <cfRule type="cellIs" dxfId="84" priority="2" stopIfTrue="1" operator="equal">
      <formula>0</formula>
    </cfRule>
  </conditionalFormatting>
  <conditionalFormatting sqref="N6:N18">
    <cfRule type="cellIs" dxfId="83" priority="1" stopIfTrue="1" operator="equal">
      <formula>0</formula>
    </cfRule>
  </conditionalFormatting>
  <pageMargins left="0.17" right="0.14000000000000001" top="0.74803149606299213" bottom="0.74803149606299213" header="0.31496062992125984" footer="0.31496062992125984"/>
  <pageSetup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0F67-98E2-4C9A-A3CE-C2B266F6B75F}">
  <dimension ref="A1:F20"/>
  <sheetViews>
    <sheetView zoomScale="144" workbookViewId="0">
      <selection activeCell="C19" sqref="C19"/>
    </sheetView>
  </sheetViews>
  <sheetFormatPr defaultRowHeight="12.75" x14ac:dyDescent="0.2"/>
  <cols>
    <col min="1" max="1" width="27.5703125" customWidth="1"/>
    <col min="2" max="2" width="13.140625" customWidth="1"/>
    <col min="3" max="6" width="18.85546875" customWidth="1"/>
    <col min="245" max="245" width="27.5703125" customWidth="1"/>
    <col min="246" max="246" width="10.5703125" customWidth="1"/>
    <col min="247" max="247" width="9.42578125" customWidth="1"/>
    <col min="248" max="248" width="11" customWidth="1"/>
    <col min="249" max="250" width="7.85546875" customWidth="1"/>
    <col min="251" max="251" width="8.5703125" customWidth="1"/>
    <col min="252" max="252" width="9.42578125" customWidth="1"/>
    <col min="253" max="253" width="11.5703125" customWidth="1"/>
    <col min="255" max="255" width="7.5703125" customWidth="1"/>
  </cols>
  <sheetData>
    <row r="1" spans="1:6" x14ac:dyDescent="0.2">
      <c r="A1" s="119" t="s">
        <v>34</v>
      </c>
      <c r="B1" s="119"/>
      <c r="C1" s="119"/>
      <c r="D1" s="119"/>
      <c r="E1" s="119"/>
      <c r="F1" s="119"/>
    </row>
    <row r="2" spans="1:6" x14ac:dyDescent="0.2">
      <c r="A2" s="27"/>
      <c r="B2" s="27"/>
      <c r="C2" s="28"/>
      <c r="D2" s="28"/>
      <c r="E2" s="28"/>
      <c r="F2" s="42" t="s">
        <v>32</v>
      </c>
    </row>
    <row r="3" spans="1:6" x14ac:dyDescent="0.2">
      <c r="A3" s="83" t="s">
        <v>665</v>
      </c>
      <c r="B3" s="27"/>
      <c r="C3" s="27"/>
      <c r="D3" s="27"/>
      <c r="E3" s="27"/>
      <c r="F3" s="27"/>
    </row>
    <row r="4" spans="1:6" s="7" customFormat="1" ht="21.6" customHeight="1" x14ac:dyDescent="0.2">
      <c r="A4" s="129" t="s">
        <v>30</v>
      </c>
      <c r="B4" s="126" t="s">
        <v>338</v>
      </c>
      <c r="C4" s="227" t="s">
        <v>666</v>
      </c>
      <c r="D4" s="227"/>
      <c r="E4" s="227"/>
      <c r="F4" s="227"/>
    </row>
    <row r="5" spans="1:6" s="7" customFormat="1" ht="50.45" customHeight="1" x14ac:dyDescent="0.2">
      <c r="A5" s="131"/>
      <c r="B5" s="127"/>
      <c r="C5" s="95" t="s">
        <v>668</v>
      </c>
      <c r="D5" s="95" t="s">
        <v>669</v>
      </c>
      <c r="E5" s="95" t="s">
        <v>667</v>
      </c>
      <c r="F5" s="95" t="s">
        <v>670</v>
      </c>
    </row>
    <row r="6" spans="1:6" s="6" customFormat="1" ht="20.45" customHeight="1" x14ac:dyDescent="0.2">
      <c r="A6" s="69" t="s">
        <v>0</v>
      </c>
      <c r="B6" s="49">
        <v>131504.2034342289</v>
      </c>
      <c r="C6" s="49">
        <v>76133.733170986176</v>
      </c>
      <c r="D6" s="49">
        <v>23067.623852729797</v>
      </c>
      <c r="E6" s="49">
        <v>21729.574771881104</v>
      </c>
      <c r="F6" s="49">
        <v>10573.271638631821</v>
      </c>
    </row>
    <row r="7" spans="1:6" s="6" customFormat="1" ht="20.45" customHeight="1" x14ac:dyDescent="0.2">
      <c r="A7" s="29" t="s">
        <v>1</v>
      </c>
      <c r="B7" s="51">
        <v>3999284.9654890299</v>
      </c>
      <c r="C7" s="51">
        <v>2767109.0662900209</v>
      </c>
      <c r="D7" s="51">
        <v>998340.96301531792</v>
      </c>
      <c r="E7" s="51">
        <v>200087.66731953621</v>
      </c>
      <c r="F7" s="51">
        <v>33747.268864154816</v>
      </c>
    </row>
    <row r="8" spans="1:6" ht="20.45" customHeight="1" x14ac:dyDescent="0.2">
      <c r="A8" s="30" t="s">
        <v>2</v>
      </c>
      <c r="B8" s="53">
        <v>425217.50214135647</v>
      </c>
      <c r="C8" s="53">
        <v>362375.92091393471</v>
      </c>
      <c r="D8" s="53">
        <v>44778.019316077232</v>
      </c>
      <c r="E8" s="53">
        <v>13821.714314699173</v>
      </c>
      <c r="F8" s="53">
        <v>4241.8475966453552</v>
      </c>
    </row>
    <row r="9" spans="1:6" ht="20.45" customHeight="1" x14ac:dyDescent="0.2">
      <c r="A9" s="30" t="s">
        <v>3</v>
      </c>
      <c r="B9" s="53">
        <v>648449.97284579277</v>
      </c>
      <c r="C9" s="53">
        <v>533719.08993041515</v>
      </c>
      <c r="D9" s="53">
        <v>88347.068501830101</v>
      </c>
      <c r="E9" s="53">
        <v>22165.905337810516</v>
      </c>
      <c r="F9" s="53">
        <v>4217.9090757369995</v>
      </c>
    </row>
    <row r="10" spans="1:6" ht="20.45" customHeight="1" x14ac:dyDescent="0.2">
      <c r="A10" s="30" t="s">
        <v>4</v>
      </c>
      <c r="B10" s="53">
        <v>1430113.6145436764</v>
      </c>
      <c r="C10" s="53">
        <v>1081659.3780742884</v>
      </c>
      <c r="D10" s="53">
        <v>289171.13044607639</v>
      </c>
      <c r="E10" s="53">
        <v>50591.714007377625</v>
      </c>
      <c r="F10" s="53">
        <v>8691.3920159339905</v>
      </c>
    </row>
    <row r="11" spans="1:6" ht="20.45" customHeight="1" x14ac:dyDescent="0.2">
      <c r="A11" s="30" t="s">
        <v>5</v>
      </c>
      <c r="B11" s="53">
        <v>945303.95051133633</v>
      </c>
      <c r="C11" s="53">
        <v>567629.59961295128</v>
      </c>
      <c r="D11" s="53">
        <v>321292.93621206284</v>
      </c>
      <c r="E11" s="53">
        <v>49062.9363707304</v>
      </c>
      <c r="F11" s="53">
        <v>7318.4783155918121</v>
      </c>
    </row>
    <row r="12" spans="1:6" ht="20.45" customHeight="1" x14ac:dyDescent="0.2">
      <c r="A12" s="30" t="s">
        <v>6</v>
      </c>
      <c r="B12" s="53">
        <v>427038.72920608521</v>
      </c>
      <c r="C12" s="53">
        <v>186402.34869372845</v>
      </c>
      <c r="D12" s="53">
        <v>194802.39933979511</v>
      </c>
      <c r="E12" s="53">
        <v>40035.938562870026</v>
      </c>
      <c r="F12" s="53">
        <v>5798.0426096916199</v>
      </c>
    </row>
    <row r="13" spans="1:6" ht="20.45" customHeight="1" x14ac:dyDescent="0.2">
      <c r="A13" s="30" t="s">
        <v>7</v>
      </c>
      <c r="B13" s="53">
        <v>81947.948482036591</v>
      </c>
      <c r="C13" s="53">
        <v>25735.016346931458</v>
      </c>
      <c r="D13" s="53">
        <v>40788.250512361526</v>
      </c>
      <c r="E13" s="53">
        <v>13483.177496910095</v>
      </c>
      <c r="F13" s="53">
        <v>1941.5041258335114</v>
      </c>
    </row>
    <row r="14" spans="1:6" ht="20.45" customHeight="1" x14ac:dyDescent="0.2">
      <c r="A14" s="30" t="s">
        <v>8</v>
      </c>
      <c r="B14" s="53">
        <v>25962.588759422302</v>
      </c>
      <c r="C14" s="53">
        <v>6890.3313477039337</v>
      </c>
      <c r="D14" s="53">
        <v>12354.868831515312</v>
      </c>
      <c r="E14" s="53">
        <v>5959.377426981926</v>
      </c>
      <c r="F14" s="53">
        <v>758.01115322113037</v>
      </c>
    </row>
    <row r="15" spans="1:6" ht="20.45" customHeight="1" x14ac:dyDescent="0.2">
      <c r="A15" s="30" t="s">
        <v>9</v>
      </c>
      <c r="B15" s="53">
        <v>7396.839360833168</v>
      </c>
      <c r="C15" s="53">
        <v>1445.7586854696274</v>
      </c>
      <c r="D15" s="53">
        <v>3522.0332517623901</v>
      </c>
      <c r="E15" s="53">
        <v>2178.1190412044525</v>
      </c>
      <c r="F15" s="53">
        <v>250.928382396698</v>
      </c>
    </row>
    <row r="16" spans="1:6" ht="20.45" customHeight="1" x14ac:dyDescent="0.2">
      <c r="A16" s="30" t="s">
        <v>10</v>
      </c>
      <c r="B16" s="53">
        <v>6978.5904805660248</v>
      </c>
      <c r="C16" s="53">
        <v>1075.5476914644241</v>
      </c>
      <c r="D16" s="53">
        <v>3076.6207929849625</v>
      </c>
      <c r="E16" s="53">
        <v>2349.8912320137024</v>
      </c>
      <c r="F16" s="53">
        <v>476.53076410293579</v>
      </c>
    </row>
    <row r="17" spans="1:6" ht="20.45" customHeight="1" x14ac:dyDescent="0.2">
      <c r="A17" s="30" t="s">
        <v>11</v>
      </c>
      <c r="B17" s="53">
        <v>875.2291579246521</v>
      </c>
      <c r="C17" s="53">
        <v>176.07499313354492</v>
      </c>
      <c r="D17" s="53">
        <v>207.63581085205078</v>
      </c>
      <c r="E17" s="53">
        <v>438.89352893829346</v>
      </c>
      <c r="F17" s="53">
        <v>52.624825000762939</v>
      </c>
    </row>
    <row r="18" spans="1:6" s="6" customFormat="1" ht="20.45" customHeight="1" x14ac:dyDescent="0.2">
      <c r="A18" s="31" t="s">
        <v>12</v>
      </c>
      <c r="B18" s="25">
        <f>B6+B7</f>
        <v>4130789.1689232588</v>
      </c>
      <c r="C18" s="25">
        <f>C6+C7</f>
        <v>2843242.7994610071</v>
      </c>
      <c r="D18" s="25">
        <f>D6+D7</f>
        <v>1021408.5868680477</v>
      </c>
      <c r="E18" s="25">
        <f>E6+E7</f>
        <v>221817.24209141731</v>
      </c>
      <c r="F18" s="25">
        <f>F6+F7</f>
        <v>44320.540502786636</v>
      </c>
    </row>
    <row r="20" spans="1:6" ht="12" customHeight="1" x14ac:dyDescent="0.2"/>
  </sheetData>
  <mergeCells count="4">
    <mergeCell ref="A1:F1"/>
    <mergeCell ref="A4:A5"/>
    <mergeCell ref="B4:B5"/>
    <mergeCell ref="C4:F4"/>
  </mergeCells>
  <conditionalFormatting sqref="B6:B18">
    <cfRule type="cellIs" dxfId="82" priority="5" stopIfTrue="1" operator="equal">
      <formula>0</formula>
    </cfRule>
  </conditionalFormatting>
  <conditionalFormatting sqref="C6:C18">
    <cfRule type="cellIs" dxfId="81" priority="4" stopIfTrue="1" operator="equal">
      <formula>0</formula>
    </cfRule>
  </conditionalFormatting>
  <conditionalFormatting sqref="D6:D18">
    <cfRule type="cellIs" dxfId="80" priority="3" stopIfTrue="1" operator="equal">
      <formula>0</formula>
    </cfRule>
  </conditionalFormatting>
  <conditionalFormatting sqref="E6:E18">
    <cfRule type="cellIs" dxfId="79" priority="2" stopIfTrue="1" operator="equal">
      <formula>0</formula>
    </cfRule>
  </conditionalFormatting>
  <conditionalFormatting sqref="F6:F18">
    <cfRule type="cellIs" dxfId="78" priority="1" stopIfTrue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2C24-5E18-49C1-85C7-2D66894CAF0D}">
  <dimension ref="A1:O20"/>
  <sheetViews>
    <sheetView zoomScale="92" workbookViewId="0">
      <selection activeCell="C19" sqref="C19"/>
    </sheetView>
  </sheetViews>
  <sheetFormatPr defaultColWidth="7.5703125" defaultRowHeight="12.75" x14ac:dyDescent="0.2"/>
  <cols>
    <col min="1" max="1" width="22.5703125" customWidth="1"/>
    <col min="2" max="2" width="11" customWidth="1"/>
    <col min="3" max="3" width="14.140625" customWidth="1"/>
    <col min="4" max="4" width="8" customWidth="1"/>
    <col min="5" max="5" width="9.85546875" customWidth="1"/>
    <col min="6" max="6" width="8.140625" customWidth="1"/>
    <col min="7" max="7" width="7" customWidth="1"/>
    <col min="8" max="8" width="8" customWidth="1"/>
    <col min="9" max="9" width="9.5703125" customWidth="1"/>
    <col min="10" max="10" width="9.42578125" customWidth="1"/>
    <col min="11" max="11" width="8.85546875" customWidth="1"/>
    <col min="12" max="12" width="8.140625" customWidth="1"/>
    <col min="13" max="14" width="9.85546875" customWidth="1"/>
    <col min="15" max="15" width="7.140625" customWidth="1"/>
    <col min="16" max="245" width="8.85546875" customWidth="1"/>
    <col min="246" max="246" width="27.5703125" customWidth="1"/>
    <col min="247" max="247" width="10.5703125" customWidth="1"/>
    <col min="248" max="248" width="9.42578125" customWidth="1"/>
    <col min="249" max="249" width="11" customWidth="1"/>
    <col min="250" max="251" width="7.85546875" customWidth="1"/>
    <col min="252" max="252" width="8.5703125" customWidth="1"/>
    <col min="253" max="253" width="9.42578125" customWidth="1"/>
    <col min="254" max="254" width="11.5703125" customWidth="1"/>
    <col min="255" max="255" width="8.85546875" customWidth="1"/>
  </cols>
  <sheetData>
    <row r="1" spans="1:15" x14ac:dyDescent="0.2">
      <c r="A1" s="119" t="s">
        <v>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x14ac:dyDescent="0.2">
      <c r="A2" s="27"/>
      <c r="B2" s="27"/>
      <c r="C2" s="27"/>
      <c r="D2" s="28"/>
      <c r="E2" s="28"/>
      <c r="F2" s="28"/>
      <c r="G2" s="27"/>
      <c r="H2" s="27"/>
      <c r="I2" s="27"/>
      <c r="J2" s="27"/>
      <c r="K2" s="27"/>
      <c r="L2" s="27"/>
      <c r="M2" s="27"/>
      <c r="N2" s="27"/>
      <c r="O2" s="42" t="s">
        <v>32</v>
      </c>
    </row>
    <row r="3" spans="1:15" x14ac:dyDescent="0.2">
      <c r="A3" s="83" t="s">
        <v>685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s="7" customFormat="1" ht="21.6" customHeight="1" x14ac:dyDescent="0.2">
      <c r="A4" s="129" t="s">
        <v>30</v>
      </c>
      <c r="B4" s="126" t="s">
        <v>338</v>
      </c>
      <c r="C4" s="126" t="s">
        <v>671</v>
      </c>
      <c r="D4" s="227" t="s">
        <v>672</v>
      </c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</row>
    <row r="5" spans="1:15" s="7" customFormat="1" ht="60.6" customHeight="1" x14ac:dyDescent="0.2">
      <c r="A5" s="131"/>
      <c r="B5" s="127"/>
      <c r="C5" s="127"/>
      <c r="D5" s="95" t="s">
        <v>448</v>
      </c>
      <c r="E5" s="95" t="s">
        <v>482</v>
      </c>
      <c r="F5" s="95" t="s">
        <v>477</v>
      </c>
      <c r="G5" s="95" t="s">
        <v>478</v>
      </c>
      <c r="H5" s="95" t="s">
        <v>450</v>
      </c>
      <c r="I5" s="95" t="s">
        <v>479</v>
      </c>
      <c r="J5" s="95" t="s">
        <v>292</v>
      </c>
      <c r="K5" s="101" t="s">
        <v>480</v>
      </c>
      <c r="L5" s="95" t="s">
        <v>323</v>
      </c>
      <c r="M5" s="95" t="s">
        <v>319</v>
      </c>
      <c r="N5" s="95" t="s">
        <v>481</v>
      </c>
      <c r="O5" s="95" t="s">
        <v>83</v>
      </c>
    </row>
    <row r="6" spans="1:15" s="6" customFormat="1" ht="20.45" customHeight="1" x14ac:dyDescent="0.2">
      <c r="A6" s="69" t="s">
        <v>0</v>
      </c>
      <c r="B6" s="49">
        <v>131504.2034342289</v>
      </c>
      <c r="C6" s="49">
        <v>5334.0243674516678</v>
      </c>
      <c r="D6" s="49">
        <v>604.15396523475579</v>
      </c>
      <c r="E6" s="49">
        <v>375.85015583038285</v>
      </c>
      <c r="F6" s="49">
        <v>15.445740699768072</v>
      </c>
      <c r="G6" s="49">
        <v>0</v>
      </c>
      <c r="H6" s="49">
        <v>58.684186935424805</v>
      </c>
      <c r="I6" s="49">
        <v>3028.070346951486</v>
      </c>
      <c r="J6" s="49">
        <v>1458.9225499629977</v>
      </c>
      <c r="K6" s="49">
        <v>278.08688545227028</v>
      </c>
      <c r="L6" s="49">
        <v>49.670919895172119</v>
      </c>
      <c r="M6" s="49">
        <v>15.445740699768072</v>
      </c>
      <c r="N6" s="49">
        <v>37.523036956787124</v>
      </c>
      <c r="O6" s="49">
        <v>97.570461273193359</v>
      </c>
    </row>
    <row r="7" spans="1:15" s="6" customFormat="1" ht="20.45" customHeight="1" x14ac:dyDescent="0.2">
      <c r="A7" s="29" t="s">
        <v>1</v>
      </c>
      <c r="B7" s="51">
        <v>3999284.9654890299</v>
      </c>
      <c r="C7" s="51">
        <v>145312.98887395859</v>
      </c>
      <c r="D7" s="51">
        <v>55099.454243302411</v>
      </c>
      <c r="E7" s="51">
        <v>34492.497313261098</v>
      </c>
      <c r="F7" s="51">
        <v>10012.61751818662</v>
      </c>
      <c r="G7" s="51">
        <v>2503.516242265689</v>
      </c>
      <c r="H7" s="51">
        <v>3959.7460720539098</v>
      </c>
      <c r="I7" s="51">
        <v>64407.306668162448</v>
      </c>
      <c r="J7" s="51">
        <v>21143.834411978685</v>
      </c>
      <c r="K7" s="51">
        <v>6515.3227539062282</v>
      </c>
      <c r="L7" s="51">
        <v>1940.3359024524689</v>
      </c>
      <c r="M7" s="51">
        <v>1149.1547970771751</v>
      </c>
      <c r="N7" s="51">
        <v>669.42513847350858</v>
      </c>
      <c r="O7" s="51">
        <v>2033.7643586397119</v>
      </c>
    </row>
    <row r="8" spans="1:15" ht="20.45" customHeight="1" x14ac:dyDescent="0.2">
      <c r="A8" s="30" t="s">
        <v>2</v>
      </c>
      <c r="B8" s="53">
        <v>425217.50214135647</v>
      </c>
      <c r="C8" s="53">
        <v>8531.3519365787506</v>
      </c>
      <c r="D8" s="53">
        <v>4323.3338153362301</v>
      </c>
      <c r="E8" s="53">
        <v>1741.5743010044087</v>
      </c>
      <c r="F8" s="53">
        <v>292.39527940750111</v>
      </c>
      <c r="G8" s="53">
        <v>34.945707321166957</v>
      </c>
      <c r="H8" s="53">
        <v>119.08696985244755</v>
      </c>
      <c r="I8" s="53">
        <v>2325.9841096401206</v>
      </c>
      <c r="J8" s="53">
        <v>978.59779906272888</v>
      </c>
      <c r="K8" s="53">
        <v>86.214256286621023</v>
      </c>
      <c r="L8" s="53">
        <v>125.26580715179429</v>
      </c>
      <c r="M8" s="53">
        <v>78.893842220306354</v>
      </c>
      <c r="N8" s="53">
        <v>223.32999515533459</v>
      </c>
      <c r="O8" s="53">
        <v>73.164055824279785</v>
      </c>
    </row>
    <row r="9" spans="1:15" ht="20.45" customHeight="1" x14ac:dyDescent="0.2">
      <c r="A9" s="30" t="s">
        <v>3</v>
      </c>
      <c r="B9" s="53">
        <v>648449.97284579277</v>
      </c>
      <c r="C9" s="53">
        <v>15919.675260186195</v>
      </c>
      <c r="D9" s="53">
        <v>8038.7493944167873</v>
      </c>
      <c r="E9" s="53">
        <v>3903.9665250778171</v>
      </c>
      <c r="F9" s="53">
        <v>524.26249754428909</v>
      </c>
      <c r="G9" s="53">
        <v>290.31404018402139</v>
      </c>
      <c r="H9" s="53">
        <v>202.24172210693359</v>
      </c>
      <c r="I9" s="53">
        <v>5494.2299437522879</v>
      </c>
      <c r="J9" s="53">
        <v>2162.8116774558989</v>
      </c>
      <c r="K9" s="53">
        <v>237.93522357940674</v>
      </c>
      <c r="L9" s="53">
        <v>150.91954898834229</v>
      </c>
      <c r="M9" s="53">
        <v>175.5498557090759</v>
      </c>
      <c r="N9" s="53">
        <v>58.150431632995527</v>
      </c>
      <c r="O9" s="53">
        <v>123.07741451263433</v>
      </c>
    </row>
    <row r="10" spans="1:15" ht="20.45" customHeight="1" x14ac:dyDescent="0.2">
      <c r="A10" s="30" t="s">
        <v>4</v>
      </c>
      <c r="B10" s="53">
        <v>1430113.6145436764</v>
      </c>
      <c r="C10" s="53">
        <v>47547.916350007057</v>
      </c>
      <c r="D10" s="53">
        <v>19477.559884071343</v>
      </c>
      <c r="E10" s="53">
        <v>12050.494140386609</v>
      </c>
      <c r="F10" s="53">
        <v>2703.437321782118</v>
      </c>
      <c r="G10" s="53">
        <v>780.59671843051967</v>
      </c>
      <c r="H10" s="53">
        <v>828.00910806655713</v>
      </c>
      <c r="I10" s="53">
        <v>20048.556744575497</v>
      </c>
      <c r="J10" s="53">
        <v>7266.3337036371104</v>
      </c>
      <c r="K10" s="53">
        <v>1207.1602039337163</v>
      </c>
      <c r="L10" s="53">
        <v>534.9091305732718</v>
      </c>
      <c r="M10" s="53">
        <v>335.26845169067445</v>
      </c>
      <c r="N10" s="53">
        <v>207.23543739318828</v>
      </c>
      <c r="O10" s="53">
        <v>531.32098436355579</v>
      </c>
    </row>
    <row r="11" spans="1:15" ht="20.45" customHeight="1" x14ac:dyDescent="0.2">
      <c r="A11" s="30" t="s">
        <v>5</v>
      </c>
      <c r="B11" s="53">
        <v>945303.95051133633</v>
      </c>
      <c r="C11" s="53">
        <v>38135.958196878433</v>
      </c>
      <c r="D11" s="53">
        <v>13272.85930585861</v>
      </c>
      <c r="E11" s="53">
        <v>9059.3039495945122</v>
      </c>
      <c r="F11" s="53">
        <v>2711.7176741361595</v>
      </c>
      <c r="G11" s="53">
        <v>762.30840098857948</v>
      </c>
      <c r="H11" s="53">
        <v>880.51290595531827</v>
      </c>
      <c r="I11" s="53">
        <v>18582.148350119576</v>
      </c>
      <c r="J11" s="53">
        <v>5601.7964208126023</v>
      </c>
      <c r="K11" s="53">
        <v>1470.2132730484027</v>
      </c>
      <c r="L11" s="53">
        <v>625.87922775745437</v>
      </c>
      <c r="M11" s="53">
        <v>207.62540674209603</v>
      </c>
      <c r="N11" s="53">
        <v>109.2174062728884</v>
      </c>
      <c r="O11" s="53">
        <v>610.17404711246422</v>
      </c>
    </row>
    <row r="12" spans="1:15" ht="20.45" customHeight="1" x14ac:dyDescent="0.2">
      <c r="A12" s="30" t="s">
        <v>6</v>
      </c>
      <c r="B12" s="53">
        <v>427038.72920608521</v>
      </c>
      <c r="C12" s="53">
        <v>23391.269540905952</v>
      </c>
      <c r="D12" s="53">
        <v>7011.684650063532</v>
      </c>
      <c r="E12" s="53">
        <v>5155.7185134887659</v>
      </c>
      <c r="F12" s="53">
        <v>2506.9591685533519</v>
      </c>
      <c r="G12" s="53">
        <v>341.73250365257246</v>
      </c>
      <c r="H12" s="53">
        <v>1115.4599303007133</v>
      </c>
      <c r="I12" s="53">
        <v>11722.468100666978</v>
      </c>
      <c r="J12" s="53">
        <v>3598.4309942722298</v>
      </c>
      <c r="K12" s="53">
        <v>1785.977591991428</v>
      </c>
      <c r="L12" s="53">
        <v>324.31687319278791</v>
      </c>
      <c r="M12" s="53">
        <v>289.88569974899326</v>
      </c>
      <c r="N12" s="53">
        <v>48.769507408142054</v>
      </c>
      <c r="O12" s="53">
        <v>361.87109065055796</v>
      </c>
    </row>
    <row r="13" spans="1:15" ht="20.45" customHeight="1" x14ac:dyDescent="0.2">
      <c r="A13" s="30" t="s">
        <v>7</v>
      </c>
      <c r="B13" s="53">
        <v>81947.948482036591</v>
      </c>
      <c r="C13" s="53">
        <v>6902.0073930025101</v>
      </c>
      <c r="D13" s="53">
        <v>1730.4847304821023</v>
      </c>
      <c r="E13" s="53">
        <v>1568.2362327575686</v>
      </c>
      <c r="F13" s="53">
        <v>655.46731090545734</v>
      </c>
      <c r="G13" s="53">
        <v>183.82117176055905</v>
      </c>
      <c r="H13" s="53">
        <v>441.85776138305653</v>
      </c>
      <c r="I13" s="53">
        <v>3781.4733716249489</v>
      </c>
      <c r="J13" s="53">
        <v>880.61176013946522</v>
      </c>
      <c r="K13" s="53">
        <v>931.44922399520942</v>
      </c>
      <c r="L13" s="53">
        <v>128.65374565124515</v>
      </c>
      <c r="M13" s="53">
        <v>54.231076240539572</v>
      </c>
      <c r="N13" s="53">
        <v>11.76543903350832</v>
      </c>
      <c r="O13" s="53">
        <v>109.76377797126777</v>
      </c>
    </row>
    <row r="14" spans="1:15" ht="20.45" customHeight="1" x14ac:dyDescent="0.2">
      <c r="A14" s="30" t="s">
        <v>8</v>
      </c>
      <c r="B14" s="53">
        <v>25962.588759422302</v>
      </c>
      <c r="C14" s="53">
        <v>2376.6414103507996</v>
      </c>
      <c r="D14" s="53">
        <v>619.34174585342441</v>
      </c>
      <c r="E14" s="53">
        <v>494.29357051849377</v>
      </c>
      <c r="F14" s="53">
        <v>301.02893018722528</v>
      </c>
      <c r="G14" s="53">
        <v>56.673820495605462</v>
      </c>
      <c r="H14" s="53">
        <v>209.45209026336664</v>
      </c>
      <c r="I14" s="53">
        <v>1094.1547908782964</v>
      </c>
      <c r="J14" s="53">
        <v>381.1226754188537</v>
      </c>
      <c r="K14" s="53">
        <v>374.872646331787</v>
      </c>
      <c r="L14" s="53">
        <v>19.68907117843629</v>
      </c>
      <c r="M14" s="53">
        <v>7.7004647254943794</v>
      </c>
      <c r="N14" s="53">
        <v>0</v>
      </c>
      <c r="O14" s="53">
        <v>102.75168895721438</v>
      </c>
    </row>
    <row r="15" spans="1:15" ht="20.45" customHeight="1" x14ac:dyDescent="0.2">
      <c r="A15" s="30" t="s">
        <v>9</v>
      </c>
      <c r="B15" s="53">
        <v>7396.839360833168</v>
      </c>
      <c r="C15" s="53">
        <v>1087.8056945800781</v>
      </c>
      <c r="D15" s="53">
        <v>237.39066600799555</v>
      </c>
      <c r="E15" s="53">
        <v>239.13596153259272</v>
      </c>
      <c r="F15" s="53">
        <v>182.02240753173825</v>
      </c>
      <c r="G15" s="53">
        <v>13.170310974121094</v>
      </c>
      <c r="H15" s="53">
        <v>65.878069400787368</v>
      </c>
      <c r="I15" s="53">
        <v>619.68358278274513</v>
      </c>
      <c r="J15" s="53">
        <v>100.151065826416</v>
      </c>
      <c r="K15" s="53">
        <v>122.30335807800299</v>
      </c>
      <c r="L15" s="53">
        <v>17.533803462982185</v>
      </c>
      <c r="M15" s="53">
        <v>0</v>
      </c>
      <c r="N15" s="53">
        <v>10.956921577453612</v>
      </c>
      <c r="O15" s="53">
        <v>41.629644393920877</v>
      </c>
    </row>
    <row r="16" spans="1:15" ht="20.45" customHeight="1" x14ac:dyDescent="0.2">
      <c r="A16" s="30" t="s">
        <v>10</v>
      </c>
      <c r="B16" s="53">
        <v>6978.5904805660248</v>
      </c>
      <c r="C16" s="53">
        <v>1175.6584696769714</v>
      </c>
      <c r="D16" s="53">
        <v>335.52218484878529</v>
      </c>
      <c r="E16" s="53">
        <v>244.36855363845817</v>
      </c>
      <c r="F16" s="53">
        <v>76.729546546936007</v>
      </c>
      <c r="G16" s="53">
        <v>18.834709167480462</v>
      </c>
      <c r="H16" s="53">
        <v>72.799449920654268</v>
      </c>
      <c r="I16" s="53">
        <v>652.40184926986728</v>
      </c>
      <c r="J16" s="53">
        <v>156.94654369354248</v>
      </c>
      <c r="K16" s="53">
        <v>240.59831666946408</v>
      </c>
      <c r="L16" s="53">
        <v>0</v>
      </c>
      <c r="M16" s="53">
        <v>0</v>
      </c>
      <c r="N16" s="53">
        <v>0</v>
      </c>
      <c r="O16" s="53">
        <v>67.187198638916044</v>
      </c>
    </row>
    <row r="17" spans="1:15" ht="20.45" customHeight="1" x14ac:dyDescent="0.2">
      <c r="A17" s="30" t="s">
        <v>11</v>
      </c>
      <c r="B17" s="53">
        <v>875.2291579246521</v>
      </c>
      <c r="C17" s="53">
        <v>244.7046217918396</v>
      </c>
      <c r="D17" s="53">
        <v>52.527866363525391</v>
      </c>
      <c r="E17" s="53">
        <v>35.40556526184082</v>
      </c>
      <c r="F17" s="53">
        <v>58.597381591796875</v>
      </c>
      <c r="G17" s="53">
        <v>21.118859291076657</v>
      </c>
      <c r="H17" s="53">
        <v>24.448064804077152</v>
      </c>
      <c r="I17" s="53">
        <v>86.205824851989746</v>
      </c>
      <c r="J17" s="53">
        <v>17.031771659851074</v>
      </c>
      <c r="K17" s="53">
        <v>58.59865999221801</v>
      </c>
      <c r="L17" s="53">
        <v>13.168694496154787</v>
      </c>
      <c r="M17" s="53">
        <v>0</v>
      </c>
      <c r="N17" s="53">
        <v>0</v>
      </c>
      <c r="O17" s="53">
        <v>12.824456214904785</v>
      </c>
    </row>
    <row r="18" spans="1:15" s="6" customFormat="1" ht="20.45" customHeight="1" x14ac:dyDescent="0.2">
      <c r="A18" s="31" t="s">
        <v>12</v>
      </c>
      <c r="B18" s="25">
        <f>B6+B7</f>
        <v>4130789.1689232588</v>
      </c>
      <c r="C18" s="25">
        <f t="shared" ref="C18:O18" si="0">C6+C7</f>
        <v>150647.01324141026</v>
      </c>
      <c r="D18" s="25">
        <f t="shared" si="0"/>
        <v>55703.608208537167</v>
      </c>
      <c r="E18" s="25">
        <f t="shared" si="0"/>
        <v>34868.347469091481</v>
      </c>
      <c r="F18" s="25">
        <f t="shared" si="0"/>
        <v>10028.063258886388</v>
      </c>
      <c r="G18" s="25">
        <f t="shared" si="0"/>
        <v>2503.516242265689</v>
      </c>
      <c r="H18" s="25">
        <f t="shared" si="0"/>
        <v>4018.4302589893346</v>
      </c>
      <c r="I18" s="25">
        <f t="shared" si="0"/>
        <v>67435.377015113932</v>
      </c>
      <c r="J18" s="25">
        <f t="shared" si="0"/>
        <v>22602.756961941683</v>
      </c>
      <c r="K18" s="25">
        <f t="shared" si="0"/>
        <v>6793.4096393584987</v>
      </c>
      <c r="L18" s="25">
        <f t="shared" si="0"/>
        <v>1990.006822347641</v>
      </c>
      <c r="M18" s="25">
        <f t="shared" si="0"/>
        <v>1164.6005377769432</v>
      </c>
      <c r="N18" s="25">
        <f t="shared" si="0"/>
        <v>706.94817543029569</v>
      </c>
      <c r="O18" s="25">
        <f t="shared" si="0"/>
        <v>2131.334819912905</v>
      </c>
    </row>
    <row r="20" spans="1:15" ht="12" customHeight="1" x14ac:dyDescent="0.2"/>
  </sheetData>
  <mergeCells count="5">
    <mergeCell ref="A1:O1"/>
    <mergeCell ref="A4:A5"/>
    <mergeCell ref="B4:B5"/>
    <mergeCell ref="C4:C5"/>
    <mergeCell ref="D4:O4"/>
  </mergeCells>
  <conditionalFormatting sqref="B6:B18">
    <cfRule type="cellIs" dxfId="77" priority="14" stopIfTrue="1" operator="equal">
      <formula>0</formula>
    </cfRule>
  </conditionalFormatting>
  <conditionalFormatting sqref="C6:C18">
    <cfRule type="cellIs" dxfId="76" priority="13" stopIfTrue="1" operator="equal">
      <formula>0</formula>
    </cfRule>
  </conditionalFormatting>
  <conditionalFormatting sqref="D6:D18">
    <cfRule type="cellIs" dxfId="75" priority="12" stopIfTrue="1" operator="equal">
      <formula>0</formula>
    </cfRule>
  </conditionalFormatting>
  <conditionalFormatting sqref="E6:E18">
    <cfRule type="cellIs" dxfId="74" priority="11" stopIfTrue="1" operator="equal">
      <formula>0</formula>
    </cfRule>
  </conditionalFormatting>
  <conditionalFormatting sqref="F6:F18">
    <cfRule type="cellIs" dxfId="73" priority="10" stopIfTrue="1" operator="equal">
      <formula>0</formula>
    </cfRule>
  </conditionalFormatting>
  <conditionalFormatting sqref="G6:G18">
    <cfRule type="cellIs" dxfId="72" priority="9" stopIfTrue="1" operator="equal">
      <formula>0</formula>
    </cfRule>
  </conditionalFormatting>
  <conditionalFormatting sqref="H6:H18">
    <cfRule type="cellIs" dxfId="71" priority="8" stopIfTrue="1" operator="equal">
      <formula>0</formula>
    </cfRule>
  </conditionalFormatting>
  <conditionalFormatting sqref="I6:I18">
    <cfRule type="cellIs" dxfId="70" priority="7" stopIfTrue="1" operator="equal">
      <formula>0</formula>
    </cfRule>
  </conditionalFormatting>
  <conditionalFormatting sqref="J6:J18">
    <cfRule type="cellIs" dxfId="69" priority="6" stopIfTrue="1" operator="equal">
      <formula>0</formula>
    </cfRule>
  </conditionalFormatting>
  <conditionalFormatting sqref="K6:K18">
    <cfRule type="cellIs" dxfId="68" priority="5" stopIfTrue="1" operator="equal">
      <formula>0</formula>
    </cfRule>
  </conditionalFormatting>
  <conditionalFormatting sqref="L6:L18">
    <cfRule type="cellIs" dxfId="67" priority="4" stopIfTrue="1" operator="equal">
      <formula>0</formula>
    </cfRule>
  </conditionalFormatting>
  <conditionalFormatting sqref="M6:M18">
    <cfRule type="cellIs" dxfId="66" priority="3" stopIfTrue="1" operator="equal">
      <formula>0</formula>
    </cfRule>
  </conditionalFormatting>
  <conditionalFormatting sqref="N6:N18">
    <cfRule type="cellIs" dxfId="65" priority="2" stopIfTrue="1" operator="equal">
      <formula>0</formula>
    </cfRule>
  </conditionalFormatting>
  <conditionalFormatting sqref="O6:O18">
    <cfRule type="cellIs" dxfId="64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332F-6F3C-48A3-A6D5-C45C74749AC0}">
  <sheetPr codeName="Sheet74"/>
  <dimension ref="A1:J20"/>
  <sheetViews>
    <sheetView zoomScale="107" zoomScaleNormal="126" workbookViewId="0">
      <selection activeCell="C19" sqref="C19"/>
    </sheetView>
  </sheetViews>
  <sheetFormatPr defaultColWidth="8.85546875" defaultRowHeight="12.75" x14ac:dyDescent="0.2"/>
  <cols>
    <col min="1" max="1" width="25.140625" style="18" customWidth="1"/>
    <col min="2" max="2" width="13.42578125" style="18" customWidth="1"/>
    <col min="3" max="3" width="11.85546875" style="18" customWidth="1"/>
    <col min="4" max="4" width="10.140625" style="18" customWidth="1"/>
    <col min="5" max="5" width="9.85546875" style="18" customWidth="1"/>
    <col min="6" max="6" width="10.5703125" style="18" customWidth="1"/>
    <col min="7" max="7" width="10.85546875" style="18" customWidth="1"/>
    <col min="8" max="8" width="11.5703125" style="18" customWidth="1"/>
    <col min="9" max="9" width="12.85546875" style="18" customWidth="1"/>
    <col min="10" max="10" width="12.140625" style="18" customWidth="1"/>
    <col min="11" max="11" width="8.85546875" style="18" customWidth="1"/>
    <col min="12" max="14" width="8.85546875" style="18"/>
    <col min="15" max="15" width="8.42578125" style="18" customWidth="1"/>
    <col min="16" max="16384" width="8.85546875" style="18"/>
  </cols>
  <sheetData>
    <row r="1" spans="1:10" s="21" customFormat="1" ht="15.75" customHeight="1" x14ac:dyDescent="0.2">
      <c r="A1" s="235" t="s">
        <v>34</v>
      </c>
      <c r="B1" s="235"/>
      <c r="C1" s="235"/>
      <c r="D1" s="235"/>
      <c r="E1" s="235"/>
      <c r="F1" s="235"/>
      <c r="G1" s="235"/>
      <c r="H1" s="235"/>
      <c r="I1" s="235"/>
      <c r="J1" s="235"/>
    </row>
    <row r="2" spans="1:10" ht="15.75" customHeight="1" x14ac:dyDescent="0.2">
      <c r="A2" s="84"/>
      <c r="B2" s="84"/>
      <c r="C2" s="85"/>
      <c r="D2" s="84"/>
      <c r="E2" s="84"/>
      <c r="F2" s="84"/>
      <c r="G2" s="84"/>
      <c r="H2" s="84"/>
      <c r="I2" s="84"/>
      <c r="J2" s="102" t="s">
        <v>32</v>
      </c>
    </row>
    <row r="3" spans="1:10" ht="17.25" customHeight="1" x14ac:dyDescent="0.2">
      <c r="A3" s="86" t="s">
        <v>579</v>
      </c>
      <c r="B3" s="103"/>
      <c r="C3" s="104"/>
      <c r="D3" s="104"/>
      <c r="E3" s="104"/>
      <c r="F3" s="104"/>
      <c r="G3" s="104"/>
      <c r="H3" s="104"/>
      <c r="I3" s="103"/>
      <c r="J3" s="103"/>
    </row>
    <row r="4" spans="1:10" s="20" customFormat="1" ht="37.35" customHeight="1" x14ac:dyDescent="0.2">
      <c r="A4" s="190" t="s">
        <v>30</v>
      </c>
      <c r="B4" s="105" t="s">
        <v>47</v>
      </c>
      <c r="C4" s="228" t="s">
        <v>414</v>
      </c>
      <c r="D4" s="229"/>
      <c r="E4" s="232" t="s">
        <v>573</v>
      </c>
      <c r="F4" s="233"/>
      <c r="G4" s="233"/>
      <c r="H4" s="234"/>
      <c r="I4" s="230" t="s">
        <v>673</v>
      </c>
      <c r="J4" s="231"/>
    </row>
    <row r="5" spans="1:10" s="20" customFormat="1" ht="52.35" customHeight="1" x14ac:dyDescent="0.2">
      <c r="A5" s="190"/>
      <c r="B5" s="87" t="s">
        <v>45</v>
      </c>
      <c r="C5" s="92" t="s">
        <v>415</v>
      </c>
      <c r="D5" s="106" t="s">
        <v>416</v>
      </c>
      <c r="E5" s="106" t="s">
        <v>424</v>
      </c>
      <c r="F5" s="106" t="s">
        <v>425</v>
      </c>
      <c r="G5" s="106" t="s">
        <v>426</v>
      </c>
      <c r="H5" s="106" t="s">
        <v>427</v>
      </c>
      <c r="I5" s="87" t="s">
        <v>674</v>
      </c>
      <c r="J5" s="87" t="s">
        <v>675</v>
      </c>
    </row>
    <row r="6" spans="1:10" s="19" customFormat="1" ht="20.45" customHeight="1" x14ac:dyDescent="0.2">
      <c r="A6" s="69" t="s">
        <v>0</v>
      </c>
      <c r="B6" s="49">
        <v>131504.2034342289</v>
      </c>
      <c r="C6" s="49">
        <v>34193.633200526237</v>
      </c>
      <c r="D6" s="49">
        <v>97310.57023370266</v>
      </c>
      <c r="E6" s="49">
        <v>76909.683951020241</v>
      </c>
      <c r="F6" s="49">
        <v>28352.035442471504</v>
      </c>
      <c r="G6" s="49">
        <v>16600.886033177376</v>
      </c>
      <c r="H6" s="49">
        <v>9641.5980075597763</v>
      </c>
      <c r="I6" s="49">
        <v>20896.605549812317</v>
      </c>
      <c r="J6" s="49">
        <v>110607.59788441658</v>
      </c>
    </row>
    <row r="7" spans="1:10" s="19" customFormat="1" ht="20.45" customHeight="1" x14ac:dyDescent="0.2">
      <c r="A7" s="29" t="s">
        <v>1</v>
      </c>
      <c r="B7" s="51">
        <v>3999284.9654890299</v>
      </c>
      <c r="C7" s="51">
        <v>2872413.4402838945</v>
      </c>
      <c r="D7" s="51">
        <v>1126871.5252051353</v>
      </c>
      <c r="E7" s="51">
        <v>562669.45635092258</v>
      </c>
      <c r="F7" s="51">
        <v>929600.56524646282</v>
      </c>
      <c r="G7" s="51">
        <v>1401901.5132164955</v>
      </c>
      <c r="H7" s="51">
        <v>1105113.430675149</v>
      </c>
      <c r="I7" s="51">
        <v>1835897.1246647835</v>
      </c>
      <c r="J7" s="51">
        <v>2163387.8408242464</v>
      </c>
    </row>
    <row r="8" spans="1:10" ht="20.45" customHeight="1" x14ac:dyDescent="0.2">
      <c r="A8" s="30" t="s">
        <v>2</v>
      </c>
      <c r="B8" s="53">
        <v>425217.50214135647</v>
      </c>
      <c r="C8" s="53">
        <v>155620.85759520531</v>
      </c>
      <c r="D8" s="53">
        <v>269596.64454615116</v>
      </c>
      <c r="E8" s="53">
        <v>190365.16004407406</v>
      </c>
      <c r="F8" s="53">
        <v>123726.45367825031</v>
      </c>
      <c r="G8" s="53">
        <v>78694.160362124443</v>
      </c>
      <c r="H8" s="53">
        <v>32431.728056907654</v>
      </c>
      <c r="I8" s="53">
        <v>51442.889162421227</v>
      </c>
      <c r="J8" s="53">
        <v>373774.61297893524</v>
      </c>
    </row>
    <row r="9" spans="1:10" ht="20.45" customHeight="1" x14ac:dyDescent="0.2">
      <c r="A9" s="30" t="s">
        <v>3</v>
      </c>
      <c r="B9" s="53">
        <v>648449.97284579277</v>
      </c>
      <c r="C9" s="53">
        <v>397152.0156236887</v>
      </c>
      <c r="D9" s="53">
        <v>251297.95722210407</v>
      </c>
      <c r="E9" s="53">
        <v>128471.99121618271</v>
      </c>
      <c r="F9" s="53">
        <v>208722.66657876968</v>
      </c>
      <c r="G9" s="53">
        <v>210750.67866849899</v>
      </c>
      <c r="H9" s="53">
        <v>100504.63638234138</v>
      </c>
      <c r="I9" s="53">
        <v>153784.28345894814</v>
      </c>
      <c r="J9" s="53">
        <v>494665.68938684464</v>
      </c>
    </row>
    <row r="10" spans="1:10" ht="20.45" customHeight="1" x14ac:dyDescent="0.2">
      <c r="A10" s="30" t="s">
        <v>4</v>
      </c>
      <c r="B10" s="53">
        <v>1430113.6145436764</v>
      </c>
      <c r="C10" s="53">
        <v>1053855.5282725096</v>
      </c>
      <c r="D10" s="53">
        <v>376258.0862711668</v>
      </c>
      <c r="E10" s="53">
        <v>153695.88672745228</v>
      </c>
      <c r="F10" s="53">
        <v>360371.50426363945</v>
      </c>
      <c r="G10" s="53">
        <v>558007.73011505604</v>
      </c>
      <c r="H10" s="53">
        <v>358038.49343752861</v>
      </c>
      <c r="I10" s="53">
        <v>624357.73010218143</v>
      </c>
      <c r="J10" s="53">
        <v>805755.88444149494</v>
      </c>
    </row>
    <row r="11" spans="1:10" ht="20.45" customHeight="1" x14ac:dyDescent="0.2">
      <c r="A11" s="30" t="s">
        <v>5</v>
      </c>
      <c r="B11" s="53">
        <v>945303.95051133633</v>
      </c>
      <c r="C11" s="53">
        <v>780109.83967471123</v>
      </c>
      <c r="D11" s="53">
        <v>165194.1108366251</v>
      </c>
      <c r="E11" s="53">
        <v>64790.188670635223</v>
      </c>
      <c r="F11" s="53">
        <v>168703.47871446609</v>
      </c>
      <c r="G11" s="53">
        <v>368681.24195885658</v>
      </c>
      <c r="H11" s="53">
        <v>343129.04116737843</v>
      </c>
      <c r="I11" s="53">
        <v>588562.70968484879</v>
      </c>
      <c r="J11" s="53">
        <v>356741.24082648754</v>
      </c>
    </row>
    <row r="12" spans="1:10" ht="20.45" customHeight="1" x14ac:dyDescent="0.2">
      <c r="A12" s="30" t="s">
        <v>6</v>
      </c>
      <c r="B12" s="53">
        <v>427038.72920608521</v>
      </c>
      <c r="C12" s="53">
        <v>373805.96613848209</v>
      </c>
      <c r="D12" s="53">
        <v>53232.763067603111</v>
      </c>
      <c r="E12" s="53">
        <v>21057.36613035202</v>
      </c>
      <c r="F12" s="53">
        <v>56790.123856544495</v>
      </c>
      <c r="G12" s="53">
        <v>150059.88190174103</v>
      </c>
      <c r="H12" s="53">
        <v>199131.35731744766</v>
      </c>
      <c r="I12" s="53">
        <v>314673.65051531792</v>
      </c>
      <c r="J12" s="53">
        <v>112365.07869076729</v>
      </c>
    </row>
    <row r="13" spans="1:10" ht="20.45" customHeight="1" x14ac:dyDescent="0.2">
      <c r="A13" s="30" t="s">
        <v>7</v>
      </c>
      <c r="B13" s="53">
        <v>81947.948482036591</v>
      </c>
      <c r="C13" s="53">
        <v>73975.118484377861</v>
      </c>
      <c r="D13" s="53">
        <v>7972.8299976587296</v>
      </c>
      <c r="E13" s="53">
        <v>3085.4975210428238</v>
      </c>
      <c r="F13" s="53">
        <v>8186.4020454883575</v>
      </c>
      <c r="G13" s="53">
        <v>24879.344842672348</v>
      </c>
      <c r="H13" s="53">
        <v>45796.704072833061</v>
      </c>
      <c r="I13" s="53">
        <v>67131.480774402618</v>
      </c>
      <c r="J13" s="53">
        <v>14816.467707633972</v>
      </c>
    </row>
    <row r="14" spans="1:10" ht="20.45" customHeight="1" x14ac:dyDescent="0.2">
      <c r="A14" s="30" t="s">
        <v>8</v>
      </c>
      <c r="B14" s="53">
        <v>25962.588759422302</v>
      </c>
      <c r="C14" s="53">
        <v>23689.086195468903</v>
      </c>
      <c r="D14" s="53">
        <v>2273.5025639533997</v>
      </c>
      <c r="E14" s="53">
        <v>871.03445148468018</v>
      </c>
      <c r="F14" s="53">
        <v>2167.523964881897</v>
      </c>
      <c r="G14" s="53">
        <v>7320.7706080675125</v>
      </c>
      <c r="H14" s="53">
        <v>15603.259734988213</v>
      </c>
      <c r="I14" s="53">
        <v>22246.888736844063</v>
      </c>
      <c r="J14" s="53">
        <v>3715.7000225782394</v>
      </c>
    </row>
    <row r="15" spans="1:10" ht="20.45" customHeight="1" x14ac:dyDescent="0.2">
      <c r="A15" s="30" t="s">
        <v>9</v>
      </c>
      <c r="B15" s="53">
        <v>7396.839360833168</v>
      </c>
      <c r="C15" s="53">
        <v>6781.0956829786301</v>
      </c>
      <c r="D15" s="53">
        <v>615.74367785453796</v>
      </c>
      <c r="E15" s="53">
        <v>149.50921201705933</v>
      </c>
      <c r="F15" s="53">
        <v>535.04830288887024</v>
      </c>
      <c r="G15" s="53">
        <v>1699.7034718990326</v>
      </c>
      <c r="H15" s="53">
        <v>5012.5783740282059</v>
      </c>
      <c r="I15" s="53">
        <v>6541.7521773576736</v>
      </c>
      <c r="J15" s="53">
        <v>855.08718347549438</v>
      </c>
    </row>
    <row r="16" spans="1:10" ht="20.45" customHeight="1" x14ac:dyDescent="0.2">
      <c r="A16" s="30" t="s">
        <v>10</v>
      </c>
      <c r="B16" s="53">
        <v>6978.5904805660248</v>
      </c>
      <c r="C16" s="53">
        <v>6610.0150854587555</v>
      </c>
      <c r="D16" s="53">
        <v>368.57539510726929</v>
      </c>
      <c r="E16" s="53">
        <v>167.92848634719849</v>
      </c>
      <c r="F16" s="53">
        <v>343.46964359283447</v>
      </c>
      <c r="G16" s="53">
        <v>1612.3074079751968</v>
      </c>
      <c r="H16" s="53">
        <v>4854.884942650795</v>
      </c>
      <c r="I16" s="53">
        <v>6380.9999635219574</v>
      </c>
      <c r="J16" s="53">
        <v>597.59051704406738</v>
      </c>
    </row>
    <row r="17" spans="1:10" ht="20.45" customHeight="1" x14ac:dyDescent="0.2">
      <c r="A17" s="30" t="s">
        <v>11</v>
      </c>
      <c r="B17" s="53">
        <v>875.2291579246521</v>
      </c>
      <c r="C17" s="53">
        <v>813.91753101348877</v>
      </c>
      <c r="D17" s="53">
        <v>61.31162691116333</v>
      </c>
      <c r="E17" s="53">
        <v>14.893891334533691</v>
      </c>
      <c r="F17" s="53">
        <v>53.894197940826416</v>
      </c>
      <c r="G17" s="53">
        <v>195.6938796043396</v>
      </c>
      <c r="H17" s="53">
        <v>610.74718904495239</v>
      </c>
      <c r="I17" s="53">
        <v>774.74008893966675</v>
      </c>
      <c r="J17" s="53">
        <v>100.48906898498535</v>
      </c>
    </row>
    <row r="18" spans="1:10" s="19" customFormat="1" ht="20.45" customHeight="1" x14ac:dyDescent="0.2">
      <c r="A18" s="31" t="s">
        <v>12</v>
      </c>
      <c r="B18" s="25">
        <f>B6+B7</f>
        <v>4130789.1689232588</v>
      </c>
      <c r="C18" s="25">
        <f t="shared" ref="C18:J18" si="0">C6+C7</f>
        <v>2906607.0734844208</v>
      </c>
      <c r="D18" s="25">
        <f t="shared" si="0"/>
        <v>1224182.095438838</v>
      </c>
      <c r="E18" s="25">
        <f t="shared" si="0"/>
        <v>639579.14030194283</v>
      </c>
      <c r="F18" s="25">
        <f t="shared" si="0"/>
        <v>957952.60068893433</v>
      </c>
      <c r="G18" s="25">
        <f t="shared" si="0"/>
        <v>1418502.3992496729</v>
      </c>
      <c r="H18" s="25">
        <f t="shared" si="0"/>
        <v>1114755.0286827087</v>
      </c>
      <c r="I18" s="25">
        <f t="shared" si="0"/>
        <v>1856793.7302145958</v>
      </c>
      <c r="J18" s="25">
        <f t="shared" si="0"/>
        <v>2273995.438708663</v>
      </c>
    </row>
    <row r="20" spans="1:10" ht="12" customHeight="1" x14ac:dyDescent="0.2"/>
  </sheetData>
  <mergeCells count="5">
    <mergeCell ref="A4:A5"/>
    <mergeCell ref="C4:D4"/>
    <mergeCell ref="I4:J4"/>
    <mergeCell ref="E4:H4"/>
    <mergeCell ref="A1:J1"/>
  </mergeCells>
  <conditionalFormatting sqref="B6:B18">
    <cfRule type="cellIs" dxfId="63" priority="9" stopIfTrue="1" operator="equal">
      <formula>0</formula>
    </cfRule>
  </conditionalFormatting>
  <conditionalFormatting sqref="C6:C18">
    <cfRule type="cellIs" dxfId="62" priority="8" stopIfTrue="1" operator="equal">
      <formula>0</formula>
    </cfRule>
  </conditionalFormatting>
  <conditionalFormatting sqref="D6:D18">
    <cfRule type="cellIs" dxfId="61" priority="7" stopIfTrue="1" operator="equal">
      <formula>0</formula>
    </cfRule>
  </conditionalFormatting>
  <conditionalFormatting sqref="E6:E18">
    <cfRule type="cellIs" dxfId="60" priority="6" stopIfTrue="1" operator="equal">
      <formula>0</formula>
    </cfRule>
  </conditionalFormatting>
  <conditionalFormatting sqref="F6:F18">
    <cfRule type="cellIs" dxfId="59" priority="5" stopIfTrue="1" operator="equal">
      <formula>0</formula>
    </cfRule>
  </conditionalFormatting>
  <conditionalFormatting sqref="G6:G18">
    <cfRule type="cellIs" dxfId="58" priority="4" stopIfTrue="1" operator="equal">
      <formula>0</formula>
    </cfRule>
  </conditionalFormatting>
  <conditionalFormatting sqref="H6:H18">
    <cfRule type="cellIs" dxfId="57" priority="3" stopIfTrue="1" operator="equal">
      <formula>0</formula>
    </cfRule>
  </conditionalFormatting>
  <conditionalFormatting sqref="I6:I18">
    <cfRule type="cellIs" dxfId="56" priority="2" stopIfTrue="1" operator="equal">
      <formula>0</formula>
    </cfRule>
  </conditionalFormatting>
  <conditionalFormatting sqref="J6:J18">
    <cfRule type="cellIs" dxfId="55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firstPageNumber="74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E6D0-0546-4F19-9BED-995B4E948255}">
  <sheetPr codeName="Sheet76"/>
  <dimension ref="A1:N20"/>
  <sheetViews>
    <sheetView zoomScale="85" zoomScaleNormal="165" workbookViewId="0">
      <selection activeCell="C19" sqref="C19"/>
    </sheetView>
  </sheetViews>
  <sheetFormatPr defaultColWidth="8.85546875" defaultRowHeight="12.75" x14ac:dyDescent="0.2"/>
  <cols>
    <col min="1" max="1" width="27.140625" style="18" customWidth="1"/>
    <col min="2" max="2" width="14" style="18" customWidth="1"/>
    <col min="3" max="3" width="9" style="18" customWidth="1"/>
    <col min="4" max="4" width="9.140625" style="18" customWidth="1"/>
    <col min="5" max="5" width="9.85546875" style="18" customWidth="1"/>
    <col min="6" max="6" width="10.140625" style="18" customWidth="1"/>
    <col min="7" max="9" width="9.42578125" style="18" customWidth="1"/>
    <col min="10" max="10" width="12.140625" style="18" customWidth="1"/>
    <col min="11" max="11" width="8.85546875" style="18" customWidth="1"/>
    <col min="12" max="12" width="11" style="18" customWidth="1"/>
    <col min="13" max="13" width="9.85546875" style="18" customWidth="1"/>
    <col min="14" max="14" width="8.85546875" style="18"/>
    <col min="15" max="15" width="8.42578125" style="18" customWidth="1"/>
    <col min="16" max="16384" width="8.85546875" style="18"/>
  </cols>
  <sheetData>
    <row r="1" spans="1:14" s="21" customFormat="1" ht="15.75" customHeight="1" x14ac:dyDescent="0.2">
      <c r="A1" s="235" t="s">
        <v>34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</row>
    <row r="2" spans="1:14" ht="15.75" customHeight="1" x14ac:dyDescent="0.2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102"/>
      <c r="M2" s="85"/>
      <c r="N2" s="85" t="s">
        <v>32</v>
      </c>
    </row>
    <row r="3" spans="1:14" s="21" customFormat="1" ht="17.25" customHeight="1" x14ac:dyDescent="0.2">
      <c r="A3" s="107" t="s">
        <v>572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  <c r="N3" s="86"/>
    </row>
    <row r="4" spans="1:14" s="20" customFormat="1" ht="30.75" customHeight="1" x14ac:dyDescent="0.2">
      <c r="A4" s="190" t="s">
        <v>30</v>
      </c>
      <c r="B4" s="236" t="s">
        <v>676</v>
      </c>
      <c r="C4" s="238" t="s">
        <v>495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</row>
    <row r="5" spans="1:14" s="20" customFormat="1" ht="73.7" customHeight="1" x14ac:dyDescent="0.2">
      <c r="A5" s="190"/>
      <c r="B5" s="237"/>
      <c r="C5" s="87" t="s">
        <v>454</v>
      </c>
      <c r="D5" s="87" t="s">
        <v>455</v>
      </c>
      <c r="E5" s="87" t="s">
        <v>462</v>
      </c>
      <c r="F5" s="87" t="s">
        <v>463</v>
      </c>
      <c r="G5" s="106" t="s">
        <v>456</v>
      </c>
      <c r="H5" s="106" t="s">
        <v>464</v>
      </c>
      <c r="I5" s="106" t="s">
        <v>457</v>
      </c>
      <c r="J5" s="106" t="s">
        <v>465</v>
      </c>
      <c r="K5" s="92" t="s">
        <v>458</v>
      </c>
      <c r="L5" s="87" t="s">
        <v>459</v>
      </c>
      <c r="M5" s="87" t="s">
        <v>461</v>
      </c>
      <c r="N5" s="87" t="s">
        <v>460</v>
      </c>
    </row>
    <row r="6" spans="1:14" s="19" customFormat="1" ht="20.45" customHeight="1" x14ac:dyDescent="0.2">
      <c r="A6" s="69" t="s">
        <v>0</v>
      </c>
      <c r="B6" s="49">
        <v>110607.59788441658</v>
      </c>
      <c r="C6" s="49">
        <v>69250.084913611528</v>
      </c>
      <c r="D6" s="49">
        <v>73552.535934448417</v>
      </c>
      <c r="E6" s="49">
        <v>79636.341653347001</v>
      </c>
      <c r="F6" s="49">
        <v>81390.909593939869</v>
      </c>
      <c r="G6" s="49">
        <v>81313.4148995875</v>
      </c>
      <c r="H6" s="49">
        <v>76695.979990125095</v>
      </c>
      <c r="I6" s="49">
        <v>72592.869247556257</v>
      </c>
      <c r="J6" s="49">
        <v>71323.200137019026</v>
      </c>
      <c r="K6" s="49">
        <v>72803.157092571302</v>
      </c>
      <c r="L6" s="49">
        <v>73267.851933598547</v>
      </c>
      <c r="M6" s="49">
        <v>71388.967711687263</v>
      </c>
      <c r="N6" s="49">
        <v>68845.265674114402</v>
      </c>
    </row>
    <row r="7" spans="1:14" s="19" customFormat="1" ht="20.45" customHeight="1" x14ac:dyDescent="0.2">
      <c r="A7" s="29" t="s">
        <v>1</v>
      </c>
      <c r="B7" s="51">
        <v>2163387.8408242464</v>
      </c>
      <c r="C7" s="51">
        <v>1022315.5363675791</v>
      </c>
      <c r="D7" s="51">
        <v>1065827.9069857197</v>
      </c>
      <c r="E7" s="51">
        <v>1142342.3390277883</v>
      </c>
      <c r="F7" s="51">
        <v>1189448.4651609578</v>
      </c>
      <c r="G7" s="51">
        <v>1084724.4630904424</v>
      </c>
      <c r="H7" s="51">
        <v>875668.44389070582</v>
      </c>
      <c r="I7" s="51">
        <v>703761.93326545949</v>
      </c>
      <c r="J7" s="51">
        <v>623816.10033536854</v>
      </c>
      <c r="K7" s="51">
        <v>741771.5428879275</v>
      </c>
      <c r="L7" s="51">
        <v>927890.71098220022</v>
      </c>
      <c r="M7" s="51">
        <v>1104293.9238834297</v>
      </c>
      <c r="N7" s="51">
        <v>1161364.4600724094</v>
      </c>
    </row>
    <row r="8" spans="1:14" ht="20.45" customHeight="1" x14ac:dyDescent="0.2">
      <c r="A8" s="30" t="s">
        <v>2</v>
      </c>
      <c r="B8" s="53">
        <v>373774.61297893524</v>
      </c>
      <c r="C8" s="53">
        <v>215603.35056555184</v>
      </c>
      <c r="D8" s="53">
        <v>228532.29075002516</v>
      </c>
      <c r="E8" s="53">
        <v>247670.70569908622</v>
      </c>
      <c r="F8" s="53">
        <v>256791.57955729828</v>
      </c>
      <c r="G8" s="53">
        <v>245973.68679904845</v>
      </c>
      <c r="H8" s="53">
        <v>215445.68219530588</v>
      </c>
      <c r="I8" s="53">
        <v>187355.40088844244</v>
      </c>
      <c r="J8" s="53">
        <v>178737.47608375471</v>
      </c>
      <c r="K8" s="53">
        <v>198021.2912298459</v>
      </c>
      <c r="L8" s="53">
        <v>220520.82323431855</v>
      </c>
      <c r="M8" s="53">
        <v>235459.20286655368</v>
      </c>
      <c r="N8" s="53">
        <v>232608.94642865818</v>
      </c>
    </row>
    <row r="9" spans="1:14" ht="20.45" customHeight="1" x14ac:dyDescent="0.2">
      <c r="A9" s="30" t="s">
        <v>3</v>
      </c>
      <c r="B9" s="53">
        <v>494665.68938684464</v>
      </c>
      <c r="C9" s="53">
        <v>232654.58687174256</v>
      </c>
      <c r="D9" s="53">
        <v>246176.31778443017</v>
      </c>
      <c r="E9" s="53">
        <v>269826.66965401114</v>
      </c>
      <c r="F9" s="53">
        <v>286775.03632354521</v>
      </c>
      <c r="G9" s="53">
        <v>267018.65458440885</v>
      </c>
      <c r="H9" s="53">
        <v>215818.58451783849</v>
      </c>
      <c r="I9" s="53">
        <v>168029.34883486954</v>
      </c>
      <c r="J9" s="53">
        <v>151961.97539472504</v>
      </c>
      <c r="K9" s="53">
        <v>180248.47487974478</v>
      </c>
      <c r="L9" s="53">
        <v>224012.02336406562</v>
      </c>
      <c r="M9" s="53">
        <v>260554.10287177621</v>
      </c>
      <c r="N9" s="53">
        <v>267451.19316995016</v>
      </c>
    </row>
    <row r="10" spans="1:14" ht="20.45" customHeight="1" x14ac:dyDescent="0.2">
      <c r="A10" s="30" t="s">
        <v>4</v>
      </c>
      <c r="B10" s="53">
        <v>805755.88444149494</v>
      </c>
      <c r="C10" s="53">
        <v>352228.43435549899</v>
      </c>
      <c r="D10" s="53">
        <v>366748.78271997097</v>
      </c>
      <c r="E10" s="53">
        <v>394517.70747792913</v>
      </c>
      <c r="F10" s="53">
        <v>417867.17842292599</v>
      </c>
      <c r="G10" s="53">
        <v>378569.20594548929</v>
      </c>
      <c r="H10" s="53">
        <v>296006.71349322586</v>
      </c>
      <c r="I10" s="53">
        <v>229197.81627130538</v>
      </c>
      <c r="J10" s="53">
        <v>192646.26944791951</v>
      </c>
      <c r="K10" s="53">
        <v>238023.66334033071</v>
      </c>
      <c r="L10" s="53">
        <v>313187.62271392037</v>
      </c>
      <c r="M10" s="53">
        <v>385519.15120339545</v>
      </c>
      <c r="N10" s="53">
        <v>409236.41506481252</v>
      </c>
    </row>
    <row r="11" spans="1:14" ht="20.45" customHeight="1" x14ac:dyDescent="0.2">
      <c r="A11" s="30" t="s">
        <v>5</v>
      </c>
      <c r="B11" s="53">
        <v>356741.24082648754</v>
      </c>
      <c r="C11" s="53">
        <v>159273.14536535737</v>
      </c>
      <c r="D11" s="53">
        <v>162210.21269440532</v>
      </c>
      <c r="E11" s="53">
        <v>167994.64268243383</v>
      </c>
      <c r="F11" s="53">
        <v>169288.25067222188</v>
      </c>
      <c r="G11" s="53">
        <v>145458.89238655969</v>
      </c>
      <c r="H11" s="53">
        <v>112400.78472876505</v>
      </c>
      <c r="I11" s="53">
        <v>88648.466696023912</v>
      </c>
      <c r="J11" s="53">
        <v>73810.690042018396</v>
      </c>
      <c r="K11" s="53">
        <v>92141.701461076897</v>
      </c>
      <c r="L11" s="53">
        <v>126367.18737602126</v>
      </c>
      <c r="M11" s="53">
        <v>163914.5894447575</v>
      </c>
      <c r="N11" s="53">
        <v>183350.99315631235</v>
      </c>
    </row>
    <row r="12" spans="1:14" ht="20.45" customHeight="1" x14ac:dyDescent="0.2">
      <c r="A12" s="30" t="s">
        <v>6</v>
      </c>
      <c r="B12" s="53">
        <v>112365.07869076729</v>
      </c>
      <c r="C12" s="53">
        <v>52976.852143406439</v>
      </c>
      <c r="D12" s="53">
        <v>52873.70759296359</v>
      </c>
      <c r="E12" s="53">
        <v>52926.509769082113</v>
      </c>
      <c r="F12" s="53">
        <v>50320.935406684337</v>
      </c>
      <c r="G12" s="53">
        <v>40879.444732666117</v>
      </c>
      <c r="H12" s="53">
        <v>30866.8028322461</v>
      </c>
      <c r="I12" s="53">
        <v>26054.743656992985</v>
      </c>
      <c r="J12" s="53">
        <v>22738.283716082591</v>
      </c>
      <c r="K12" s="53">
        <v>28474.362747550087</v>
      </c>
      <c r="L12" s="53">
        <v>37155.616400838284</v>
      </c>
      <c r="M12" s="53">
        <v>50007.756770968634</v>
      </c>
      <c r="N12" s="53">
        <v>58022.833119750583</v>
      </c>
    </row>
    <row r="13" spans="1:14" ht="20.45" customHeight="1" x14ac:dyDescent="0.2">
      <c r="A13" s="30" t="s">
        <v>7</v>
      </c>
      <c r="B13" s="53">
        <v>14816.467707633972</v>
      </c>
      <c r="C13" s="53">
        <v>7079.3402266502353</v>
      </c>
      <c r="D13" s="53">
        <v>6993.5957849025563</v>
      </c>
      <c r="E13" s="53">
        <v>7142.1901061535082</v>
      </c>
      <c r="F13" s="53">
        <v>6252.6694368123844</v>
      </c>
      <c r="G13" s="53">
        <v>5019.0156863927687</v>
      </c>
      <c r="H13" s="53">
        <v>3573.5523384809435</v>
      </c>
      <c r="I13" s="53">
        <v>3118.9539530277157</v>
      </c>
      <c r="J13" s="53">
        <v>2768.8174102306461</v>
      </c>
      <c r="K13" s="53">
        <v>3467.7173073291842</v>
      </c>
      <c r="L13" s="53">
        <v>4863.7919446229935</v>
      </c>
      <c r="M13" s="53">
        <v>6505.2481107711692</v>
      </c>
      <c r="N13" s="53">
        <v>7844.7879118919263</v>
      </c>
    </row>
    <row r="14" spans="1:14" ht="20.45" customHeight="1" x14ac:dyDescent="0.2">
      <c r="A14" s="30" t="s">
        <v>8</v>
      </c>
      <c r="B14" s="53">
        <v>3715.7000225782394</v>
      </c>
      <c r="C14" s="53">
        <v>1736.3347085714331</v>
      </c>
      <c r="D14" s="53">
        <v>1617.9561023712163</v>
      </c>
      <c r="E14" s="53">
        <v>1590.6020526885952</v>
      </c>
      <c r="F14" s="53">
        <v>1549.1780123710655</v>
      </c>
      <c r="G14" s="53">
        <v>1342.9937329292295</v>
      </c>
      <c r="H14" s="53">
        <v>1053.6021318435664</v>
      </c>
      <c r="I14" s="53">
        <v>868.05567741394373</v>
      </c>
      <c r="J14" s="53">
        <v>755.07695531845047</v>
      </c>
      <c r="K14" s="53">
        <v>958.34637975692976</v>
      </c>
      <c r="L14" s="53">
        <v>1230.0728135108939</v>
      </c>
      <c r="M14" s="53">
        <v>1621.6791690587991</v>
      </c>
      <c r="N14" s="53">
        <v>2007.454056620594</v>
      </c>
    </row>
    <row r="15" spans="1:14" ht="20.45" customHeight="1" x14ac:dyDescent="0.2">
      <c r="A15" s="30" t="s">
        <v>9</v>
      </c>
      <c r="B15" s="53">
        <v>855.08718347549438</v>
      </c>
      <c r="C15" s="53">
        <v>424.41414594650234</v>
      </c>
      <c r="D15" s="53">
        <v>352.69320344924932</v>
      </c>
      <c r="E15" s="53">
        <v>335.14912128448509</v>
      </c>
      <c r="F15" s="53">
        <v>318.4880285263061</v>
      </c>
      <c r="G15" s="53">
        <v>234.03788948059074</v>
      </c>
      <c r="H15" s="53">
        <v>252.94624614715579</v>
      </c>
      <c r="I15" s="53">
        <v>259.4172549247744</v>
      </c>
      <c r="J15" s="53">
        <v>180.37135457992554</v>
      </c>
      <c r="K15" s="53">
        <v>246.71656227111828</v>
      </c>
      <c r="L15" s="53">
        <v>309.06615447998064</v>
      </c>
      <c r="M15" s="53">
        <v>414.87739372253407</v>
      </c>
      <c r="N15" s="53">
        <v>469.98184156417796</v>
      </c>
    </row>
    <row r="16" spans="1:14" ht="20.45" customHeight="1" x14ac:dyDescent="0.2">
      <c r="A16" s="30" t="s">
        <v>10</v>
      </c>
      <c r="B16" s="53">
        <v>597.59051704406738</v>
      </c>
      <c r="C16" s="53">
        <v>287.96950101852417</v>
      </c>
      <c r="D16" s="53">
        <v>271.24186944961588</v>
      </c>
      <c r="E16" s="53">
        <v>299.0240173339842</v>
      </c>
      <c r="F16" s="53">
        <v>273.6842098236084</v>
      </c>
      <c r="G16" s="53">
        <v>217.06624269485474</v>
      </c>
      <c r="H16" s="53">
        <v>218.87360382080087</v>
      </c>
      <c r="I16" s="53">
        <v>181.60646295547502</v>
      </c>
      <c r="J16" s="53">
        <v>192.99017333984378</v>
      </c>
      <c r="K16" s="53">
        <v>164.12091493606579</v>
      </c>
      <c r="L16" s="53">
        <v>219.35891532897958</v>
      </c>
      <c r="M16" s="53">
        <v>249.47246026992806</v>
      </c>
      <c r="N16" s="53">
        <v>296.3383736610412</v>
      </c>
    </row>
    <row r="17" spans="1:14" ht="20.45" customHeight="1" x14ac:dyDescent="0.2">
      <c r="A17" s="30" t="s">
        <v>11</v>
      </c>
      <c r="B17" s="53">
        <v>100.48906898498535</v>
      </c>
      <c r="C17" s="53">
        <v>51.108483791351297</v>
      </c>
      <c r="D17" s="53">
        <v>51.108483791351297</v>
      </c>
      <c r="E17" s="53">
        <v>39.138447761535645</v>
      </c>
      <c r="F17" s="53">
        <v>11.465090751647944</v>
      </c>
      <c r="G17" s="53">
        <v>11.465090751647944</v>
      </c>
      <c r="H17" s="53">
        <v>30.901803016662605</v>
      </c>
      <c r="I17" s="53">
        <v>48.123569488525362</v>
      </c>
      <c r="J17" s="53">
        <v>24.14975738525391</v>
      </c>
      <c r="K17" s="53">
        <v>25.148065090179443</v>
      </c>
      <c r="L17" s="53">
        <v>25.148065090179443</v>
      </c>
      <c r="M17" s="53">
        <v>47.843592166900635</v>
      </c>
      <c r="N17" s="53">
        <v>75.516949176788316</v>
      </c>
    </row>
    <row r="18" spans="1:14" s="19" customFormat="1" ht="20.45" customHeight="1" x14ac:dyDescent="0.2">
      <c r="A18" s="31" t="s">
        <v>12</v>
      </c>
      <c r="B18" s="25">
        <f t="shared" ref="B18:N18" si="0">B6+B7</f>
        <v>2273995.438708663</v>
      </c>
      <c r="C18" s="25">
        <f t="shared" si="0"/>
        <v>1091565.6212811908</v>
      </c>
      <c r="D18" s="25">
        <f t="shared" si="0"/>
        <v>1139380.4429201682</v>
      </c>
      <c r="E18" s="25">
        <f t="shared" si="0"/>
        <v>1221978.6806811353</v>
      </c>
      <c r="F18" s="25">
        <f t="shared" si="0"/>
        <v>1270839.3747548976</v>
      </c>
      <c r="G18" s="25">
        <f t="shared" si="0"/>
        <v>1166037.8779900298</v>
      </c>
      <c r="H18" s="25">
        <f t="shared" si="0"/>
        <v>952364.42388083087</v>
      </c>
      <c r="I18" s="25">
        <f t="shared" si="0"/>
        <v>776354.80251301569</v>
      </c>
      <c r="J18" s="25">
        <f t="shared" si="0"/>
        <v>695139.30047238758</v>
      </c>
      <c r="K18" s="25">
        <f t="shared" si="0"/>
        <v>814574.69998049876</v>
      </c>
      <c r="L18" s="25">
        <f t="shared" si="0"/>
        <v>1001158.5629157987</v>
      </c>
      <c r="M18" s="25">
        <f t="shared" si="0"/>
        <v>1175682.891595117</v>
      </c>
      <c r="N18" s="25">
        <f t="shared" si="0"/>
        <v>1230209.7257465238</v>
      </c>
    </row>
    <row r="20" spans="1:14" ht="12" customHeight="1" x14ac:dyDescent="0.2"/>
  </sheetData>
  <mergeCells count="4">
    <mergeCell ref="A4:A5"/>
    <mergeCell ref="B4:B5"/>
    <mergeCell ref="C4:N4"/>
    <mergeCell ref="A1:N1"/>
  </mergeCells>
  <conditionalFormatting sqref="B6:B18">
    <cfRule type="cellIs" dxfId="54" priority="13" stopIfTrue="1" operator="equal">
      <formula>0</formula>
    </cfRule>
  </conditionalFormatting>
  <conditionalFormatting sqref="C6:C18">
    <cfRule type="cellIs" dxfId="53" priority="12" stopIfTrue="1" operator="equal">
      <formula>0</formula>
    </cfRule>
  </conditionalFormatting>
  <conditionalFormatting sqref="D6:D18">
    <cfRule type="cellIs" dxfId="52" priority="11" stopIfTrue="1" operator="equal">
      <formula>0</formula>
    </cfRule>
  </conditionalFormatting>
  <conditionalFormatting sqref="E6:E18">
    <cfRule type="cellIs" dxfId="51" priority="10" stopIfTrue="1" operator="equal">
      <formula>0</formula>
    </cfRule>
  </conditionalFormatting>
  <conditionalFormatting sqref="F6:F18">
    <cfRule type="cellIs" dxfId="50" priority="9" stopIfTrue="1" operator="equal">
      <formula>0</formula>
    </cfRule>
  </conditionalFormatting>
  <conditionalFormatting sqref="G6:G18">
    <cfRule type="cellIs" dxfId="49" priority="8" stopIfTrue="1" operator="equal">
      <formula>0</formula>
    </cfRule>
  </conditionalFormatting>
  <conditionalFormatting sqref="H6:H18">
    <cfRule type="cellIs" dxfId="48" priority="7" stopIfTrue="1" operator="equal">
      <formula>0</formula>
    </cfRule>
  </conditionalFormatting>
  <conditionalFormatting sqref="I6:I18">
    <cfRule type="cellIs" dxfId="47" priority="6" stopIfTrue="1" operator="equal">
      <formula>0</formula>
    </cfRule>
  </conditionalFormatting>
  <conditionalFormatting sqref="J6:J18">
    <cfRule type="cellIs" dxfId="46" priority="5" stopIfTrue="1" operator="equal">
      <formula>0</formula>
    </cfRule>
  </conditionalFormatting>
  <conditionalFormatting sqref="K6:K18">
    <cfRule type="cellIs" dxfId="45" priority="4" stopIfTrue="1" operator="equal">
      <formula>0</formula>
    </cfRule>
  </conditionalFormatting>
  <conditionalFormatting sqref="L6:L18">
    <cfRule type="cellIs" dxfId="44" priority="3" stopIfTrue="1" operator="equal">
      <formula>0</formula>
    </cfRule>
  </conditionalFormatting>
  <conditionalFormatting sqref="M6:M18">
    <cfRule type="cellIs" dxfId="43" priority="2" stopIfTrue="1" operator="equal">
      <formula>0</formula>
    </cfRule>
  </conditionalFormatting>
  <conditionalFormatting sqref="N6:N18">
    <cfRule type="cellIs" dxfId="42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firstPageNumber="74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0EFB-009B-41F0-95B8-73E1958598BE}">
  <sheetPr codeName="Sheet75"/>
  <dimension ref="A1:L20"/>
  <sheetViews>
    <sheetView zoomScale="97" zoomScaleNormal="122" workbookViewId="0">
      <selection activeCell="C19" sqref="C19"/>
    </sheetView>
  </sheetViews>
  <sheetFormatPr defaultColWidth="8.85546875" defaultRowHeight="12.75" x14ac:dyDescent="0.2"/>
  <cols>
    <col min="1" max="1" width="25" style="18" customWidth="1"/>
    <col min="2" max="2" width="13.140625" style="18" customWidth="1"/>
    <col min="3" max="3" width="9" style="18" customWidth="1"/>
    <col min="4" max="4" width="10.5703125" style="18" customWidth="1"/>
    <col min="5" max="5" width="11.140625" style="18" customWidth="1"/>
    <col min="6" max="6" width="9.140625" style="18" customWidth="1"/>
    <col min="7" max="7" width="11.140625" style="18" customWidth="1"/>
    <col min="8" max="8" width="10.42578125" style="18" customWidth="1"/>
    <col min="9" max="9" width="13.85546875" style="18" customWidth="1"/>
    <col min="10" max="11" width="10.42578125" style="18" customWidth="1"/>
    <col min="12" max="12" width="9.85546875" style="18" customWidth="1"/>
    <col min="13" max="14" width="8.85546875" style="18"/>
    <col min="15" max="15" width="8.42578125" style="18" customWidth="1"/>
    <col min="16" max="16384" width="8.85546875" style="18"/>
  </cols>
  <sheetData>
    <row r="1" spans="1:12" s="21" customFormat="1" ht="15.75" customHeight="1" x14ac:dyDescent="0.2">
      <c r="A1" s="235" t="s">
        <v>34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</row>
    <row r="2" spans="1:12" ht="15.75" customHeight="1" x14ac:dyDescent="0.2">
      <c r="A2" s="84"/>
      <c r="B2" s="85"/>
      <c r="C2" s="85"/>
      <c r="D2" s="85"/>
      <c r="E2" s="85"/>
      <c r="F2" s="85"/>
      <c r="G2" s="85"/>
      <c r="H2" s="85"/>
      <c r="I2" s="85"/>
      <c r="J2" s="85"/>
      <c r="K2" s="102"/>
      <c r="L2" s="85" t="s">
        <v>32</v>
      </c>
    </row>
    <row r="3" spans="1:12" s="21" customFormat="1" ht="17.25" customHeight="1" x14ac:dyDescent="0.2">
      <c r="A3" s="107" t="s">
        <v>678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9"/>
    </row>
    <row r="4" spans="1:12" s="21" customFormat="1" ht="17.25" customHeight="1" x14ac:dyDescent="0.2">
      <c r="A4" s="86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86"/>
    </row>
    <row r="5" spans="1:12" s="20" customFormat="1" ht="24" customHeight="1" x14ac:dyDescent="0.2">
      <c r="A5" s="190" t="s">
        <v>30</v>
      </c>
      <c r="B5" s="236" t="s">
        <v>676</v>
      </c>
      <c r="C5" s="239" t="s">
        <v>417</v>
      </c>
      <c r="D5" s="240"/>
      <c r="E5" s="240"/>
      <c r="F5" s="241"/>
      <c r="G5" s="242" t="s">
        <v>677</v>
      </c>
      <c r="H5" s="243"/>
      <c r="I5" s="243"/>
      <c r="J5" s="243"/>
      <c r="K5" s="243"/>
      <c r="L5" s="244"/>
    </row>
    <row r="6" spans="1:12" s="20" customFormat="1" ht="81.75" customHeight="1" x14ac:dyDescent="0.2">
      <c r="A6" s="190"/>
      <c r="B6" s="237"/>
      <c r="C6" s="87" t="s">
        <v>418</v>
      </c>
      <c r="D6" s="87" t="s">
        <v>419</v>
      </c>
      <c r="E6" s="87" t="s">
        <v>420</v>
      </c>
      <c r="F6" s="87" t="s">
        <v>421</v>
      </c>
      <c r="G6" s="106" t="s">
        <v>422</v>
      </c>
      <c r="H6" s="106" t="s">
        <v>541</v>
      </c>
      <c r="I6" s="106" t="s">
        <v>542</v>
      </c>
      <c r="J6" s="92" t="s">
        <v>423</v>
      </c>
      <c r="K6" s="87" t="s">
        <v>576</v>
      </c>
      <c r="L6" s="87" t="s">
        <v>249</v>
      </c>
    </row>
    <row r="7" spans="1:12" s="19" customFormat="1" ht="20.45" customHeight="1" x14ac:dyDescent="0.2">
      <c r="A7" s="69" t="s">
        <v>0</v>
      </c>
      <c r="B7" s="49">
        <v>110607.59788441658</v>
      </c>
      <c r="C7" s="49">
        <v>12873.656978130341</v>
      </c>
      <c r="D7" s="49">
        <v>26937.8020414114</v>
      </c>
      <c r="E7" s="49">
        <v>25233.422912955284</v>
      </c>
      <c r="F7" s="49">
        <v>45562.715951919556</v>
      </c>
      <c r="G7" s="49">
        <v>12892.99079477787</v>
      </c>
      <c r="H7" s="49">
        <v>69560.606643557549</v>
      </c>
      <c r="I7" s="49">
        <v>18368.322739362717</v>
      </c>
      <c r="J7" s="49">
        <v>3369.2993116378784</v>
      </c>
      <c r="K7" s="49">
        <v>3545.2555594444275</v>
      </c>
      <c r="L7" s="49">
        <v>2871.1228356361389</v>
      </c>
    </row>
    <row r="8" spans="1:12" s="19" customFormat="1" ht="20.45" customHeight="1" x14ac:dyDescent="0.2">
      <c r="A8" s="29" t="s">
        <v>1</v>
      </c>
      <c r="B8" s="51">
        <v>2163387.8408242464</v>
      </c>
      <c r="C8" s="51">
        <v>531370.67923295498</v>
      </c>
      <c r="D8" s="51">
        <v>1037011.4146735668</v>
      </c>
      <c r="E8" s="51">
        <v>439538.29776275158</v>
      </c>
      <c r="F8" s="51">
        <v>155467.44915497303</v>
      </c>
      <c r="G8" s="51">
        <v>216055.84901618958</v>
      </c>
      <c r="H8" s="51">
        <v>1334564.6729699373</v>
      </c>
      <c r="I8" s="51">
        <v>385468.82683074474</v>
      </c>
      <c r="J8" s="51">
        <v>65141.251541495323</v>
      </c>
      <c r="K8" s="51">
        <v>120531.47105669975</v>
      </c>
      <c r="L8" s="51">
        <v>41625.769409179688</v>
      </c>
    </row>
    <row r="9" spans="1:12" ht="20.45" customHeight="1" x14ac:dyDescent="0.2">
      <c r="A9" s="30" t="s">
        <v>2</v>
      </c>
      <c r="B9" s="53">
        <v>373774.61297893524</v>
      </c>
      <c r="C9" s="53">
        <v>45699.33257484436</v>
      </c>
      <c r="D9" s="53">
        <v>120442.82278168201</v>
      </c>
      <c r="E9" s="53">
        <v>115421.1192458868</v>
      </c>
      <c r="F9" s="53">
        <v>92211.338376522064</v>
      </c>
      <c r="G9" s="53">
        <v>41787.873676538467</v>
      </c>
      <c r="H9" s="53">
        <v>223269.14123117924</v>
      </c>
      <c r="I9" s="53">
        <v>71778.593913555145</v>
      </c>
      <c r="J9" s="53">
        <v>15273.62519288063</v>
      </c>
      <c r="K9" s="53">
        <v>12212.567833662033</v>
      </c>
      <c r="L9" s="53">
        <v>9452.8111311197281</v>
      </c>
    </row>
    <row r="10" spans="1:12" ht="20.45" customHeight="1" x14ac:dyDescent="0.2">
      <c r="A10" s="30" t="s">
        <v>3</v>
      </c>
      <c r="B10" s="53">
        <v>494665.68938684464</v>
      </c>
      <c r="C10" s="53">
        <v>99469.004860281944</v>
      </c>
      <c r="D10" s="53">
        <v>239342.08380484581</v>
      </c>
      <c r="E10" s="53">
        <v>124407.32696151733</v>
      </c>
      <c r="F10" s="53">
        <v>31447.273760199547</v>
      </c>
      <c r="G10" s="53">
        <v>44101.047449231148</v>
      </c>
      <c r="H10" s="53">
        <v>309015.07527029514</v>
      </c>
      <c r="I10" s="53">
        <v>93254.18793964386</v>
      </c>
      <c r="J10" s="53">
        <v>14360.855035543442</v>
      </c>
      <c r="K10" s="53">
        <v>23900.520948529243</v>
      </c>
      <c r="L10" s="53">
        <v>10034.002743601799</v>
      </c>
    </row>
    <row r="11" spans="1:12" ht="20.45" customHeight="1" x14ac:dyDescent="0.2">
      <c r="A11" s="30" t="s">
        <v>4</v>
      </c>
      <c r="B11" s="53">
        <v>805755.88444149494</v>
      </c>
      <c r="C11" s="53">
        <v>221990.35786819458</v>
      </c>
      <c r="D11" s="53">
        <v>423395.34253096581</v>
      </c>
      <c r="E11" s="53">
        <v>138243.45272755623</v>
      </c>
      <c r="F11" s="53">
        <v>22126.731314778328</v>
      </c>
      <c r="G11" s="53">
        <v>74623.565255761147</v>
      </c>
      <c r="H11" s="53">
        <v>505265.63317239285</v>
      </c>
      <c r="I11" s="53">
        <v>144500.58538746834</v>
      </c>
      <c r="J11" s="53">
        <v>20122.942210316658</v>
      </c>
      <c r="K11" s="53">
        <v>47490.686859726906</v>
      </c>
      <c r="L11" s="53">
        <v>13752.471555829048</v>
      </c>
    </row>
    <row r="12" spans="1:12" ht="20.45" customHeight="1" x14ac:dyDescent="0.2">
      <c r="A12" s="30" t="s">
        <v>5</v>
      </c>
      <c r="B12" s="53">
        <v>356741.24082648754</v>
      </c>
      <c r="C12" s="53">
        <v>116453.3798494339</v>
      </c>
      <c r="D12" s="53">
        <v>187089.82286787033</v>
      </c>
      <c r="E12" s="53">
        <v>46131.884134888649</v>
      </c>
      <c r="F12" s="53">
        <v>7066.1539742946625</v>
      </c>
      <c r="G12" s="53">
        <v>37450.78008210659</v>
      </c>
      <c r="H12" s="53">
        <v>220293.22897863388</v>
      </c>
      <c r="I12" s="53">
        <v>57003.045802950859</v>
      </c>
      <c r="J12" s="53">
        <v>10527.985023140907</v>
      </c>
      <c r="K12" s="53">
        <v>25288.964964151382</v>
      </c>
      <c r="L12" s="53">
        <v>6177.2359755039215</v>
      </c>
    </row>
    <row r="13" spans="1:12" ht="20.45" customHeight="1" x14ac:dyDescent="0.2">
      <c r="A13" s="30" t="s">
        <v>6</v>
      </c>
      <c r="B13" s="53">
        <v>112365.07869076729</v>
      </c>
      <c r="C13" s="53">
        <v>39831.158578753471</v>
      </c>
      <c r="D13" s="53">
        <v>57334.631932258606</v>
      </c>
      <c r="E13" s="53">
        <v>13092.551755428314</v>
      </c>
      <c r="F13" s="53">
        <v>2106.7364243268967</v>
      </c>
      <c r="G13" s="53">
        <v>14942.018935084343</v>
      </c>
      <c r="H13" s="53">
        <v>65274.203073620796</v>
      </c>
      <c r="I13" s="53">
        <v>16503.51149892807</v>
      </c>
      <c r="J13" s="53">
        <v>4111.8601351976395</v>
      </c>
      <c r="K13" s="53">
        <v>9753.7617585659027</v>
      </c>
      <c r="L13" s="53">
        <v>1779.7232893705368</v>
      </c>
    </row>
    <row r="14" spans="1:12" ht="20.45" customHeight="1" x14ac:dyDescent="0.2">
      <c r="A14" s="30" t="s">
        <v>7</v>
      </c>
      <c r="B14" s="53">
        <v>14816.467707633972</v>
      </c>
      <c r="C14" s="53">
        <v>5915.5303070545197</v>
      </c>
      <c r="D14" s="53">
        <v>6951.9578539133072</v>
      </c>
      <c r="E14" s="53">
        <v>1579.9038554430008</v>
      </c>
      <c r="F14" s="53">
        <v>369.07569122314453</v>
      </c>
      <c r="G14" s="53">
        <v>2172.4983247518539</v>
      </c>
      <c r="H14" s="53">
        <v>8508.6059373617172</v>
      </c>
      <c r="I14" s="53">
        <v>1884.7962572574615</v>
      </c>
      <c r="J14" s="53">
        <v>543.82029962539673</v>
      </c>
      <c r="K14" s="53">
        <v>1360.3783557415009</v>
      </c>
      <c r="L14" s="53">
        <v>346.36853289604187</v>
      </c>
    </row>
    <row r="15" spans="1:12" ht="20.45" customHeight="1" x14ac:dyDescent="0.2">
      <c r="A15" s="30" t="s">
        <v>8</v>
      </c>
      <c r="B15" s="53">
        <v>3715.7000225782394</v>
      </c>
      <c r="C15" s="53">
        <v>1440.928723692894</v>
      </c>
      <c r="D15" s="53">
        <v>1767.5125365257263</v>
      </c>
      <c r="E15" s="53">
        <v>406.36209344863892</v>
      </c>
      <c r="F15" s="53">
        <v>100.89666891098022</v>
      </c>
      <c r="G15" s="53">
        <v>677.69634759426117</v>
      </c>
      <c r="H15" s="53">
        <v>2135.7070960998535</v>
      </c>
      <c r="I15" s="53">
        <v>334.39563417434692</v>
      </c>
      <c r="J15" s="53">
        <v>125.51828718185425</v>
      </c>
      <c r="K15" s="53">
        <v>384.5769305229187</v>
      </c>
      <c r="L15" s="53">
        <v>57.805727005004883</v>
      </c>
    </row>
    <row r="16" spans="1:12" ht="20.45" customHeight="1" x14ac:dyDescent="0.2">
      <c r="A16" s="30" t="s">
        <v>9</v>
      </c>
      <c r="B16" s="53">
        <v>855.08718347549438</v>
      </c>
      <c r="C16" s="53">
        <v>329.11609125137329</v>
      </c>
      <c r="D16" s="53">
        <v>382.1440486907959</v>
      </c>
      <c r="E16" s="53">
        <v>128.87864017486572</v>
      </c>
      <c r="F16" s="53">
        <v>14.948403358459473</v>
      </c>
      <c r="G16" s="53">
        <v>172.03158187866211</v>
      </c>
      <c r="H16" s="53">
        <v>429.23256206512451</v>
      </c>
      <c r="I16" s="53">
        <v>139.90411472320557</v>
      </c>
      <c r="J16" s="53">
        <v>8.1908750534057617</v>
      </c>
      <c r="K16" s="53">
        <v>103.50884246826172</v>
      </c>
      <c r="L16" s="53">
        <v>2.2192072868347168</v>
      </c>
    </row>
    <row r="17" spans="1:12" ht="20.45" customHeight="1" x14ac:dyDescent="0.2">
      <c r="A17" s="30" t="s">
        <v>10</v>
      </c>
      <c r="B17" s="53">
        <v>597.59051704406738</v>
      </c>
      <c r="C17" s="53">
        <v>200.6373610496521</v>
      </c>
      <c r="D17" s="53">
        <v>257.30535697937012</v>
      </c>
      <c r="E17" s="53">
        <v>126.81834840774536</v>
      </c>
      <c r="F17" s="53">
        <v>12.829450607299805</v>
      </c>
      <c r="G17" s="53">
        <v>115.65269660949707</v>
      </c>
      <c r="H17" s="53">
        <v>302.3021445274353</v>
      </c>
      <c r="I17" s="53">
        <v>69.806282043457031</v>
      </c>
      <c r="J17" s="53">
        <v>50.193583965301514</v>
      </c>
      <c r="K17" s="53">
        <v>36.504563331604004</v>
      </c>
      <c r="L17" s="53">
        <v>23.131246566772461</v>
      </c>
    </row>
    <row r="18" spans="1:12" ht="20.45" customHeight="1" x14ac:dyDescent="0.2">
      <c r="A18" s="30" t="s">
        <v>11</v>
      </c>
      <c r="B18" s="53">
        <v>100.48906898498535</v>
      </c>
      <c r="C18" s="53">
        <v>41.233018398284912</v>
      </c>
      <c r="D18" s="53">
        <v>47.79095983505249</v>
      </c>
      <c r="E18" s="53">
        <v>0</v>
      </c>
      <c r="F18" s="53">
        <v>11.465090751647949</v>
      </c>
      <c r="G18" s="53">
        <v>12.684666633605957</v>
      </c>
      <c r="H18" s="53">
        <v>71.543503761291504</v>
      </c>
      <c r="I18" s="53">
        <v>0</v>
      </c>
      <c r="J18" s="53">
        <v>16.260898590087891</v>
      </c>
      <c r="K18" s="53">
        <v>0</v>
      </c>
      <c r="L18" s="53">
        <v>0</v>
      </c>
    </row>
    <row r="19" spans="1:12" s="19" customFormat="1" ht="20.45" customHeight="1" x14ac:dyDescent="0.2">
      <c r="A19" s="31" t="s">
        <v>12</v>
      </c>
      <c r="B19" s="25">
        <f t="shared" ref="B19:L19" si="0">B7+B8</f>
        <v>2273995.438708663</v>
      </c>
      <c r="C19" s="25">
        <f t="shared" si="0"/>
        <v>544244.33621108532</v>
      </c>
      <c r="D19" s="25">
        <f t="shared" si="0"/>
        <v>1063949.2167149782</v>
      </c>
      <c r="E19" s="25">
        <f t="shared" si="0"/>
        <v>464771.72067570686</v>
      </c>
      <c r="F19" s="25">
        <f t="shared" si="0"/>
        <v>201030.16510689259</v>
      </c>
      <c r="G19" s="25">
        <f t="shared" si="0"/>
        <v>228948.83981096745</v>
      </c>
      <c r="H19" s="25">
        <f t="shared" si="0"/>
        <v>1404125.2796134949</v>
      </c>
      <c r="I19" s="25">
        <f t="shared" si="0"/>
        <v>403837.14957010746</v>
      </c>
      <c r="J19" s="25">
        <f t="shared" si="0"/>
        <v>68510.550853133202</v>
      </c>
      <c r="K19" s="25">
        <f t="shared" si="0"/>
        <v>124076.72661614418</v>
      </c>
      <c r="L19" s="25">
        <f t="shared" si="0"/>
        <v>44496.892244815826</v>
      </c>
    </row>
    <row r="20" spans="1:12" ht="12" customHeight="1" x14ac:dyDescent="0.2"/>
  </sheetData>
  <mergeCells count="5">
    <mergeCell ref="A1:L1"/>
    <mergeCell ref="A5:A6"/>
    <mergeCell ref="B5:B6"/>
    <mergeCell ref="C5:F5"/>
    <mergeCell ref="G5:L5"/>
  </mergeCells>
  <conditionalFormatting sqref="B7:L19">
    <cfRule type="cellIs" dxfId="41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firstPageNumber="74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1F80-711A-4639-BDBC-AA4A6F38E73C}">
  <sheetPr codeName="Sheet77"/>
  <dimension ref="A1:K20"/>
  <sheetViews>
    <sheetView zoomScale="85" zoomScaleNormal="165" workbookViewId="0">
      <selection activeCell="C19" sqref="C19"/>
    </sheetView>
  </sheetViews>
  <sheetFormatPr defaultColWidth="8.85546875" defaultRowHeight="12.75" x14ac:dyDescent="0.2"/>
  <cols>
    <col min="1" max="1" width="25.140625" style="18" customWidth="1"/>
    <col min="2" max="2" width="12.85546875" style="18" customWidth="1"/>
    <col min="3" max="3" width="12.5703125" style="18" customWidth="1"/>
    <col min="4" max="4" width="9.85546875" style="18" customWidth="1"/>
    <col min="5" max="5" width="13.42578125" style="18" customWidth="1"/>
    <col min="6" max="6" width="10.42578125" style="18" customWidth="1"/>
    <col min="7" max="8" width="12.42578125" style="18" customWidth="1"/>
    <col min="9" max="9" width="14.5703125" style="18" customWidth="1"/>
    <col min="10" max="10" width="13.140625" style="18" customWidth="1"/>
    <col min="11" max="11" width="15" style="18" customWidth="1"/>
    <col min="12" max="14" width="8.85546875" style="18"/>
    <col min="15" max="15" width="8.42578125" style="18" customWidth="1"/>
    <col min="16" max="16384" width="8.85546875" style="18"/>
  </cols>
  <sheetData>
    <row r="1" spans="1:11" s="21" customFormat="1" ht="15.75" customHeight="1" x14ac:dyDescent="0.2">
      <c r="A1" s="235" t="s">
        <v>34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</row>
    <row r="2" spans="1:11" ht="15.75" customHeight="1" x14ac:dyDescent="0.2">
      <c r="A2" s="84"/>
      <c r="B2" s="84"/>
      <c r="C2" s="85"/>
      <c r="D2" s="85"/>
      <c r="E2" s="85"/>
      <c r="F2" s="85"/>
      <c r="G2" s="85"/>
      <c r="H2" s="85"/>
      <c r="I2" s="85"/>
      <c r="J2" s="85"/>
      <c r="K2" s="85" t="s">
        <v>32</v>
      </c>
    </row>
    <row r="3" spans="1:11" s="21" customFormat="1" ht="17.25" customHeight="1" x14ac:dyDescent="0.2">
      <c r="A3" s="107" t="s">
        <v>679</v>
      </c>
      <c r="B3" s="107"/>
      <c r="C3" s="108"/>
      <c r="D3" s="108"/>
      <c r="E3" s="108"/>
      <c r="F3" s="108"/>
      <c r="G3" s="108"/>
      <c r="H3" s="108"/>
      <c r="I3" s="108"/>
      <c r="J3" s="108"/>
      <c r="K3" s="108"/>
    </row>
    <row r="4" spans="1:11" s="21" customFormat="1" ht="17.25" customHeight="1" x14ac:dyDescent="0.2">
      <c r="A4" s="86"/>
      <c r="B4" s="86"/>
      <c r="C4" s="110"/>
      <c r="D4" s="110"/>
      <c r="E4" s="110"/>
      <c r="F4" s="110"/>
      <c r="G4" s="110"/>
      <c r="H4" s="110"/>
      <c r="I4" s="110"/>
      <c r="J4" s="110"/>
      <c r="K4" s="110"/>
    </row>
    <row r="5" spans="1:11" s="20" customFormat="1" ht="21.6" customHeight="1" x14ac:dyDescent="0.2">
      <c r="A5" s="190" t="s">
        <v>30</v>
      </c>
      <c r="B5" s="236" t="s">
        <v>338</v>
      </c>
      <c r="C5" s="245" t="s">
        <v>680</v>
      </c>
      <c r="D5" s="247" t="s">
        <v>681</v>
      </c>
      <c r="E5" s="247"/>
      <c r="F5" s="247"/>
      <c r="G5" s="247"/>
      <c r="H5" s="247"/>
      <c r="I5" s="247"/>
      <c r="J5" s="247"/>
      <c r="K5" s="247"/>
    </row>
    <row r="6" spans="1:11" s="20" customFormat="1" ht="98.45" customHeight="1" x14ac:dyDescent="0.2">
      <c r="A6" s="190"/>
      <c r="B6" s="237"/>
      <c r="C6" s="246"/>
      <c r="D6" s="88" t="s">
        <v>488</v>
      </c>
      <c r="E6" s="88" t="s">
        <v>489</v>
      </c>
      <c r="F6" s="87" t="s">
        <v>592</v>
      </c>
      <c r="G6" s="88" t="s">
        <v>490</v>
      </c>
      <c r="H6" s="111" t="s">
        <v>491</v>
      </c>
      <c r="I6" s="111" t="s">
        <v>492</v>
      </c>
      <c r="J6" s="111" t="s">
        <v>493</v>
      </c>
      <c r="K6" s="111" t="s">
        <v>593</v>
      </c>
    </row>
    <row r="7" spans="1:11" s="19" customFormat="1" ht="20.45" customHeight="1" x14ac:dyDescent="0.2">
      <c r="A7" s="69" t="s">
        <v>0</v>
      </c>
      <c r="B7" s="49">
        <v>131504.2034342289</v>
      </c>
      <c r="C7" s="49">
        <v>45040.359573125839</v>
      </c>
      <c r="D7" s="49">
        <v>472.04852163791656</v>
      </c>
      <c r="E7" s="49">
        <v>2251.0628230571747</v>
      </c>
      <c r="F7" s="49">
        <v>330.85236644744873</v>
      </c>
      <c r="G7" s="49">
        <v>294.25735282897949</v>
      </c>
      <c r="H7" s="49">
        <v>5814.444179058075</v>
      </c>
      <c r="I7" s="49">
        <v>12791.846306562424</v>
      </c>
      <c r="J7" s="49">
        <v>3094.4703302383423</v>
      </c>
      <c r="K7" s="49">
        <v>1118.1307181119919</v>
      </c>
    </row>
    <row r="8" spans="1:11" s="19" customFormat="1" ht="20.45" customHeight="1" x14ac:dyDescent="0.2">
      <c r="A8" s="29" t="s">
        <v>1</v>
      </c>
      <c r="B8" s="51">
        <v>3999284.9654890299</v>
      </c>
      <c r="C8" s="51">
        <v>1012075.8748934269</v>
      </c>
      <c r="D8" s="51">
        <v>17400.831666827202</v>
      </c>
      <c r="E8" s="51">
        <v>58171.252748727798</v>
      </c>
      <c r="F8" s="51">
        <v>9599.7756979465485</v>
      </c>
      <c r="G8" s="51">
        <v>7183.4627202749252</v>
      </c>
      <c r="H8" s="51">
        <v>161326.84124326706</v>
      </c>
      <c r="I8" s="51">
        <v>222337.17273592949</v>
      </c>
      <c r="J8" s="51">
        <v>58561.124443292618</v>
      </c>
      <c r="K8" s="51">
        <v>25547.186786174774</v>
      </c>
    </row>
    <row r="9" spans="1:11" ht="20.45" customHeight="1" x14ac:dyDescent="0.2">
      <c r="A9" s="30" t="s">
        <v>2</v>
      </c>
      <c r="B9" s="53">
        <v>425217.50214135647</v>
      </c>
      <c r="C9" s="53">
        <v>133284.35908007622</v>
      </c>
      <c r="D9" s="53">
        <v>1552.1492133140564</v>
      </c>
      <c r="E9" s="53">
        <v>6575.329053401947</v>
      </c>
      <c r="F9" s="53">
        <v>1133.5199494361877</v>
      </c>
      <c r="G9" s="53">
        <v>848.49233484268188</v>
      </c>
      <c r="H9" s="53">
        <v>17661.201426506042</v>
      </c>
      <c r="I9" s="53">
        <v>35324.942007660866</v>
      </c>
      <c r="J9" s="53">
        <v>7540.2895855903625</v>
      </c>
      <c r="K9" s="53">
        <v>4220.0196799039841</v>
      </c>
    </row>
    <row r="10" spans="1:11" ht="20.45" customHeight="1" x14ac:dyDescent="0.2">
      <c r="A10" s="30" t="s">
        <v>3</v>
      </c>
      <c r="B10" s="53">
        <v>648449.97284579277</v>
      </c>
      <c r="C10" s="53">
        <v>163598.96202874184</v>
      </c>
      <c r="D10" s="53">
        <v>2759.2817823886871</v>
      </c>
      <c r="E10" s="53">
        <v>8384.3131242990494</v>
      </c>
      <c r="F10" s="53">
        <v>1440.3152990341187</v>
      </c>
      <c r="G10" s="53">
        <v>1137.9242825508118</v>
      </c>
      <c r="H10" s="53">
        <v>28157.143993735313</v>
      </c>
      <c r="I10" s="53">
        <v>35847.756190896034</v>
      </c>
      <c r="J10" s="53">
        <v>9548.9075009822845</v>
      </c>
      <c r="K10" s="53">
        <v>4709.1427187919617</v>
      </c>
    </row>
    <row r="11" spans="1:11" ht="20.45" customHeight="1" x14ac:dyDescent="0.2">
      <c r="A11" s="30" t="s">
        <v>4</v>
      </c>
      <c r="B11" s="53">
        <v>1430113.6145436764</v>
      </c>
      <c r="C11" s="53">
        <v>344752.00991380215</v>
      </c>
      <c r="D11" s="53">
        <v>5743.5472820997238</v>
      </c>
      <c r="E11" s="53">
        <v>19618.97450196743</v>
      </c>
      <c r="F11" s="53">
        <v>2905.3775537014008</v>
      </c>
      <c r="G11" s="53">
        <v>2825.6769766807556</v>
      </c>
      <c r="H11" s="53">
        <v>60481.76098883152</v>
      </c>
      <c r="I11" s="53">
        <v>72248.603767633438</v>
      </c>
      <c r="J11" s="53">
        <v>19070.5847697258</v>
      </c>
      <c r="K11" s="53">
        <v>8631.3482266664505</v>
      </c>
    </row>
    <row r="12" spans="1:11" ht="20.45" customHeight="1" x14ac:dyDescent="0.2">
      <c r="A12" s="30" t="s">
        <v>5</v>
      </c>
      <c r="B12" s="53">
        <v>945303.95051133633</v>
      </c>
      <c r="C12" s="53">
        <v>229894.81375443935</v>
      </c>
      <c r="D12" s="53">
        <v>4312.3794605731964</v>
      </c>
      <c r="E12" s="53">
        <v>13672.907971143723</v>
      </c>
      <c r="F12" s="53">
        <v>2624.9027075767517</v>
      </c>
      <c r="G12" s="53">
        <v>1472.4687358140945</v>
      </c>
      <c r="H12" s="53">
        <v>36506.070094347</v>
      </c>
      <c r="I12" s="53">
        <v>48204.510898113251</v>
      </c>
      <c r="J12" s="53">
        <v>13865.458866119385</v>
      </c>
      <c r="K12" s="53">
        <v>5286.1260588169098</v>
      </c>
    </row>
    <row r="13" spans="1:11" ht="20.45" customHeight="1" x14ac:dyDescent="0.2">
      <c r="A13" s="30" t="s">
        <v>6</v>
      </c>
      <c r="B13" s="53">
        <v>427038.72920608521</v>
      </c>
      <c r="C13" s="53">
        <v>107033.15656352043</v>
      </c>
      <c r="D13" s="53">
        <v>2197.1191716194153</v>
      </c>
      <c r="E13" s="53">
        <v>7024.9168567657471</v>
      </c>
      <c r="F13" s="53">
        <v>1114.0159296989441</v>
      </c>
      <c r="G13" s="53">
        <v>685.57859492301941</v>
      </c>
      <c r="H13" s="53">
        <v>15354.961016893387</v>
      </c>
      <c r="I13" s="53">
        <v>23034.188924789429</v>
      </c>
      <c r="J13" s="53">
        <v>6375.4628434181213</v>
      </c>
      <c r="K13" s="53">
        <v>2192.4741965532303</v>
      </c>
    </row>
    <row r="14" spans="1:11" ht="20.45" customHeight="1" x14ac:dyDescent="0.2">
      <c r="A14" s="30" t="s">
        <v>7</v>
      </c>
      <c r="B14" s="53">
        <v>81947.948482036591</v>
      </c>
      <c r="C14" s="53">
        <v>21306.447602987289</v>
      </c>
      <c r="D14" s="53">
        <v>511.85680103302002</v>
      </c>
      <c r="E14" s="53">
        <v>1620.1555643081665</v>
      </c>
      <c r="F14" s="53">
        <v>200.75077962875366</v>
      </c>
      <c r="G14" s="53">
        <v>161.95872211456299</v>
      </c>
      <c r="H14" s="53">
        <v>2167.8523330688477</v>
      </c>
      <c r="I14" s="53">
        <v>5089.2533898353577</v>
      </c>
      <c r="J14" s="53">
        <v>1267.9621415138245</v>
      </c>
      <c r="K14" s="53">
        <v>319.82392799854279</v>
      </c>
    </row>
    <row r="15" spans="1:11" ht="20.45" customHeight="1" x14ac:dyDescent="0.2">
      <c r="A15" s="30" t="s">
        <v>8</v>
      </c>
      <c r="B15" s="53">
        <v>25962.588759422302</v>
      </c>
      <c r="C15" s="53">
        <v>7282.0559177398682</v>
      </c>
      <c r="D15" s="53">
        <v>161.653564453125</v>
      </c>
      <c r="E15" s="53">
        <v>673.98263359069824</v>
      </c>
      <c r="F15" s="53">
        <v>150.54811525344849</v>
      </c>
      <c r="G15" s="53">
        <v>31.896378517150879</v>
      </c>
      <c r="H15" s="53">
        <v>689.22228002548218</v>
      </c>
      <c r="I15" s="53">
        <v>1412.6715331077576</v>
      </c>
      <c r="J15" s="53">
        <v>449.04714727401733</v>
      </c>
      <c r="K15" s="53">
        <v>149.89209413528442</v>
      </c>
    </row>
    <row r="16" spans="1:11" ht="20.45" customHeight="1" x14ac:dyDescent="0.2">
      <c r="A16" s="30" t="s">
        <v>9</v>
      </c>
      <c r="B16" s="53">
        <v>7396.839360833168</v>
      </c>
      <c r="C16" s="53">
        <v>2212.1269807815552</v>
      </c>
      <c r="D16" s="53">
        <v>93.549997806549072</v>
      </c>
      <c r="E16" s="53">
        <v>229.67193174362183</v>
      </c>
      <c r="F16" s="53">
        <v>11.562216758728027</v>
      </c>
      <c r="G16" s="53">
        <v>19.466694831848145</v>
      </c>
      <c r="H16" s="53">
        <v>157.15837955474854</v>
      </c>
      <c r="I16" s="53">
        <v>587.58628582954407</v>
      </c>
      <c r="J16" s="53">
        <v>194.07687711715698</v>
      </c>
      <c r="K16" s="53">
        <v>24.256949424743652</v>
      </c>
    </row>
    <row r="17" spans="1:11" ht="20.45" customHeight="1" x14ac:dyDescent="0.2">
      <c r="A17" s="30" t="s">
        <v>10</v>
      </c>
      <c r="B17" s="53">
        <v>6978.5904805660248</v>
      </c>
      <c r="C17" s="53">
        <v>2267.6322937011719</v>
      </c>
      <c r="D17" s="53">
        <v>60.069106101989746</v>
      </c>
      <c r="E17" s="53">
        <v>319.74587917327881</v>
      </c>
      <c r="F17" s="53">
        <v>10.657174110412598</v>
      </c>
      <c r="G17" s="53">
        <v>0</v>
      </c>
      <c r="H17" s="53">
        <v>123.75238275527954</v>
      </c>
      <c r="I17" s="53">
        <v>489.97685861587524</v>
      </c>
      <c r="J17" s="53">
        <v>215.30104780197144</v>
      </c>
      <c r="K17" s="53">
        <v>13.104626178741455</v>
      </c>
    </row>
    <row r="18" spans="1:11" ht="20.45" customHeight="1" x14ac:dyDescent="0.2">
      <c r="A18" s="30" t="s">
        <v>11</v>
      </c>
      <c r="B18" s="53">
        <v>875.2291579246521</v>
      </c>
      <c r="C18" s="53">
        <v>444.31075763702393</v>
      </c>
      <c r="D18" s="53">
        <v>9.2252874374389648</v>
      </c>
      <c r="E18" s="53">
        <v>51.255232334136963</v>
      </c>
      <c r="F18" s="53">
        <v>8.1259727478027344</v>
      </c>
      <c r="G18" s="53">
        <v>0</v>
      </c>
      <c r="H18" s="53">
        <v>27.718347549438477</v>
      </c>
      <c r="I18" s="53">
        <v>97.682879447937012</v>
      </c>
      <c r="J18" s="53">
        <v>34.033663749694824</v>
      </c>
      <c r="K18" s="53">
        <v>0.99830770492553711</v>
      </c>
    </row>
    <row r="19" spans="1:11" s="19" customFormat="1" ht="20.45" customHeight="1" x14ac:dyDescent="0.2">
      <c r="A19" s="31" t="s">
        <v>12</v>
      </c>
      <c r="B19" s="25">
        <f>B7+B8</f>
        <v>4130789.1689232588</v>
      </c>
      <c r="C19" s="25">
        <f t="shared" ref="C19:K19" si="0">C7+C8</f>
        <v>1057116.2344665527</v>
      </c>
      <c r="D19" s="25">
        <f t="shared" si="0"/>
        <v>17872.880188465118</v>
      </c>
      <c r="E19" s="25">
        <f t="shared" si="0"/>
        <v>60422.315571784973</v>
      </c>
      <c r="F19" s="25">
        <f t="shared" si="0"/>
        <v>9930.6280643939972</v>
      </c>
      <c r="G19" s="25">
        <f t="shared" si="0"/>
        <v>7477.7200731039047</v>
      </c>
      <c r="H19" s="25">
        <f t="shared" si="0"/>
        <v>167141.28542232513</v>
      </c>
      <c r="I19" s="25">
        <f t="shared" si="0"/>
        <v>235129.01904249191</v>
      </c>
      <c r="J19" s="25">
        <f t="shared" si="0"/>
        <v>61655.59477353096</v>
      </c>
      <c r="K19" s="25">
        <f t="shared" si="0"/>
        <v>26665.317504286766</v>
      </c>
    </row>
    <row r="20" spans="1:11" ht="12" customHeight="1" x14ac:dyDescent="0.2"/>
  </sheetData>
  <mergeCells count="5">
    <mergeCell ref="A1:K1"/>
    <mergeCell ref="A5:A6"/>
    <mergeCell ref="C5:C6"/>
    <mergeCell ref="D5:K5"/>
    <mergeCell ref="B5:B6"/>
  </mergeCells>
  <conditionalFormatting sqref="B7:B19">
    <cfRule type="cellIs" dxfId="40" priority="10" stopIfTrue="1" operator="equal">
      <formula>0</formula>
    </cfRule>
  </conditionalFormatting>
  <conditionalFormatting sqref="C7:C19">
    <cfRule type="cellIs" dxfId="39" priority="9" stopIfTrue="1" operator="equal">
      <formula>0</formula>
    </cfRule>
  </conditionalFormatting>
  <conditionalFormatting sqref="D7:D19">
    <cfRule type="cellIs" dxfId="38" priority="8" stopIfTrue="1" operator="equal">
      <formula>0</formula>
    </cfRule>
  </conditionalFormatting>
  <conditionalFormatting sqref="E7:E19">
    <cfRule type="cellIs" dxfId="37" priority="7" stopIfTrue="1" operator="equal">
      <formula>0</formula>
    </cfRule>
  </conditionalFormatting>
  <conditionalFormatting sqref="F7:F19">
    <cfRule type="cellIs" dxfId="36" priority="6" stopIfTrue="1" operator="equal">
      <formula>0</formula>
    </cfRule>
  </conditionalFormatting>
  <conditionalFormatting sqref="G7:G19">
    <cfRule type="cellIs" dxfId="35" priority="5" stopIfTrue="1" operator="equal">
      <formula>0</formula>
    </cfRule>
  </conditionalFormatting>
  <conditionalFormatting sqref="H7:H19">
    <cfRule type="cellIs" dxfId="34" priority="4" stopIfTrue="1" operator="equal">
      <formula>0</formula>
    </cfRule>
  </conditionalFormatting>
  <conditionalFormatting sqref="I7:I19">
    <cfRule type="cellIs" dxfId="33" priority="3" stopIfTrue="1" operator="equal">
      <formula>0</formula>
    </cfRule>
  </conditionalFormatting>
  <conditionalFormatting sqref="J7:J19">
    <cfRule type="cellIs" dxfId="32" priority="2" stopIfTrue="1" operator="equal">
      <formula>0</formula>
    </cfRule>
  </conditionalFormatting>
  <conditionalFormatting sqref="K7:K19">
    <cfRule type="cellIs" dxfId="31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firstPageNumber="74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22DD-3687-4190-B9E5-EF1B5506B773}">
  <sheetPr codeName="Sheet78"/>
  <dimension ref="A1:K20"/>
  <sheetViews>
    <sheetView zoomScale="70" zoomScaleNormal="165" workbookViewId="0">
      <selection activeCell="C19" sqref="C19"/>
    </sheetView>
  </sheetViews>
  <sheetFormatPr defaultColWidth="8.85546875" defaultRowHeight="12.75" x14ac:dyDescent="0.2"/>
  <cols>
    <col min="1" max="1" width="27.140625" style="18" customWidth="1"/>
    <col min="2" max="2" width="15.5703125" style="18" customWidth="1"/>
    <col min="3" max="3" width="13.42578125" style="18" customWidth="1"/>
    <col min="4" max="4" width="9.85546875" style="18" customWidth="1"/>
    <col min="5" max="5" width="12.5703125" style="18" customWidth="1"/>
    <col min="6" max="6" width="13.42578125" style="18" customWidth="1"/>
    <col min="7" max="7" width="9.42578125" style="18" customWidth="1"/>
    <col min="8" max="8" width="10.5703125" style="18" customWidth="1"/>
    <col min="9" max="9" width="13.85546875" style="18" customWidth="1"/>
    <col min="10" max="10" width="12.140625" style="18" customWidth="1"/>
    <col min="11" max="11" width="13.140625" style="18" customWidth="1"/>
    <col min="12" max="14" width="8.85546875" style="18"/>
    <col min="15" max="15" width="8.42578125" style="18" customWidth="1"/>
    <col min="16" max="16384" width="8.85546875" style="18"/>
  </cols>
  <sheetData>
    <row r="1" spans="1:11" s="21" customFormat="1" ht="15.75" customHeight="1" x14ac:dyDescent="0.2">
      <c r="A1" s="235" t="s">
        <v>34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</row>
    <row r="2" spans="1:11" ht="15.75" customHeight="1" x14ac:dyDescent="0.2">
      <c r="A2" s="84"/>
      <c r="B2" s="84"/>
      <c r="C2" s="85"/>
      <c r="D2" s="85"/>
      <c r="E2" s="85"/>
      <c r="F2" s="85"/>
      <c r="G2" s="85"/>
      <c r="H2" s="85"/>
      <c r="I2" s="85"/>
      <c r="J2" s="85"/>
      <c r="K2" s="85" t="s">
        <v>32</v>
      </c>
    </row>
    <row r="3" spans="1:11" s="21" customFormat="1" ht="17.25" customHeight="1" x14ac:dyDescent="0.2">
      <c r="A3" s="107" t="s">
        <v>682</v>
      </c>
      <c r="B3" s="107"/>
      <c r="C3" s="108"/>
      <c r="D3" s="108"/>
      <c r="E3" s="108"/>
      <c r="F3" s="108"/>
      <c r="G3" s="108"/>
      <c r="H3" s="108"/>
      <c r="I3" s="108"/>
      <c r="J3" s="108"/>
      <c r="K3" s="108"/>
    </row>
    <row r="4" spans="1:11" s="21" customFormat="1" ht="7.35" customHeight="1" x14ac:dyDescent="0.2">
      <c r="A4" s="86"/>
      <c r="B4" s="86"/>
      <c r="C4" s="110"/>
      <c r="D4" s="110"/>
      <c r="E4" s="110"/>
      <c r="F4" s="110"/>
      <c r="G4" s="110"/>
      <c r="H4" s="110"/>
      <c r="I4" s="110"/>
      <c r="J4" s="110"/>
      <c r="K4" s="110"/>
    </row>
    <row r="5" spans="1:11" s="20" customFormat="1" ht="34.700000000000003" customHeight="1" x14ac:dyDescent="0.2">
      <c r="A5" s="190" t="s">
        <v>30</v>
      </c>
      <c r="B5" s="239" t="s">
        <v>681</v>
      </c>
      <c r="C5" s="240"/>
      <c r="D5" s="240"/>
      <c r="E5" s="240"/>
      <c r="F5" s="240"/>
      <c r="G5" s="240"/>
      <c r="H5" s="240"/>
      <c r="I5" s="240"/>
      <c r="J5" s="240"/>
      <c r="K5" s="241"/>
    </row>
    <row r="6" spans="1:11" s="20" customFormat="1" ht="82.7" customHeight="1" x14ac:dyDescent="0.2">
      <c r="A6" s="190"/>
      <c r="B6" s="106" t="s">
        <v>494</v>
      </c>
      <c r="C6" s="87" t="s">
        <v>496</v>
      </c>
      <c r="D6" s="87" t="s">
        <v>497</v>
      </c>
      <c r="E6" s="87" t="s">
        <v>498</v>
      </c>
      <c r="F6" s="87" t="s">
        <v>499</v>
      </c>
      <c r="G6" s="106" t="s">
        <v>500</v>
      </c>
      <c r="H6" s="106" t="s">
        <v>501</v>
      </c>
      <c r="I6" s="106" t="s">
        <v>502</v>
      </c>
      <c r="J6" s="106" t="s">
        <v>503</v>
      </c>
      <c r="K6" s="106" t="s">
        <v>504</v>
      </c>
    </row>
    <row r="7" spans="1:11" s="19" customFormat="1" ht="20.45" customHeight="1" x14ac:dyDescent="0.2">
      <c r="A7" s="69" t="s">
        <v>0</v>
      </c>
      <c r="B7" s="49">
        <v>84.048150062561035</v>
      </c>
      <c r="C7" s="49">
        <v>398.09614086151123</v>
      </c>
      <c r="D7" s="49">
        <v>570.08421039581299</v>
      </c>
      <c r="E7" s="49">
        <v>3958.4049887657166</v>
      </c>
      <c r="F7" s="49">
        <v>870.01917219161987</v>
      </c>
      <c r="G7" s="49">
        <v>1422.410816192627</v>
      </c>
      <c r="H7" s="49">
        <v>353.0772397518158</v>
      </c>
      <c r="I7" s="49">
        <v>311.68955183029175</v>
      </c>
      <c r="J7" s="49">
        <v>8221.709034204483</v>
      </c>
      <c r="K7" s="49">
        <v>2683.7076709270477</v>
      </c>
    </row>
    <row r="8" spans="1:11" s="19" customFormat="1" ht="20.45" customHeight="1" x14ac:dyDescent="0.2">
      <c r="A8" s="29" t="s">
        <v>1</v>
      </c>
      <c r="B8" s="51">
        <v>3888.4399920701981</v>
      </c>
      <c r="C8" s="51">
        <v>10894.237252831459</v>
      </c>
      <c r="D8" s="51">
        <v>12001.337922692299</v>
      </c>
      <c r="E8" s="51">
        <v>85551.225997567177</v>
      </c>
      <c r="F8" s="51">
        <v>29891.583528995514</v>
      </c>
      <c r="G8" s="51">
        <v>58844.143327593803</v>
      </c>
      <c r="H8" s="51">
        <v>12887.598071694374</v>
      </c>
      <c r="I8" s="51">
        <v>6340.0129642486572</v>
      </c>
      <c r="J8" s="51">
        <v>173430.58074367046</v>
      </c>
      <c r="K8" s="51">
        <v>58219.067049622536</v>
      </c>
    </row>
    <row r="9" spans="1:11" ht="20.45" customHeight="1" x14ac:dyDescent="0.2">
      <c r="A9" s="30" t="s">
        <v>2</v>
      </c>
      <c r="B9" s="53">
        <v>578.43280935287476</v>
      </c>
      <c r="C9" s="53">
        <v>1529.3226923942566</v>
      </c>
      <c r="D9" s="53">
        <v>1789.8880887031555</v>
      </c>
      <c r="E9" s="53">
        <v>11316.47679567337</v>
      </c>
      <c r="F9" s="53">
        <v>4153.1256960630417</v>
      </c>
      <c r="G9" s="53">
        <v>5255.050549864769</v>
      </c>
      <c r="H9" s="53">
        <v>1438.8546850681305</v>
      </c>
      <c r="I9" s="53">
        <v>1178.9433670043945</v>
      </c>
      <c r="J9" s="53">
        <v>23933.475353717804</v>
      </c>
      <c r="K9" s="53">
        <v>7254.8457915782928</v>
      </c>
    </row>
    <row r="10" spans="1:11" ht="20.45" customHeight="1" x14ac:dyDescent="0.2">
      <c r="A10" s="30" t="s">
        <v>3</v>
      </c>
      <c r="B10" s="53">
        <v>529.67856073379517</v>
      </c>
      <c r="C10" s="53">
        <v>1511.3194551467896</v>
      </c>
      <c r="D10" s="53">
        <v>1898.0231244564056</v>
      </c>
      <c r="E10" s="53">
        <v>15668.936670780182</v>
      </c>
      <c r="F10" s="53">
        <v>3824.2923641204834</v>
      </c>
      <c r="G10" s="53">
        <v>6886.6675417423248</v>
      </c>
      <c r="H10" s="53">
        <v>1599.2477389574051</v>
      </c>
      <c r="I10" s="53">
        <v>905.78469467163086</v>
      </c>
      <c r="J10" s="53">
        <v>29022.699023842812</v>
      </c>
      <c r="K10" s="53">
        <v>9767.5279616117477</v>
      </c>
    </row>
    <row r="11" spans="1:11" ht="20.45" customHeight="1" x14ac:dyDescent="0.2">
      <c r="A11" s="30" t="s">
        <v>4</v>
      </c>
      <c r="B11" s="53">
        <v>1265.6552855968475</v>
      </c>
      <c r="C11" s="53">
        <v>3484.4762763977051</v>
      </c>
      <c r="D11" s="53">
        <v>3536.0447227954865</v>
      </c>
      <c r="E11" s="53">
        <v>30295.452774047852</v>
      </c>
      <c r="F11" s="53">
        <v>9476.2051764726639</v>
      </c>
      <c r="G11" s="53">
        <v>19203.923738121986</v>
      </c>
      <c r="H11" s="53">
        <v>3543.1863985061646</v>
      </c>
      <c r="I11" s="53">
        <v>2086.4423108100891</v>
      </c>
      <c r="J11" s="53">
        <v>59817.077548384666</v>
      </c>
      <c r="K11" s="53">
        <v>20517.671615362167</v>
      </c>
    </row>
    <row r="12" spans="1:11" ht="20.45" customHeight="1" x14ac:dyDescent="0.2">
      <c r="A12" s="30" t="s">
        <v>5</v>
      </c>
      <c r="B12" s="53">
        <v>941.33551728725433</v>
      </c>
      <c r="C12" s="53">
        <v>2377.2511622905731</v>
      </c>
      <c r="D12" s="53">
        <v>2738.5239390134811</v>
      </c>
      <c r="E12" s="53">
        <v>18344.535333514214</v>
      </c>
      <c r="F12" s="53">
        <v>7181.8040182590485</v>
      </c>
      <c r="G12" s="53">
        <v>15674.339077234268</v>
      </c>
      <c r="H12" s="53">
        <v>3278.4606635570526</v>
      </c>
      <c r="I12" s="53">
        <v>1498.8353805541992</v>
      </c>
      <c r="J12" s="53">
        <v>37873.981170296669</v>
      </c>
      <c r="K12" s="53">
        <v>14040.922699928284</v>
      </c>
    </row>
    <row r="13" spans="1:11" ht="20.45" customHeight="1" x14ac:dyDescent="0.2">
      <c r="A13" s="30" t="s">
        <v>6</v>
      </c>
      <c r="B13" s="53">
        <v>473.72177076339722</v>
      </c>
      <c r="C13" s="53">
        <v>1443.9411114454269</v>
      </c>
      <c r="D13" s="53">
        <v>1411.558397769928</v>
      </c>
      <c r="E13" s="53">
        <v>7531.4253182411194</v>
      </c>
      <c r="F13" s="53">
        <v>3832.1754610538483</v>
      </c>
      <c r="G13" s="53">
        <v>8515.3434287309647</v>
      </c>
      <c r="H13" s="53">
        <v>2062.2994341850281</v>
      </c>
      <c r="I13" s="53">
        <v>564.53139972686768</v>
      </c>
      <c r="J13" s="53">
        <v>18031.05925822258</v>
      </c>
      <c r="K13" s="53">
        <v>5188.3834487199783</v>
      </c>
    </row>
    <row r="14" spans="1:11" ht="20.45" customHeight="1" x14ac:dyDescent="0.2">
      <c r="A14" s="30" t="s">
        <v>7</v>
      </c>
      <c r="B14" s="53">
        <v>71.911426544189453</v>
      </c>
      <c r="C14" s="53">
        <v>328.42683601379395</v>
      </c>
      <c r="D14" s="53">
        <v>280.33254742622375</v>
      </c>
      <c r="E14" s="53">
        <v>1503.386168718338</v>
      </c>
      <c r="F14" s="53">
        <v>829.72378635406494</v>
      </c>
      <c r="G14" s="53">
        <v>2110.0794620513916</v>
      </c>
      <c r="H14" s="53">
        <v>559.19653797149658</v>
      </c>
      <c r="I14" s="53">
        <v>87.537746906280518</v>
      </c>
      <c r="J14" s="53">
        <v>3260.9459738731384</v>
      </c>
      <c r="K14" s="53">
        <v>935.29345762729645</v>
      </c>
    </row>
    <row r="15" spans="1:11" ht="20.45" customHeight="1" x14ac:dyDescent="0.2">
      <c r="A15" s="30" t="s">
        <v>8</v>
      </c>
      <c r="B15" s="53">
        <v>7.0606598854064941</v>
      </c>
      <c r="C15" s="53">
        <v>155.80778312683105</v>
      </c>
      <c r="D15" s="53">
        <v>294.34309196472168</v>
      </c>
      <c r="E15" s="53">
        <v>526.0041332244873</v>
      </c>
      <c r="F15" s="53">
        <v>347.56131792068481</v>
      </c>
      <c r="G15" s="53">
        <v>722.84644603729248</v>
      </c>
      <c r="H15" s="53">
        <v>160.58864688873291</v>
      </c>
      <c r="I15" s="53">
        <v>7.382390022277832</v>
      </c>
      <c r="J15" s="53">
        <v>1077.4625277519226</v>
      </c>
      <c r="K15" s="53">
        <v>264.08517456054688</v>
      </c>
    </row>
    <row r="16" spans="1:11" ht="20.45" customHeight="1" x14ac:dyDescent="0.2">
      <c r="A16" s="30" t="s">
        <v>9</v>
      </c>
      <c r="B16" s="53">
        <v>7.8731613159179688</v>
      </c>
      <c r="C16" s="53">
        <v>29.458284378051758</v>
      </c>
      <c r="D16" s="53">
        <v>0</v>
      </c>
      <c r="E16" s="53">
        <v>216.62759256362915</v>
      </c>
      <c r="F16" s="53">
        <v>82.221399784088135</v>
      </c>
      <c r="G16" s="53">
        <v>189.83600401878357</v>
      </c>
      <c r="H16" s="53">
        <v>62.62117862701416</v>
      </c>
      <c r="I16" s="53">
        <v>0</v>
      </c>
      <c r="J16" s="53">
        <v>178.2583270072937</v>
      </c>
      <c r="K16" s="53">
        <v>127.90170001983643</v>
      </c>
    </row>
    <row r="17" spans="1:11" ht="20.45" customHeight="1" x14ac:dyDescent="0.2">
      <c r="A17" s="30" t="s">
        <v>10</v>
      </c>
      <c r="B17" s="53">
        <v>12.770800590515137</v>
      </c>
      <c r="C17" s="53">
        <v>34.233651638031006</v>
      </c>
      <c r="D17" s="53">
        <v>27.317567348480225</v>
      </c>
      <c r="E17" s="53">
        <v>119.09517431259155</v>
      </c>
      <c r="F17" s="53">
        <v>130.4646463394165</v>
      </c>
      <c r="G17" s="53">
        <v>254.04504156112671</v>
      </c>
      <c r="H17" s="53">
        <v>160.91400909423828</v>
      </c>
      <c r="I17" s="53">
        <v>10.55567455291748</v>
      </c>
      <c r="J17" s="53">
        <v>185.56765222549438</v>
      </c>
      <c r="K17" s="53">
        <v>100.06100130081177</v>
      </c>
    </row>
    <row r="18" spans="1:11" ht="20.45" customHeight="1" x14ac:dyDescent="0.2">
      <c r="A18" s="30" t="s">
        <v>11</v>
      </c>
      <c r="B18" s="53">
        <v>0</v>
      </c>
      <c r="C18" s="53">
        <v>0</v>
      </c>
      <c r="D18" s="53">
        <v>25.306443214416504</v>
      </c>
      <c r="E18" s="53">
        <v>29.286036491394043</v>
      </c>
      <c r="F18" s="53">
        <v>34.009662628173828</v>
      </c>
      <c r="G18" s="53">
        <v>32.012038230895996</v>
      </c>
      <c r="H18" s="53">
        <v>22.228778839111328</v>
      </c>
      <c r="I18" s="53">
        <v>0</v>
      </c>
      <c r="J18" s="53">
        <v>50.053908348083496</v>
      </c>
      <c r="K18" s="53">
        <v>22.374198913574219</v>
      </c>
    </row>
    <row r="19" spans="1:11" s="19" customFormat="1" ht="20.45" customHeight="1" x14ac:dyDescent="0.2">
      <c r="A19" s="31" t="s">
        <v>12</v>
      </c>
      <c r="B19" s="25">
        <f>B7+B8</f>
        <v>3972.4881421327591</v>
      </c>
      <c r="C19" s="25">
        <f t="shared" ref="C19:K19" si="0">C7+C8</f>
        <v>11292.33339369297</v>
      </c>
      <c r="D19" s="25">
        <f t="shared" si="0"/>
        <v>12571.422133088112</v>
      </c>
      <c r="E19" s="25">
        <f t="shared" si="0"/>
        <v>89509.630986332893</v>
      </c>
      <c r="F19" s="25">
        <f t="shared" si="0"/>
        <v>30761.602701187134</v>
      </c>
      <c r="G19" s="25">
        <f t="shared" si="0"/>
        <v>60266.55414378643</v>
      </c>
      <c r="H19" s="25">
        <f t="shared" si="0"/>
        <v>13240.67531144619</v>
      </c>
      <c r="I19" s="25">
        <f t="shared" si="0"/>
        <v>6651.702516078949</v>
      </c>
      <c r="J19" s="25">
        <f t="shared" si="0"/>
        <v>181652.28977787495</v>
      </c>
      <c r="K19" s="25">
        <f t="shared" si="0"/>
        <v>60902.774720549583</v>
      </c>
    </row>
    <row r="20" spans="1:11" ht="12" customHeight="1" x14ac:dyDescent="0.2"/>
  </sheetData>
  <mergeCells count="3">
    <mergeCell ref="A1:K1"/>
    <mergeCell ref="A5:A6"/>
    <mergeCell ref="B5:K5"/>
  </mergeCells>
  <conditionalFormatting sqref="B7:B19">
    <cfRule type="cellIs" dxfId="30" priority="10" stopIfTrue="1" operator="equal">
      <formula>0</formula>
    </cfRule>
  </conditionalFormatting>
  <conditionalFormatting sqref="C7:C19">
    <cfRule type="cellIs" dxfId="29" priority="9" stopIfTrue="1" operator="equal">
      <formula>0</formula>
    </cfRule>
  </conditionalFormatting>
  <conditionalFormatting sqref="D7:D19">
    <cfRule type="cellIs" dxfId="28" priority="8" stopIfTrue="1" operator="equal">
      <formula>0</formula>
    </cfRule>
  </conditionalFormatting>
  <conditionalFormatting sqref="E7:E19">
    <cfRule type="cellIs" dxfId="27" priority="7" stopIfTrue="1" operator="equal">
      <formula>0</formula>
    </cfRule>
  </conditionalFormatting>
  <conditionalFormatting sqref="F7:F19">
    <cfRule type="cellIs" dxfId="26" priority="6" stopIfTrue="1" operator="equal">
      <formula>0</formula>
    </cfRule>
  </conditionalFormatting>
  <conditionalFormatting sqref="G7:G19">
    <cfRule type="cellIs" dxfId="25" priority="5" stopIfTrue="1" operator="equal">
      <formula>0</formula>
    </cfRule>
  </conditionalFormatting>
  <conditionalFormatting sqref="H7:H19">
    <cfRule type="cellIs" dxfId="24" priority="4" stopIfTrue="1" operator="equal">
      <formula>0</formula>
    </cfRule>
  </conditionalFormatting>
  <conditionalFormatting sqref="I7:I19">
    <cfRule type="cellIs" dxfId="23" priority="3" stopIfTrue="1" operator="equal">
      <formula>0</formula>
    </cfRule>
  </conditionalFormatting>
  <conditionalFormatting sqref="J7:J19">
    <cfRule type="cellIs" dxfId="22" priority="2" stopIfTrue="1" operator="equal">
      <formula>0</formula>
    </cfRule>
  </conditionalFormatting>
  <conditionalFormatting sqref="K7:K19">
    <cfRule type="cellIs" dxfId="21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firstPageNumber="74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BCD6-1430-4F5F-99FD-B35E2B784400}">
  <sheetPr codeName="Sheet101"/>
  <dimension ref="A1:L20"/>
  <sheetViews>
    <sheetView zoomScale="98" zoomScaleNormal="155" workbookViewId="0">
      <selection activeCell="C19" sqref="C19"/>
    </sheetView>
  </sheetViews>
  <sheetFormatPr defaultColWidth="8.85546875" defaultRowHeight="12.75" x14ac:dyDescent="0.2"/>
  <cols>
    <col min="1" max="1" width="27.42578125" style="18" customWidth="1"/>
    <col min="2" max="2" width="11.42578125" style="18" customWidth="1"/>
    <col min="3" max="3" width="13.140625" style="18" customWidth="1"/>
    <col min="4" max="4" width="11.85546875" style="18" customWidth="1"/>
    <col min="5" max="5" width="9.85546875" style="18" customWidth="1"/>
    <col min="6" max="6" width="8.140625" style="18" customWidth="1"/>
    <col min="7" max="8" width="9.42578125" style="18" customWidth="1"/>
    <col min="9" max="9" width="12.85546875" style="18" customWidth="1"/>
    <col min="10" max="10" width="12.140625" style="18" customWidth="1"/>
    <col min="11" max="11" width="8.85546875" style="18" customWidth="1"/>
    <col min="12" max="12" width="10.140625" style="18" customWidth="1"/>
    <col min="13" max="14" width="8.85546875" style="18"/>
    <col min="15" max="15" width="8.42578125" style="18" customWidth="1"/>
    <col min="16" max="16384" width="8.85546875" style="18"/>
  </cols>
  <sheetData>
    <row r="1" spans="1:12" x14ac:dyDescent="0.2">
      <c r="A1" s="188" t="s">
        <v>34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2" spans="1:12" x14ac:dyDescent="0.2">
      <c r="A2" s="84"/>
      <c r="B2" s="85"/>
      <c r="C2" s="85"/>
      <c r="D2" s="85"/>
      <c r="E2" s="85"/>
      <c r="F2" s="85"/>
      <c r="G2" s="85"/>
      <c r="H2" s="85"/>
      <c r="I2" s="84"/>
      <c r="J2" s="84"/>
      <c r="K2" s="84"/>
      <c r="L2" s="85" t="s">
        <v>32</v>
      </c>
    </row>
    <row r="3" spans="1:12" ht="16.5" customHeight="1" x14ac:dyDescent="0.2">
      <c r="A3" s="86" t="s">
        <v>520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2" s="20" customFormat="1" ht="19.5" customHeight="1" x14ac:dyDescent="0.2">
      <c r="A4" s="190" t="s">
        <v>30</v>
      </c>
      <c r="B4" s="236" t="s">
        <v>338</v>
      </c>
      <c r="C4" s="250" t="s">
        <v>683</v>
      </c>
      <c r="D4" s="250"/>
      <c r="E4" s="250"/>
      <c r="F4" s="250"/>
      <c r="G4" s="250"/>
      <c r="H4" s="250"/>
      <c r="I4" s="250"/>
      <c r="J4" s="250"/>
      <c r="K4" s="250"/>
      <c r="L4" s="250"/>
    </row>
    <row r="5" spans="1:12" s="20" customFormat="1" ht="22.35" customHeight="1" x14ac:dyDescent="0.2">
      <c r="A5" s="190"/>
      <c r="B5" s="251"/>
      <c r="C5" s="248" t="s">
        <v>469</v>
      </c>
      <c r="D5" s="248" t="s">
        <v>487</v>
      </c>
      <c r="E5" s="247" t="s">
        <v>577</v>
      </c>
      <c r="F5" s="247"/>
      <c r="G5" s="247"/>
      <c r="H5" s="247"/>
      <c r="I5" s="250" t="s">
        <v>483</v>
      </c>
      <c r="J5" s="250"/>
      <c r="K5" s="250"/>
      <c r="L5" s="250"/>
    </row>
    <row r="6" spans="1:12" s="20" customFormat="1" ht="31.5" customHeight="1" x14ac:dyDescent="0.2">
      <c r="A6" s="190"/>
      <c r="B6" s="237"/>
      <c r="C6" s="249"/>
      <c r="D6" s="249"/>
      <c r="E6" s="112" t="s">
        <v>684</v>
      </c>
      <c r="F6" s="112" t="s">
        <v>466</v>
      </c>
      <c r="G6" s="112" t="s">
        <v>467</v>
      </c>
      <c r="H6" s="112" t="s">
        <v>468</v>
      </c>
      <c r="I6" s="112" t="s">
        <v>684</v>
      </c>
      <c r="J6" s="112" t="s">
        <v>466</v>
      </c>
      <c r="K6" s="112" t="s">
        <v>467</v>
      </c>
      <c r="L6" s="112" t="s">
        <v>468</v>
      </c>
    </row>
    <row r="7" spans="1:12" s="19" customFormat="1" ht="20.45" customHeight="1" x14ac:dyDescent="0.2">
      <c r="A7" s="69" t="s">
        <v>0</v>
      </c>
      <c r="B7" s="49">
        <v>131504.2034342289</v>
      </c>
      <c r="C7" s="49">
        <v>21735.394825458527</v>
      </c>
      <c r="D7" s="49">
        <v>13662.92180120945</v>
      </c>
      <c r="E7" s="49">
        <v>14687.499987483025</v>
      </c>
      <c r="F7" s="49">
        <v>7659.6941550970078</v>
      </c>
      <c r="G7" s="49">
        <v>5947.683286190033</v>
      </c>
      <c r="H7" s="49">
        <v>1562.675389289856</v>
      </c>
      <c r="I7" s="49">
        <v>14892.108956098557</v>
      </c>
      <c r="J7" s="49">
        <v>7538.1569440364838</v>
      </c>
      <c r="K7" s="49">
        <v>2951.7583255767822</v>
      </c>
      <c r="L7" s="49">
        <v>393.48146092891693</v>
      </c>
    </row>
    <row r="8" spans="1:12" s="19" customFormat="1" ht="20.45" customHeight="1" x14ac:dyDescent="0.2">
      <c r="A8" s="29" t="s">
        <v>1</v>
      </c>
      <c r="B8" s="51">
        <v>3999284.9654890299</v>
      </c>
      <c r="C8" s="51">
        <v>312501.72522854805</v>
      </c>
      <c r="D8" s="51">
        <v>272879.66976439953</v>
      </c>
      <c r="E8" s="51">
        <v>323463.07606065273</v>
      </c>
      <c r="F8" s="51">
        <v>268489.62974452972</v>
      </c>
      <c r="G8" s="51">
        <v>381378.80552566051</v>
      </c>
      <c r="H8" s="51">
        <v>159609.95847964287</v>
      </c>
      <c r="I8" s="51">
        <v>324242.70135509968</v>
      </c>
      <c r="J8" s="51">
        <v>203493.985029459</v>
      </c>
      <c r="K8" s="51">
        <v>88281.582819223404</v>
      </c>
      <c r="L8" s="51">
        <v>10701.06159055233</v>
      </c>
    </row>
    <row r="9" spans="1:12" ht="20.45" customHeight="1" x14ac:dyDescent="0.2">
      <c r="A9" s="30" t="s">
        <v>2</v>
      </c>
      <c r="B9" s="53">
        <v>425217.50214135647</v>
      </c>
      <c r="C9" s="53">
        <v>34185.886302709579</v>
      </c>
      <c r="D9" s="53">
        <v>45862.176954030991</v>
      </c>
      <c r="E9" s="53">
        <v>51985.346263408661</v>
      </c>
      <c r="F9" s="53">
        <v>29083.016335725784</v>
      </c>
      <c r="G9" s="53">
        <v>29674.19583940506</v>
      </c>
      <c r="H9" s="53">
        <v>11349.592056274414</v>
      </c>
      <c r="I9" s="53">
        <v>43701.490456342697</v>
      </c>
      <c r="J9" s="53">
        <v>21533.372219800949</v>
      </c>
      <c r="K9" s="53">
        <v>7571.1436192989349</v>
      </c>
      <c r="L9" s="53">
        <v>815.32347249984741</v>
      </c>
    </row>
    <row r="10" spans="1:12" ht="20.45" customHeight="1" x14ac:dyDescent="0.2">
      <c r="A10" s="30" t="s">
        <v>3</v>
      </c>
      <c r="B10" s="53">
        <v>648449.97284579277</v>
      </c>
      <c r="C10" s="53">
        <v>43412.077448129654</v>
      </c>
      <c r="D10" s="53">
        <v>50095.489119172096</v>
      </c>
      <c r="E10" s="53">
        <v>60487.124090790749</v>
      </c>
      <c r="F10" s="53">
        <v>49080.335245728493</v>
      </c>
      <c r="G10" s="53">
        <v>67139.034421682358</v>
      </c>
      <c r="H10" s="53">
        <v>28308.193250656128</v>
      </c>
      <c r="I10" s="53">
        <v>49137.974642753601</v>
      </c>
      <c r="J10" s="53">
        <v>31383.039255142212</v>
      </c>
      <c r="K10" s="53">
        <v>13551.576756477356</v>
      </c>
      <c r="L10" s="53">
        <v>1688.8797955513</v>
      </c>
    </row>
    <row r="11" spans="1:12" ht="20.45" customHeight="1" x14ac:dyDescent="0.2">
      <c r="A11" s="30" t="s">
        <v>4</v>
      </c>
      <c r="B11" s="53">
        <v>1430113.6145436764</v>
      </c>
      <c r="C11" s="53">
        <v>98142.481776833534</v>
      </c>
      <c r="D11" s="53">
        <v>94936.392248272896</v>
      </c>
      <c r="E11" s="53">
        <v>116807.55912649632</v>
      </c>
      <c r="F11" s="53">
        <v>103164.7611976862</v>
      </c>
      <c r="G11" s="53">
        <v>149560.70408976078</v>
      </c>
      <c r="H11" s="53">
        <v>64000.067004680634</v>
      </c>
      <c r="I11" s="53">
        <v>108363.09450507164</v>
      </c>
      <c r="J11" s="53">
        <v>70035.843959331512</v>
      </c>
      <c r="K11" s="53">
        <v>30709.244244813919</v>
      </c>
      <c r="L11" s="53">
        <v>3295.9840399026871</v>
      </c>
    </row>
    <row r="12" spans="1:12" ht="20.45" customHeight="1" x14ac:dyDescent="0.2">
      <c r="A12" s="30" t="s">
        <v>5</v>
      </c>
      <c r="B12" s="53">
        <v>945303.95051133633</v>
      </c>
      <c r="C12" s="53">
        <v>76840.601096272469</v>
      </c>
      <c r="D12" s="53">
        <v>53655.874797344208</v>
      </c>
      <c r="E12" s="53">
        <v>64314.905105471611</v>
      </c>
      <c r="F12" s="53">
        <v>59126.63936650753</v>
      </c>
      <c r="G12" s="53">
        <v>90114.415631055832</v>
      </c>
      <c r="H12" s="53">
        <v>37479.990617632866</v>
      </c>
      <c r="I12" s="53">
        <v>78509.641423344612</v>
      </c>
      <c r="J12" s="53">
        <v>51929.544574975967</v>
      </c>
      <c r="K12" s="53">
        <v>22844.274386882782</v>
      </c>
      <c r="L12" s="53">
        <v>3007.5373902320862</v>
      </c>
    </row>
    <row r="13" spans="1:12" ht="20.45" customHeight="1" x14ac:dyDescent="0.2">
      <c r="A13" s="30" t="s">
        <v>6</v>
      </c>
      <c r="B13" s="53">
        <v>427038.72920608521</v>
      </c>
      <c r="C13" s="53">
        <v>43392.277527689934</v>
      </c>
      <c r="D13" s="53">
        <v>22641.910551309586</v>
      </c>
      <c r="E13" s="53">
        <v>25246.583492040634</v>
      </c>
      <c r="F13" s="53">
        <v>23397.156540513039</v>
      </c>
      <c r="G13" s="53">
        <v>37131.552345991135</v>
      </c>
      <c r="H13" s="53">
        <v>15024.463862776756</v>
      </c>
      <c r="I13" s="53">
        <v>35255.213709831238</v>
      </c>
      <c r="J13" s="53">
        <v>22867.990527391434</v>
      </c>
      <c r="K13" s="53">
        <v>10982.622231245041</v>
      </c>
      <c r="L13" s="53">
        <v>1455.5457272529602</v>
      </c>
    </row>
    <row r="14" spans="1:12" ht="20.45" customHeight="1" x14ac:dyDescent="0.2">
      <c r="A14" s="30" t="s">
        <v>7</v>
      </c>
      <c r="B14" s="53">
        <v>81947.948482036591</v>
      </c>
      <c r="C14" s="53">
        <v>10383.804146647453</v>
      </c>
      <c r="D14" s="53">
        <v>3899.9767233133316</v>
      </c>
      <c r="E14" s="53">
        <v>3288.0645470619202</v>
      </c>
      <c r="F14" s="53">
        <v>3358.514447927475</v>
      </c>
      <c r="G14" s="53">
        <v>5690.2845575809479</v>
      </c>
      <c r="H14" s="53">
        <v>2528.0820622444153</v>
      </c>
      <c r="I14" s="53">
        <v>6703.2621355056763</v>
      </c>
      <c r="J14" s="53">
        <v>4243.000458240509</v>
      </c>
      <c r="K14" s="53">
        <v>1790.2191228866577</v>
      </c>
      <c r="L14" s="53">
        <v>343.80731344223022</v>
      </c>
    </row>
    <row r="15" spans="1:12" ht="20.45" customHeight="1" x14ac:dyDescent="0.2">
      <c r="A15" s="30" t="s">
        <v>8</v>
      </c>
      <c r="B15" s="53">
        <v>25962.588759422302</v>
      </c>
      <c r="C15" s="53">
        <v>3844.976271033287</v>
      </c>
      <c r="D15" s="53">
        <v>1172.8937907218933</v>
      </c>
      <c r="E15" s="53">
        <v>834.0192928314209</v>
      </c>
      <c r="F15" s="53">
        <v>909.7892849445343</v>
      </c>
      <c r="G15" s="53">
        <v>1436.7570796012878</v>
      </c>
      <c r="H15" s="53">
        <v>616.02666616439819</v>
      </c>
      <c r="I15" s="53">
        <v>1786.2939970493317</v>
      </c>
      <c r="J15" s="53">
        <v>1055.4220314025879</v>
      </c>
      <c r="K15" s="53">
        <v>615.90757179260254</v>
      </c>
      <c r="L15" s="53">
        <v>70.288828611373901</v>
      </c>
    </row>
    <row r="16" spans="1:12" ht="20.45" customHeight="1" x14ac:dyDescent="0.2">
      <c r="A16" s="30" t="s">
        <v>9</v>
      </c>
      <c r="B16" s="53">
        <v>7396.839360833168</v>
      </c>
      <c r="C16" s="53">
        <v>984.20671224594116</v>
      </c>
      <c r="D16" s="53">
        <v>335.94419050216675</v>
      </c>
      <c r="E16" s="53">
        <v>228.73772954940796</v>
      </c>
      <c r="F16" s="53">
        <v>209.57455253601074</v>
      </c>
      <c r="G16" s="53">
        <v>333.66032302379608</v>
      </c>
      <c r="H16" s="53">
        <v>200.99919939041138</v>
      </c>
      <c r="I16" s="53">
        <v>484.46812033653259</v>
      </c>
      <c r="J16" s="53">
        <v>216.88418483734131</v>
      </c>
      <c r="K16" s="53">
        <v>78.79032039642334</v>
      </c>
      <c r="L16" s="53">
        <v>23.695023059844971</v>
      </c>
    </row>
    <row r="17" spans="1:12" ht="20.45" customHeight="1" x14ac:dyDescent="0.2">
      <c r="A17" s="30" t="s">
        <v>10</v>
      </c>
      <c r="B17" s="53">
        <v>6978.5904805660248</v>
      </c>
      <c r="C17" s="53">
        <v>1127.874868273735</v>
      </c>
      <c r="D17" s="53">
        <v>183.09000587463379</v>
      </c>
      <c r="E17" s="53">
        <v>248.83209991455078</v>
      </c>
      <c r="F17" s="53">
        <v>159.84277296066284</v>
      </c>
      <c r="G17" s="53">
        <v>297.20292985439301</v>
      </c>
      <c r="H17" s="53">
        <v>95.110823631286621</v>
      </c>
      <c r="I17" s="53">
        <v>277.39102792739868</v>
      </c>
      <c r="J17" s="53">
        <v>217.18514347076416</v>
      </c>
      <c r="K17" s="53">
        <v>128.04196166992188</v>
      </c>
      <c r="L17" s="53">
        <v>0</v>
      </c>
    </row>
    <row r="18" spans="1:12" ht="20.45" customHeight="1" x14ac:dyDescent="0.2">
      <c r="A18" s="30" t="s">
        <v>11</v>
      </c>
      <c r="B18" s="53">
        <v>875.2291579246521</v>
      </c>
      <c r="C18" s="53">
        <v>187.53907871246338</v>
      </c>
      <c r="D18" s="53">
        <v>95.921383857727051</v>
      </c>
      <c r="E18" s="53">
        <v>21.904313087463379</v>
      </c>
      <c r="F18" s="53">
        <v>0</v>
      </c>
      <c r="G18" s="53">
        <v>0.99830770492553711</v>
      </c>
      <c r="H18" s="53">
        <v>7.4329361915588379</v>
      </c>
      <c r="I18" s="53">
        <v>23.871336936950684</v>
      </c>
      <c r="J18" s="53">
        <v>11.702674865722656</v>
      </c>
      <c r="K18" s="53">
        <v>9.762603759765625</v>
      </c>
      <c r="L18" s="53">
        <v>0</v>
      </c>
    </row>
    <row r="19" spans="1:12" s="19" customFormat="1" ht="20.45" customHeight="1" x14ac:dyDescent="0.2">
      <c r="A19" s="31" t="s">
        <v>12</v>
      </c>
      <c r="B19" s="25">
        <f>B7+B8</f>
        <v>4130789.1689232588</v>
      </c>
      <c r="C19" s="25">
        <f t="shared" ref="C19:L19" si="0">C7+C8</f>
        <v>334237.12005400658</v>
      </c>
      <c r="D19" s="25">
        <f t="shared" si="0"/>
        <v>286542.59156560898</v>
      </c>
      <c r="E19" s="25">
        <f t="shared" si="0"/>
        <v>338150.57604813576</v>
      </c>
      <c r="F19" s="25">
        <f t="shared" si="0"/>
        <v>276149.32389962673</v>
      </c>
      <c r="G19" s="25">
        <f t="shared" si="0"/>
        <v>387326.48881185055</v>
      </c>
      <c r="H19" s="25">
        <f t="shared" si="0"/>
        <v>161172.63386893272</v>
      </c>
      <c r="I19" s="25">
        <f t="shared" si="0"/>
        <v>339134.81031119823</v>
      </c>
      <c r="J19" s="25">
        <f t="shared" si="0"/>
        <v>211032.14197349548</v>
      </c>
      <c r="K19" s="25">
        <f t="shared" si="0"/>
        <v>91233.341144800186</v>
      </c>
      <c r="L19" s="25">
        <f t="shared" si="0"/>
        <v>11094.543051481247</v>
      </c>
    </row>
    <row r="20" spans="1:12" ht="12" customHeight="1" x14ac:dyDescent="0.2"/>
  </sheetData>
  <mergeCells count="8">
    <mergeCell ref="A1:L1"/>
    <mergeCell ref="A4:A6"/>
    <mergeCell ref="E5:H5"/>
    <mergeCell ref="C5:C6"/>
    <mergeCell ref="I5:L5"/>
    <mergeCell ref="C4:L4"/>
    <mergeCell ref="B4:B6"/>
    <mergeCell ref="D5:D6"/>
  </mergeCells>
  <conditionalFormatting sqref="B7:B19">
    <cfRule type="cellIs" dxfId="20" priority="11" stopIfTrue="1" operator="equal">
      <formula>0</formula>
    </cfRule>
  </conditionalFormatting>
  <conditionalFormatting sqref="C7:C19">
    <cfRule type="cellIs" dxfId="19" priority="10" stopIfTrue="1" operator="equal">
      <formula>0</formula>
    </cfRule>
  </conditionalFormatting>
  <conditionalFormatting sqref="D7:D19">
    <cfRule type="cellIs" dxfId="18" priority="9" stopIfTrue="1" operator="equal">
      <formula>0</formula>
    </cfRule>
  </conditionalFormatting>
  <conditionalFormatting sqref="E7:E19">
    <cfRule type="cellIs" dxfId="17" priority="8" stopIfTrue="1" operator="equal">
      <formula>0</formula>
    </cfRule>
  </conditionalFormatting>
  <conditionalFormatting sqref="F7:F19">
    <cfRule type="cellIs" dxfId="16" priority="7" stopIfTrue="1" operator="equal">
      <formula>0</formula>
    </cfRule>
  </conditionalFormatting>
  <conditionalFormatting sqref="G7:G19">
    <cfRule type="cellIs" dxfId="15" priority="6" stopIfTrue="1" operator="equal">
      <formula>0</formula>
    </cfRule>
  </conditionalFormatting>
  <conditionalFormatting sqref="H7:H19">
    <cfRule type="cellIs" dxfId="14" priority="5" stopIfTrue="1" operator="equal">
      <formula>0</formula>
    </cfRule>
  </conditionalFormatting>
  <conditionalFormatting sqref="I7:I19">
    <cfRule type="cellIs" dxfId="13" priority="4" stopIfTrue="1" operator="equal">
      <formula>0</formula>
    </cfRule>
  </conditionalFormatting>
  <conditionalFormatting sqref="J7:J19">
    <cfRule type="cellIs" dxfId="12" priority="3" stopIfTrue="1" operator="equal">
      <formula>0</formula>
    </cfRule>
  </conditionalFormatting>
  <conditionalFormatting sqref="K7:K19">
    <cfRule type="cellIs" dxfId="11" priority="2" stopIfTrue="1" operator="equal">
      <formula>0</formula>
    </cfRule>
  </conditionalFormatting>
  <conditionalFormatting sqref="L7:L19">
    <cfRule type="cellIs" dxfId="10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firstPageNumber="76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4EAA-081E-4862-9009-D55BCA6F078A}">
  <sheetPr codeName="Sheet102"/>
  <dimension ref="A1:J20"/>
  <sheetViews>
    <sheetView zoomScale="96" zoomScaleNormal="155" workbookViewId="0">
      <selection activeCell="C19" sqref="C19"/>
    </sheetView>
  </sheetViews>
  <sheetFormatPr defaultColWidth="8.85546875" defaultRowHeight="12.75" x14ac:dyDescent="0.2"/>
  <cols>
    <col min="1" max="1" width="27.42578125" style="18" customWidth="1"/>
    <col min="2" max="2" width="11.42578125" style="18" customWidth="1"/>
    <col min="3" max="3" width="13.42578125" style="18" customWidth="1"/>
    <col min="4" max="4" width="10.140625" style="18" customWidth="1"/>
    <col min="5" max="5" width="11.140625" style="18" customWidth="1"/>
    <col min="6" max="6" width="10.140625" style="18" customWidth="1"/>
    <col min="7" max="7" width="12.140625" style="18" customWidth="1"/>
    <col min="8" max="8" width="12.42578125" style="18" customWidth="1"/>
    <col min="9" max="9" width="13.85546875" style="18" customWidth="1"/>
    <col min="10" max="10" width="12.140625" style="18" customWidth="1"/>
    <col min="11" max="11" width="8.85546875" style="18" customWidth="1"/>
    <col min="12" max="14" width="8.85546875" style="18"/>
    <col min="15" max="15" width="8.42578125" style="18" customWidth="1"/>
    <col min="16" max="16384" width="8.85546875" style="18"/>
  </cols>
  <sheetData>
    <row r="1" spans="1:10" x14ac:dyDescent="0.2">
      <c r="A1" s="188" t="s">
        <v>34</v>
      </c>
      <c r="B1" s="188"/>
      <c r="C1" s="188"/>
      <c r="D1" s="188"/>
      <c r="E1" s="188"/>
      <c r="F1" s="188"/>
      <c r="G1" s="188"/>
      <c r="H1" s="188"/>
      <c r="I1" s="188"/>
      <c r="J1" s="188"/>
    </row>
    <row r="2" spans="1:10" x14ac:dyDescent="0.2">
      <c r="A2" s="84"/>
      <c r="B2" s="85"/>
      <c r="C2" s="85"/>
      <c r="D2" s="85"/>
      <c r="E2" s="85"/>
      <c r="F2" s="85"/>
      <c r="G2" s="84"/>
      <c r="H2" s="84"/>
      <c r="I2" s="84"/>
      <c r="J2" s="85" t="s">
        <v>32</v>
      </c>
    </row>
    <row r="3" spans="1:10" ht="16.5" customHeight="1" x14ac:dyDescent="0.2">
      <c r="A3" s="86" t="s">
        <v>521</v>
      </c>
      <c r="B3" s="84"/>
      <c r="C3" s="84"/>
      <c r="D3" s="84"/>
      <c r="E3" s="84"/>
      <c r="F3" s="84"/>
      <c r="G3" s="84"/>
      <c r="H3" s="84"/>
      <c r="I3" s="84"/>
      <c r="J3" s="84"/>
    </row>
    <row r="4" spans="1:10" s="20" customFormat="1" ht="27" customHeight="1" x14ac:dyDescent="0.2">
      <c r="A4" s="190" t="s">
        <v>30</v>
      </c>
      <c r="B4" s="236" t="s">
        <v>338</v>
      </c>
      <c r="C4" s="252" t="s">
        <v>683</v>
      </c>
      <c r="D4" s="253"/>
      <c r="E4" s="253"/>
      <c r="F4" s="253"/>
      <c r="G4" s="253"/>
      <c r="H4" s="253"/>
      <c r="I4" s="253"/>
      <c r="J4" s="254"/>
    </row>
    <row r="5" spans="1:10" s="20" customFormat="1" ht="27" customHeight="1" x14ac:dyDescent="0.2">
      <c r="A5" s="190"/>
      <c r="B5" s="251"/>
      <c r="C5" s="250" t="s">
        <v>484</v>
      </c>
      <c r="D5" s="250"/>
      <c r="E5" s="250"/>
      <c r="F5" s="250"/>
      <c r="G5" s="250" t="s">
        <v>485</v>
      </c>
      <c r="H5" s="250"/>
      <c r="I5" s="250"/>
      <c r="J5" s="250"/>
    </row>
    <row r="6" spans="1:10" s="20" customFormat="1" ht="31.5" customHeight="1" x14ac:dyDescent="0.2">
      <c r="A6" s="190"/>
      <c r="B6" s="237"/>
      <c r="C6" s="112" t="s">
        <v>684</v>
      </c>
      <c r="D6" s="112" t="s">
        <v>466</v>
      </c>
      <c r="E6" s="112" t="s">
        <v>467</v>
      </c>
      <c r="F6" s="112" t="s">
        <v>468</v>
      </c>
      <c r="G6" s="112" t="s">
        <v>684</v>
      </c>
      <c r="H6" s="112" t="s">
        <v>466</v>
      </c>
      <c r="I6" s="112" t="s">
        <v>467</v>
      </c>
      <c r="J6" s="112" t="s">
        <v>468</v>
      </c>
    </row>
    <row r="7" spans="1:10" s="19" customFormat="1" ht="20.45" customHeight="1" x14ac:dyDescent="0.2">
      <c r="A7" s="69" t="s">
        <v>0</v>
      </c>
      <c r="B7" s="49">
        <v>131504.2034342289</v>
      </c>
      <c r="C7" s="49">
        <v>13795.236165761948</v>
      </c>
      <c r="D7" s="49">
        <v>4232.0769250392914</v>
      </c>
      <c r="E7" s="49">
        <v>1900.174720287323</v>
      </c>
      <c r="F7" s="49">
        <v>127.82770967483521</v>
      </c>
      <c r="G7" s="49">
        <v>1432.8232307434082</v>
      </c>
      <c r="H7" s="49">
        <v>1609.3933510780334</v>
      </c>
      <c r="I7" s="49">
        <v>1741.9404970407486</v>
      </c>
      <c r="J7" s="49">
        <v>617.12464225292206</v>
      </c>
    </row>
    <row r="8" spans="1:10" s="19" customFormat="1" ht="20.45" customHeight="1" x14ac:dyDescent="0.2">
      <c r="A8" s="29" t="s">
        <v>1</v>
      </c>
      <c r="B8" s="51">
        <v>3999284.9654890299</v>
      </c>
      <c r="C8" s="51">
        <v>366528.74004352093</v>
      </c>
      <c r="D8" s="51">
        <v>151272.45037150383</v>
      </c>
      <c r="E8" s="51">
        <v>63448.724422454834</v>
      </c>
      <c r="F8" s="51">
        <v>8464.1634635925293</v>
      </c>
      <c r="G8" s="51">
        <v>53250.621463298798</v>
      </c>
      <c r="H8" s="51">
        <v>84161.992435097694</v>
      </c>
      <c r="I8" s="51">
        <v>178108.83412599564</v>
      </c>
      <c r="J8" s="51">
        <v>81220.200935482979</v>
      </c>
    </row>
    <row r="9" spans="1:10" ht="20.45" customHeight="1" x14ac:dyDescent="0.2">
      <c r="A9" s="30" t="s">
        <v>2</v>
      </c>
      <c r="B9" s="53">
        <v>425217.50214135647</v>
      </c>
      <c r="C9" s="53">
        <v>46817.156743526459</v>
      </c>
      <c r="D9" s="53">
        <v>13002.569982767105</v>
      </c>
      <c r="E9" s="53">
        <v>4016.2918858528137</v>
      </c>
      <c r="F9" s="53">
        <v>461.53854465484619</v>
      </c>
      <c r="G9" s="53">
        <v>6685.2065398693085</v>
      </c>
      <c r="H9" s="53">
        <v>8143.7030491828918</v>
      </c>
      <c r="I9" s="53">
        <v>12078.488404273987</v>
      </c>
      <c r="J9" s="53">
        <v>5005.221459031105</v>
      </c>
    </row>
    <row r="10" spans="1:10" ht="20.45" customHeight="1" x14ac:dyDescent="0.2">
      <c r="A10" s="30" t="s">
        <v>3</v>
      </c>
      <c r="B10" s="53">
        <v>648449.97284579277</v>
      </c>
      <c r="C10" s="53">
        <v>49637.353890895844</v>
      </c>
      <c r="D10" s="53">
        <v>20860.642393350601</v>
      </c>
      <c r="E10" s="53">
        <v>7960.0992739200592</v>
      </c>
      <c r="F10" s="53">
        <v>1212.1816120147705</v>
      </c>
      <c r="G10" s="53">
        <v>9815.9707636833191</v>
      </c>
      <c r="H10" s="53">
        <v>14938.263184547424</v>
      </c>
      <c r="I10" s="53">
        <v>31581.68119597435</v>
      </c>
      <c r="J10" s="53">
        <v>12804.452388763428</v>
      </c>
    </row>
    <row r="11" spans="1:10" ht="20.45" customHeight="1" x14ac:dyDescent="0.2">
      <c r="A11" s="30" t="s">
        <v>4</v>
      </c>
      <c r="B11" s="53">
        <v>1430113.6145436764</v>
      </c>
      <c r="C11" s="53">
        <v>114140.61943817139</v>
      </c>
      <c r="D11" s="53">
        <v>50075.427859067917</v>
      </c>
      <c r="E11" s="53">
        <v>20952.713347673416</v>
      </c>
      <c r="F11" s="53">
        <v>2732.8380143642426</v>
      </c>
      <c r="G11" s="53">
        <v>19814.055926561356</v>
      </c>
      <c r="H11" s="53">
        <v>32340.165922284126</v>
      </c>
      <c r="I11" s="53">
        <v>68827.570114612579</v>
      </c>
      <c r="J11" s="53">
        <v>31192.051209807396</v>
      </c>
    </row>
    <row r="12" spans="1:10" ht="20.45" customHeight="1" x14ac:dyDescent="0.2">
      <c r="A12" s="30" t="s">
        <v>5</v>
      </c>
      <c r="B12" s="53">
        <v>945303.95051133633</v>
      </c>
      <c r="C12" s="53">
        <v>88558.009662747383</v>
      </c>
      <c r="D12" s="53">
        <v>38857.445703029633</v>
      </c>
      <c r="E12" s="53">
        <v>17281.734448671341</v>
      </c>
      <c r="F12" s="53">
        <v>2293.3117094039917</v>
      </c>
      <c r="G12" s="53">
        <v>11426.795163154602</v>
      </c>
      <c r="H12" s="53">
        <v>20112.235021352768</v>
      </c>
      <c r="I12" s="53">
        <v>44359.793352007866</v>
      </c>
      <c r="J12" s="53">
        <v>20679.26128923893</v>
      </c>
    </row>
    <row r="13" spans="1:10" ht="20.45" customHeight="1" x14ac:dyDescent="0.2">
      <c r="A13" s="30" t="s">
        <v>6</v>
      </c>
      <c r="B13" s="53">
        <v>427038.72920608521</v>
      </c>
      <c r="C13" s="53">
        <v>47862.992035150528</v>
      </c>
      <c r="D13" s="53">
        <v>20247.924957275391</v>
      </c>
      <c r="E13" s="53">
        <v>9305.1977832317352</v>
      </c>
      <c r="F13" s="53">
        <v>1228.5245242118835</v>
      </c>
      <c r="G13" s="53">
        <v>4205.7912411689758</v>
      </c>
      <c r="H13" s="53">
        <v>7028.9896938800812</v>
      </c>
      <c r="I13" s="53">
        <v>17704.248620390892</v>
      </c>
      <c r="J13" s="53">
        <v>8781.3992667198181</v>
      </c>
    </row>
    <row r="14" spans="1:10" ht="20.45" customHeight="1" x14ac:dyDescent="0.2">
      <c r="A14" s="30" t="s">
        <v>7</v>
      </c>
      <c r="B14" s="53">
        <v>81947.948482036591</v>
      </c>
      <c r="C14" s="53">
        <v>11768.458377599716</v>
      </c>
      <c r="D14" s="53">
        <v>5095.9449157714844</v>
      </c>
      <c r="E14" s="53">
        <v>2231.9863066673279</v>
      </c>
      <c r="F14" s="53">
        <v>365.49127697944641</v>
      </c>
      <c r="G14" s="53">
        <v>750.76919603347778</v>
      </c>
      <c r="H14" s="53">
        <v>1105.1557149887085</v>
      </c>
      <c r="I14" s="53">
        <v>2558.6362862586975</v>
      </c>
      <c r="J14" s="53">
        <v>1621.9474453926086</v>
      </c>
    </row>
    <row r="15" spans="1:10" ht="20.45" customHeight="1" x14ac:dyDescent="0.2">
      <c r="A15" s="30" t="s">
        <v>8</v>
      </c>
      <c r="B15" s="53">
        <v>25962.588759422302</v>
      </c>
      <c r="C15" s="53">
        <v>4434.2910134792328</v>
      </c>
      <c r="D15" s="53">
        <v>1968.3256931304932</v>
      </c>
      <c r="E15" s="53">
        <v>1163.1549792289734</v>
      </c>
      <c r="F15" s="53">
        <v>91.649093151092529</v>
      </c>
      <c r="G15" s="53">
        <v>334.5273060798645</v>
      </c>
      <c r="H15" s="53">
        <v>272.92616605758667</v>
      </c>
      <c r="I15" s="53">
        <v>638.28085422515869</v>
      </c>
      <c r="J15" s="53">
        <v>713.6686863899231</v>
      </c>
    </row>
    <row r="16" spans="1:10" ht="20.45" customHeight="1" x14ac:dyDescent="0.2">
      <c r="A16" s="30" t="s">
        <v>9</v>
      </c>
      <c r="B16" s="53">
        <v>7396.839360833168</v>
      </c>
      <c r="C16" s="53">
        <v>1498.3838033676147</v>
      </c>
      <c r="D16" s="53">
        <v>587.33307647705078</v>
      </c>
      <c r="E16" s="53">
        <v>213.0902419090271</v>
      </c>
      <c r="F16" s="53">
        <v>38.938053131103516</v>
      </c>
      <c r="G16" s="53">
        <v>53.201313972473145</v>
      </c>
      <c r="H16" s="53">
        <v>75.8692946434021</v>
      </c>
      <c r="I16" s="53">
        <v>221.94028806686401</v>
      </c>
      <c r="J16" s="53">
        <v>202.95659589767456</v>
      </c>
    </row>
    <row r="17" spans="1:10" ht="20.45" customHeight="1" x14ac:dyDescent="0.2">
      <c r="A17" s="30" t="s">
        <v>10</v>
      </c>
      <c r="B17" s="53">
        <v>6978.5904805660248</v>
      </c>
      <c r="C17" s="53">
        <v>1673.0002121925354</v>
      </c>
      <c r="D17" s="53">
        <v>511.55687189102173</v>
      </c>
      <c r="E17" s="53">
        <v>284.50920724868774</v>
      </c>
      <c r="F17" s="53">
        <v>39.690635681152344</v>
      </c>
      <c r="G17" s="53">
        <v>156.25940656661987</v>
      </c>
      <c r="H17" s="53">
        <v>134.7650089263916</v>
      </c>
      <c r="I17" s="53">
        <v>103.19497346878052</v>
      </c>
      <c r="J17" s="53">
        <v>165.04789209365845</v>
      </c>
    </row>
    <row r="18" spans="1:10" ht="20.45" customHeight="1" x14ac:dyDescent="0.2">
      <c r="A18" s="30" t="s">
        <v>11</v>
      </c>
      <c r="B18" s="53">
        <v>875.2291579246521</v>
      </c>
      <c r="C18" s="53">
        <v>138.47486639022827</v>
      </c>
      <c r="D18" s="53">
        <v>65.278918743133545</v>
      </c>
      <c r="E18" s="53">
        <v>39.946948051452637</v>
      </c>
      <c r="F18" s="53">
        <v>0</v>
      </c>
      <c r="G18" s="53">
        <v>8.0446062088012695</v>
      </c>
      <c r="H18" s="53">
        <v>9.9193792343139648</v>
      </c>
      <c r="I18" s="53">
        <v>35.000036716461182</v>
      </c>
      <c r="J18" s="53">
        <v>54.1947021484375</v>
      </c>
    </row>
    <row r="19" spans="1:10" s="19" customFormat="1" ht="20.45" customHeight="1" x14ac:dyDescent="0.2">
      <c r="A19" s="31" t="s">
        <v>12</v>
      </c>
      <c r="B19" s="25">
        <f>B7+B8</f>
        <v>4130789.1689232588</v>
      </c>
      <c r="C19" s="25">
        <f t="shared" ref="C19:J19" si="0">C7+C8</f>
        <v>380323.97620928288</v>
      </c>
      <c r="D19" s="25">
        <f t="shared" si="0"/>
        <v>155504.52729654312</v>
      </c>
      <c r="E19" s="25">
        <f t="shared" si="0"/>
        <v>65348.899142742157</v>
      </c>
      <c r="F19" s="25">
        <f t="shared" si="0"/>
        <v>8591.9911732673645</v>
      </c>
      <c r="G19" s="25">
        <f t="shared" si="0"/>
        <v>54683.444694042206</v>
      </c>
      <c r="H19" s="25">
        <f t="shared" si="0"/>
        <v>85771.385786175728</v>
      </c>
      <c r="I19" s="25">
        <f t="shared" si="0"/>
        <v>179850.77462303638</v>
      </c>
      <c r="J19" s="25">
        <f t="shared" si="0"/>
        <v>81837.325577735901</v>
      </c>
    </row>
    <row r="20" spans="1:10" ht="12" customHeight="1" x14ac:dyDescent="0.2"/>
  </sheetData>
  <mergeCells count="6">
    <mergeCell ref="C4:J4"/>
    <mergeCell ref="A1:J1"/>
    <mergeCell ref="A4:A6"/>
    <mergeCell ref="B4:B6"/>
    <mergeCell ref="C5:F5"/>
    <mergeCell ref="G5:J5"/>
  </mergeCells>
  <conditionalFormatting sqref="B7:J19">
    <cfRule type="cellIs" dxfId="9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firstPageNumber="76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8B8B-026E-49C8-9A23-5A70C8B613CD}">
  <sheetPr codeName="Sheet103"/>
  <dimension ref="A1:J20"/>
  <sheetViews>
    <sheetView zoomScale="96" zoomScaleNormal="155" workbookViewId="0">
      <selection activeCell="C19" sqref="C19"/>
    </sheetView>
  </sheetViews>
  <sheetFormatPr defaultColWidth="8.85546875" defaultRowHeight="12.75" x14ac:dyDescent="0.2"/>
  <cols>
    <col min="1" max="1" width="27.42578125" style="18" customWidth="1"/>
    <col min="2" max="2" width="11.42578125" style="18" customWidth="1"/>
    <col min="3" max="3" width="13.5703125" style="18" customWidth="1"/>
    <col min="4" max="4" width="10.85546875" style="18" customWidth="1"/>
    <col min="5" max="5" width="11.85546875" style="18" customWidth="1"/>
    <col min="6" max="6" width="10.42578125" style="18" customWidth="1"/>
    <col min="7" max="7" width="11.42578125" style="18" customWidth="1"/>
    <col min="8" max="8" width="12.42578125" style="18" customWidth="1"/>
    <col min="9" max="9" width="13.85546875" style="18" customWidth="1"/>
    <col min="10" max="10" width="12.140625" style="18" customWidth="1"/>
    <col min="11" max="11" width="8.85546875" style="18" customWidth="1"/>
    <col min="12" max="14" width="8.85546875" style="18"/>
    <col min="15" max="15" width="8.42578125" style="18" customWidth="1"/>
    <col min="16" max="16384" width="8.85546875" style="18"/>
  </cols>
  <sheetData>
    <row r="1" spans="1:10" x14ac:dyDescent="0.2">
      <c r="A1" s="188" t="s">
        <v>34</v>
      </c>
      <c r="B1" s="188"/>
      <c r="C1" s="188"/>
      <c r="D1" s="188"/>
      <c r="E1" s="188"/>
      <c r="F1" s="188"/>
      <c r="G1" s="188"/>
      <c r="H1" s="188"/>
      <c r="I1" s="188"/>
      <c r="J1" s="188"/>
    </row>
    <row r="2" spans="1:10" x14ac:dyDescent="0.2">
      <c r="A2" s="84"/>
      <c r="B2" s="85"/>
      <c r="C2" s="84"/>
      <c r="D2" s="84"/>
      <c r="E2" s="84"/>
      <c r="F2" s="84"/>
      <c r="G2" s="84"/>
      <c r="H2" s="84"/>
      <c r="I2" s="84"/>
      <c r="J2" s="85" t="s">
        <v>32</v>
      </c>
    </row>
    <row r="3" spans="1:10" ht="16.5" customHeight="1" x14ac:dyDescent="0.2">
      <c r="A3" s="86" t="s">
        <v>522</v>
      </c>
      <c r="B3" s="84"/>
      <c r="C3" s="84"/>
      <c r="D3" s="84"/>
      <c r="E3" s="84"/>
      <c r="F3" s="84"/>
      <c r="G3" s="84"/>
      <c r="H3" s="84"/>
      <c r="I3" s="84"/>
      <c r="J3" s="84"/>
    </row>
    <row r="4" spans="1:10" s="20" customFormat="1" ht="19.5" customHeight="1" x14ac:dyDescent="0.2">
      <c r="A4" s="190" t="s">
        <v>30</v>
      </c>
      <c r="B4" s="236" t="s">
        <v>338</v>
      </c>
      <c r="C4" s="252" t="s">
        <v>683</v>
      </c>
      <c r="D4" s="253"/>
      <c r="E4" s="253"/>
      <c r="F4" s="253"/>
      <c r="G4" s="253"/>
      <c r="H4" s="253"/>
      <c r="I4" s="253"/>
      <c r="J4" s="254"/>
    </row>
    <row r="5" spans="1:10" s="20" customFormat="1" ht="31.35" customHeight="1" x14ac:dyDescent="0.2">
      <c r="A5" s="190"/>
      <c r="B5" s="251"/>
      <c r="C5" s="250" t="s">
        <v>486</v>
      </c>
      <c r="D5" s="250"/>
      <c r="E5" s="250"/>
      <c r="F5" s="250"/>
      <c r="G5" s="250" t="s">
        <v>249</v>
      </c>
      <c r="H5" s="250"/>
      <c r="I5" s="250"/>
      <c r="J5" s="250"/>
    </row>
    <row r="6" spans="1:10" s="20" customFormat="1" ht="31.5" customHeight="1" x14ac:dyDescent="0.2">
      <c r="A6" s="190"/>
      <c r="B6" s="237"/>
      <c r="C6" s="112" t="s">
        <v>684</v>
      </c>
      <c r="D6" s="112" t="s">
        <v>466</v>
      </c>
      <c r="E6" s="112" t="s">
        <v>467</v>
      </c>
      <c r="F6" s="112" t="s">
        <v>468</v>
      </c>
      <c r="G6" s="112" t="s">
        <v>684</v>
      </c>
      <c r="H6" s="112" t="s">
        <v>466</v>
      </c>
      <c r="I6" s="112" t="s">
        <v>467</v>
      </c>
      <c r="J6" s="112" t="s">
        <v>468</v>
      </c>
    </row>
    <row r="7" spans="1:10" s="19" customFormat="1" ht="20.45" customHeight="1" x14ac:dyDescent="0.2">
      <c r="A7" s="69" t="s">
        <v>0</v>
      </c>
      <c r="B7" s="49">
        <v>131504.2034342289</v>
      </c>
      <c r="C7" s="49">
        <v>4808.1022086143494</v>
      </c>
      <c r="D7" s="49">
        <v>3906.0016412734985</v>
      </c>
      <c r="E7" s="49">
        <v>2929.7136085033417</v>
      </c>
      <c r="F7" s="49">
        <v>958.08980417251587</v>
      </c>
      <c r="G7" s="49">
        <v>2065.9084460735321</v>
      </c>
      <c r="H7" s="49">
        <v>94.245013236999512</v>
      </c>
      <c r="I7" s="49">
        <v>220.34428024291992</v>
      </c>
      <c r="J7" s="49">
        <v>33.826058864593506</v>
      </c>
    </row>
    <row r="8" spans="1:10" s="19" customFormat="1" ht="20.45" customHeight="1" x14ac:dyDescent="0.2">
      <c r="A8" s="29" t="s">
        <v>1</v>
      </c>
      <c r="B8" s="51">
        <v>3999284.9654890299</v>
      </c>
      <c r="C8" s="51">
        <v>112795.39033782482</v>
      </c>
      <c r="D8" s="51">
        <v>143607.80502009392</v>
      </c>
      <c r="E8" s="51">
        <v>232112.26072943211</v>
      </c>
      <c r="F8" s="51">
        <v>116829.94598150253</v>
      </c>
      <c r="G8" s="51">
        <v>35177.115943670273</v>
      </c>
      <c r="H8" s="51">
        <v>10867.434591293335</v>
      </c>
      <c r="I8" s="51">
        <v>12650.877428174019</v>
      </c>
      <c r="J8" s="51">
        <v>3746.212598323822</v>
      </c>
    </row>
    <row r="9" spans="1:10" ht="20.45" customHeight="1" x14ac:dyDescent="0.2">
      <c r="A9" s="30" t="s">
        <v>2</v>
      </c>
      <c r="B9" s="53">
        <v>425217.50214135647</v>
      </c>
      <c r="C9" s="53">
        <v>13368.238505363464</v>
      </c>
      <c r="D9" s="53">
        <v>12504.593770503998</v>
      </c>
      <c r="E9" s="53">
        <v>14974.477974295616</v>
      </c>
      <c r="F9" s="53">
        <v>6405.0503060817719</v>
      </c>
      <c r="G9" s="53">
        <v>4742.1899958848953</v>
      </c>
      <c r="H9" s="53">
        <v>507.04323101043701</v>
      </c>
      <c r="I9" s="53">
        <v>654.57831335067749</v>
      </c>
      <c r="J9" s="53">
        <v>89.609916210174561</v>
      </c>
    </row>
    <row r="10" spans="1:10" ht="20.45" customHeight="1" x14ac:dyDescent="0.2">
      <c r="A10" s="30" t="s">
        <v>3</v>
      </c>
      <c r="B10" s="53">
        <v>648449.97284579277</v>
      </c>
      <c r="C10" s="53">
        <v>19493.873294830322</v>
      </c>
      <c r="D10" s="53">
        <v>23018.196049809456</v>
      </c>
      <c r="E10" s="53">
        <v>37277.911758899689</v>
      </c>
      <c r="F10" s="53">
        <v>17280.742479324341</v>
      </c>
      <c r="G10" s="53">
        <v>5793.5727424621582</v>
      </c>
      <c r="H10" s="53">
        <v>1129.8461890220642</v>
      </c>
      <c r="I10" s="53">
        <v>1084.5575699806213</v>
      </c>
      <c r="J10" s="53">
        <v>276.9040322303772</v>
      </c>
    </row>
    <row r="11" spans="1:10" ht="20.45" customHeight="1" x14ac:dyDescent="0.2">
      <c r="A11" s="30" t="s">
        <v>4</v>
      </c>
      <c r="B11" s="53">
        <v>1430113.6145436764</v>
      </c>
      <c r="C11" s="53">
        <v>39618.122532367706</v>
      </c>
      <c r="D11" s="53">
        <v>54316.396025538445</v>
      </c>
      <c r="E11" s="53">
        <v>90881.464138746262</v>
      </c>
      <c r="F11" s="53">
        <v>46416.050084590912</v>
      </c>
      <c r="G11" s="53">
        <v>11889.230484485626</v>
      </c>
      <c r="H11" s="53">
        <v>2691.6083698272705</v>
      </c>
      <c r="I11" s="53">
        <v>3568.5409992933273</v>
      </c>
      <c r="J11" s="53">
        <v>1640.6278834342957</v>
      </c>
    </row>
    <row r="12" spans="1:10" ht="20.45" customHeight="1" x14ac:dyDescent="0.2">
      <c r="A12" s="30" t="s">
        <v>5</v>
      </c>
      <c r="B12" s="53">
        <v>945303.95051133633</v>
      </c>
      <c r="C12" s="53">
        <v>25508.105095982552</v>
      </c>
      <c r="D12" s="53">
        <v>33684.069231987</v>
      </c>
      <c r="E12" s="53">
        <v>58278.731284379959</v>
      </c>
      <c r="F12" s="53">
        <v>30951.680754065514</v>
      </c>
      <c r="G12" s="53">
        <v>7872.9392377138138</v>
      </c>
      <c r="H12" s="53">
        <v>3155.0455746650696</v>
      </c>
      <c r="I12" s="53">
        <v>3366.4054293632507</v>
      </c>
      <c r="J12" s="53">
        <v>1094.9631638526917</v>
      </c>
    </row>
    <row r="13" spans="1:10" ht="20.45" customHeight="1" x14ac:dyDescent="0.2">
      <c r="A13" s="30" t="s">
        <v>6</v>
      </c>
      <c r="B13" s="53">
        <v>427038.72920608521</v>
      </c>
      <c r="C13" s="53">
        <v>11242.032856941223</v>
      </c>
      <c r="D13" s="53">
        <v>15956.130232810974</v>
      </c>
      <c r="E13" s="53">
        <v>24482.794775366783</v>
      </c>
      <c r="F13" s="53">
        <v>12456.687533020973</v>
      </c>
      <c r="G13" s="53">
        <v>3520.2867953777313</v>
      </c>
      <c r="H13" s="53">
        <v>2395.95263671875</v>
      </c>
      <c r="I13" s="53">
        <v>2742.5660119056702</v>
      </c>
      <c r="J13" s="53">
        <v>481.89372587203979</v>
      </c>
    </row>
    <row r="14" spans="1:10" ht="20.45" customHeight="1" x14ac:dyDescent="0.2">
      <c r="A14" s="30" t="s">
        <v>7</v>
      </c>
      <c r="B14" s="53">
        <v>81947.948482036591</v>
      </c>
      <c r="C14" s="53">
        <v>2477.1003792285919</v>
      </c>
      <c r="D14" s="53">
        <v>2790.6375910043716</v>
      </c>
      <c r="E14" s="53">
        <v>4417.5634969472885</v>
      </c>
      <c r="F14" s="53">
        <v>2307.7682158946991</v>
      </c>
      <c r="G14" s="53">
        <v>817.27984857559204</v>
      </c>
      <c r="H14" s="53">
        <v>578.86019992828369</v>
      </c>
      <c r="I14" s="53">
        <v>746.67870426177979</v>
      </c>
      <c r="J14" s="53">
        <v>84.655011653900146</v>
      </c>
    </row>
    <row r="15" spans="1:10" ht="20.45" customHeight="1" x14ac:dyDescent="0.2">
      <c r="A15" s="30" t="s">
        <v>8</v>
      </c>
      <c r="B15" s="53">
        <v>25962.588759422302</v>
      </c>
      <c r="C15" s="53">
        <v>571.40617513656616</v>
      </c>
      <c r="D15" s="53">
        <v>736.28702890872955</v>
      </c>
      <c r="E15" s="53">
        <v>1183.3812012672424</v>
      </c>
      <c r="F15" s="53">
        <v>726.36263394355774</v>
      </c>
      <c r="G15" s="53">
        <v>312.00805854797363</v>
      </c>
      <c r="H15" s="53">
        <v>173.11825561523438</v>
      </c>
      <c r="I15" s="53">
        <v>278.38461899757385</v>
      </c>
      <c r="J15" s="53">
        <v>22.44218111038208</v>
      </c>
    </row>
    <row r="16" spans="1:10" ht="20.45" customHeight="1" x14ac:dyDescent="0.2">
      <c r="A16" s="30" t="s">
        <v>9</v>
      </c>
      <c r="B16" s="53">
        <v>7396.839360833168</v>
      </c>
      <c r="C16" s="53">
        <v>257.85903692245483</v>
      </c>
      <c r="D16" s="53">
        <v>425.28118467330933</v>
      </c>
      <c r="E16" s="53">
        <v>272.157799243927</v>
      </c>
      <c r="F16" s="53">
        <v>159.77249979972839</v>
      </c>
      <c r="G16" s="53">
        <v>109.65787434577942</v>
      </c>
      <c r="H16" s="53">
        <v>95.88753604888916</v>
      </c>
      <c r="I16" s="53">
        <v>74.134796142578125</v>
      </c>
      <c r="J16" s="53">
        <v>13.415610313415527</v>
      </c>
    </row>
    <row r="17" spans="1:10" ht="20.45" customHeight="1" x14ac:dyDescent="0.2">
      <c r="A17" s="30" t="s">
        <v>10</v>
      </c>
      <c r="B17" s="53">
        <v>6978.5904805660248</v>
      </c>
      <c r="C17" s="53">
        <v>228.59987163543701</v>
      </c>
      <c r="D17" s="53">
        <v>129.89746236801147</v>
      </c>
      <c r="E17" s="53">
        <v>332.55717086791992</v>
      </c>
      <c r="F17" s="53">
        <v>121.29437494277954</v>
      </c>
      <c r="G17" s="53">
        <v>119.95090627670288</v>
      </c>
      <c r="H17" s="53">
        <v>113.41316986083984</v>
      </c>
      <c r="I17" s="53">
        <v>88.580609321594238</v>
      </c>
      <c r="J17" s="53">
        <v>41.70107364654541</v>
      </c>
    </row>
    <row r="18" spans="1:10" ht="20.45" customHeight="1" x14ac:dyDescent="0.2">
      <c r="A18" s="30" t="s">
        <v>11</v>
      </c>
      <c r="B18" s="53">
        <v>875.2291579246521</v>
      </c>
      <c r="C18" s="53">
        <v>30.052589416503906</v>
      </c>
      <c r="D18" s="53">
        <v>46.316442489624023</v>
      </c>
      <c r="E18" s="53">
        <v>11.221129417419434</v>
      </c>
      <c r="F18" s="53">
        <v>4.5370998382568359</v>
      </c>
      <c r="G18" s="53">
        <v>0</v>
      </c>
      <c r="H18" s="53">
        <v>26.659428596496582</v>
      </c>
      <c r="I18" s="53">
        <v>46.450375556945801</v>
      </c>
      <c r="J18" s="53">
        <v>0</v>
      </c>
    </row>
    <row r="19" spans="1:10" s="19" customFormat="1" ht="20.45" customHeight="1" x14ac:dyDescent="0.2">
      <c r="A19" s="31" t="s">
        <v>12</v>
      </c>
      <c r="B19" s="25">
        <f>B7+B8</f>
        <v>4130789.1689232588</v>
      </c>
      <c r="C19" s="25">
        <f t="shared" ref="C19:J19" si="0">C7+C8</f>
        <v>117603.49254643917</v>
      </c>
      <c r="D19" s="25">
        <f t="shared" si="0"/>
        <v>147513.80666136742</v>
      </c>
      <c r="E19" s="25">
        <f t="shared" si="0"/>
        <v>235041.97433793545</v>
      </c>
      <c r="F19" s="25">
        <f t="shared" si="0"/>
        <v>117788.03578567505</v>
      </c>
      <c r="G19" s="25">
        <f t="shared" si="0"/>
        <v>37243.024389743805</v>
      </c>
      <c r="H19" s="25">
        <f t="shared" si="0"/>
        <v>10961.679604530334</v>
      </c>
      <c r="I19" s="25">
        <f t="shared" si="0"/>
        <v>12871.221708416939</v>
      </c>
      <c r="J19" s="25">
        <f t="shared" si="0"/>
        <v>3780.0386571884155</v>
      </c>
    </row>
    <row r="20" spans="1:10" ht="12" customHeight="1" x14ac:dyDescent="0.2"/>
  </sheetData>
  <mergeCells count="6">
    <mergeCell ref="G5:J5"/>
    <mergeCell ref="A1:J1"/>
    <mergeCell ref="A4:A6"/>
    <mergeCell ref="B4:B6"/>
    <mergeCell ref="C4:J4"/>
    <mergeCell ref="C5:F5"/>
  </mergeCells>
  <conditionalFormatting sqref="B7:B19">
    <cfRule type="cellIs" dxfId="8" priority="25" stopIfTrue="1" operator="equal">
      <formula>0</formula>
    </cfRule>
  </conditionalFormatting>
  <conditionalFormatting sqref="C7:C19">
    <cfRule type="cellIs" dxfId="7" priority="8" stopIfTrue="1" operator="equal">
      <formula>0</formula>
    </cfRule>
  </conditionalFormatting>
  <conditionalFormatting sqref="D7:D19">
    <cfRule type="cellIs" dxfId="6" priority="7" stopIfTrue="1" operator="equal">
      <formula>0</formula>
    </cfRule>
  </conditionalFormatting>
  <conditionalFormatting sqref="E7:E19">
    <cfRule type="cellIs" dxfId="5" priority="6" stopIfTrue="1" operator="equal">
      <formula>0</formula>
    </cfRule>
  </conditionalFormatting>
  <conditionalFormatting sqref="F7:F19">
    <cfRule type="cellIs" dxfId="4" priority="5" stopIfTrue="1" operator="equal">
      <formula>0</formula>
    </cfRule>
  </conditionalFormatting>
  <conditionalFormatting sqref="G7:G19">
    <cfRule type="cellIs" dxfId="3" priority="4" stopIfTrue="1" operator="equal">
      <formula>0</formula>
    </cfRule>
  </conditionalFormatting>
  <conditionalFormatting sqref="H7:H19">
    <cfRule type="cellIs" dxfId="2" priority="3" stopIfTrue="1" operator="equal">
      <formula>0</formula>
    </cfRule>
  </conditionalFormatting>
  <conditionalFormatting sqref="I7:I19">
    <cfRule type="cellIs" dxfId="1" priority="2" stopIfTrue="1" operator="equal">
      <formula>0</formula>
    </cfRule>
  </conditionalFormatting>
  <conditionalFormatting sqref="J7:J19">
    <cfRule type="cellIs" dxfId="0" priority="1" stopIfTrue="1" operator="equal">
      <formula>0</formula>
    </cfRule>
  </conditionalFormatting>
  <pageMargins left="0.39370078740157483" right="0.15748031496062992" top="0.55118110236220474" bottom="0.74803149606299213" header="0.31496062992125984" footer="0.31496062992125984"/>
  <pageSetup scale="85" firstPageNumber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117</vt:i4>
      </vt:variant>
      <vt:variant>
        <vt:lpstr>Named Ranges</vt:lpstr>
      </vt:variant>
      <vt:variant>
        <vt:i4>2</vt:i4>
      </vt:variant>
    </vt:vector>
  </HeadingPairs>
  <TitlesOfParts>
    <vt:vector size="119" baseType="lpstr">
      <vt:lpstr>Content</vt:lpstr>
      <vt:lpstr>Tab01_Area</vt:lpstr>
      <vt:lpstr>Tab02a_Tenure</vt:lpstr>
      <vt:lpstr>Tab02b_Tenure</vt:lpstr>
      <vt:lpstr>Tab02c_Tenure</vt:lpstr>
      <vt:lpstr>Tab03a_landUse</vt:lpstr>
      <vt:lpstr>Tab03b_LandUse</vt:lpstr>
      <vt:lpstr>Tab04_Irrigation</vt:lpstr>
      <vt:lpstr>Tab04a_Rented_out</vt:lpstr>
      <vt:lpstr>Tab05_Crop_Type</vt:lpstr>
      <vt:lpstr>Tab06_TempCrop</vt:lpstr>
      <vt:lpstr>Tab06a_TCrop</vt:lpstr>
      <vt:lpstr>Tab06b_Tcrop</vt:lpstr>
      <vt:lpstr>Tab06c_Tcrop</vt:lpstr>
      <vt:lpstr>Tab06d_Tcrop</vt:lpstr>
      <vt:lpstr>Tab06e_Tcrop</vt:lpstr>
      <vt:lpstr>Tab06f_Tcrop</vt:lpstr>
      <vt:lpstr>Tab06g_Tcrop</vt:lpstr>
      <vt:lpstr>Tab07_PermCrop</vt:lpstr>
      <vt:lpstr>Tab07_1_Orange</vt:lpstr>
      <vt:lpstr>Tab07_2_Junar</vt:lpstr>
      <vt:lpstr>Tab07_3_Lemon</vt:lpstr>
      <vt:lpstr>Tab07_4_Lime</vt:lpstr>
      <vt:lpstr>Tab07_5_SweetOrange</vt:lpstr>
      <vt:lpstr>Tab07_6_OCitrus</vt:lpstr>
      <vt:lpstr>Tab07_7_Mango</vt:lpstr>
      <vt:lpstr>Tab07_8_Banana</vt:lpstr>
      <vt:lpstr>Tab07_9_Guava</vt:lpstr>
      <vt:lpstr>Tab07_10_JackFruit</vt:lpstr>
      <vt:lpstr>Tab07_11_Pineapple</vt:lpstr>
      <vt:lpstr>Tab07_12_Lychee</vt:lpstr>
      <vt:lpstr>Tab07_13_Apple</vt:lpstr>
      <vt:lpstr>Tab07_14_Pear</vt:lpstr>
      <vt:lpstr>Tab07_15_Peach</vt:lpstr>
      <vt:lpstr>Tab07_16_Papaya</vt:lpstr>
      <vt:lpstr>Tab07_17</vt:lpstr>
      <vt:lpstr>Tab07_18</vt:lpstr>
      <vt:lpstr>Tab07_19</vt:lpstr>
      <vt:lpstr>Tab07_20</vt:lpstr>
      <vt:lpstr>Tab07_21</vt:lpstr>
      <vt:lpstr>Tab07_22</vt:lpstr>
      <vt:lpstr>Tab07_23</vt:lpstr>
      <vt:lpstr>Tab07_24</vt:lpstr>
      <vt:lpstr>Tab07_25_Tea</vt:lpstr>
      <vt:lpstr>Tab07_26_Coffee</vt:lpstr>
      <vt:lpstr>Tab07_27</vt:lpstr>
      <vt:lpstr>Tab07_28_FodderTree</vt:lpstr>
      <vt:lpstr>Tab07_29_Bamboo</vt:lpstr>
      <vt:lpstr>Tab08_Input_Paddy</vt:lpstr>
      <vt:lpstr>Tab08a_Maize</vt:lpstr>
      <vt:lpstr>Tab08b_Wheat</vt:lpstr>
      <vt:lpstr>Tab08c_Potato</vt:lpstr>
      <vt:lpstr>Tab08d_Vegetable</vt:lpstr>
      <vt:lpstr>Tab08e_Othercrop</vt:lpstr>
      <vt:lpstr>Tab09_lvst_sum1</vt:lpstr>
      <vt:lpstr>Tab09_lvst_sum2</vt:lpstr>
      <vt:lpstr>Tab09a_Cattle</vt:lpstr>
      <vt:lpstr>Tab09a1</vt:lpstr>
      <vt:lpstr>Tab09a2</vt:lpstr>
      <vt:lpstr>Tab9b_Chauri</vt:lpstr>
      <vt:lpstr>Tab09c_Buffalo</vt:lpstr>
      <vt:lpstr>Tab09c1</vt:lpstr>
      <vt:lpstr>Tab09c2</vt:lpstr>
      <vt:lpstr>Tab09d_Goat</vt:lpstr>
      <vt:lpstr>Tab09d1</vt:lpstr>
      <vt:lpstr>Tab09e_Chyangra</vt:lpstr>
      <vt:lpstr>Tab09f_Sheep</vt:lpstr>
      <vt:lpstr>Tab09f1</vt:lpstr>
      <vt:lpstr>Tab09g_Pig</vt:lpstr>
      <vt:lpstr>Tab10_Feeding</vt:lpstr>
      <vt:lpstr>Tab11_Poultry</vt:lpstr>
      <vt:lpstr>Tab11a</vt:lpstr>
      <vt:lpstr>Tab12_feed_Pol</vt:lpstr>
      <vt:lpstr>Tab13_building</vt:lpstr>
      <vt:lpstr>Tab13a</vt:lpstr>
      <vt:lpstr>Tab14_equipment</vt:lpstr>
      <vt:lpstr>Tab14a</vt:lpstr>
      <vt:lpstr>Tab14b</vt:lpstr>
      <vt:lpstr>Tab14c</vt:lpstr>
      <vt:lpstr>Tab14d</vt:lpstr>
      <vt:lpstr>Tab14e</vt:lpstr>
      <vt:lpstr>Tab15_ancillary</vt:lpstr>
      <vt:lpstr>Tab16a_labour</vt:lpstr>
      <vt:lpstr>Tab16b</vt:lpstr>
      <vt:lpstr>Tab17_loan</vt:lpstr>
      <vt:lpstr>Tab17a</vt:lpstr>
      <vt:lpstr>Tab18_insurance</vt:lpstr>
      <vt:lpstr>Tab19_subsidy</vt:lpstr>
      <vt:lpstr>Tab20_soil</vt:lpstr>
      <vt:lpstr>Tab21_tunnel</vt:lpstr>
      <vt:lpstr>Tab22_climate</vt:lpstr>
      <vt:lpstr>Tab23_waste</vt:lpstr>
      <vt:lpstr>Tab24a_holder by age sex</vt:lpstr>
      <vt:lpstr>Tab24b</vt:lpstr>
      <vt:lpstr>Tab25a_area of holder</vt:lpstr>
      <vt:lpstr>Tab25b</vt:lpstr>
      <vt:lpstr>Tab26a_farm pop</vt:lpstr>
      <vt:lpstr>Tab26b</vt:lpstr>
      <vt:lpstr>Tab27a_education</vt:lpstr>
      <vt:lpstr>Tab27b</vt:lpstr>
      <vt:lpstr>Tab28a_occupation holder</vt:lpstr>
      <vt:lpstr>Tab28b</vt:lpstr>
      <vt:lpstr>Tab29a_occupation_other</vt:lpstr>
      <vt:lpstr>Tab29b</vt:lpstr>
      <vt:lpstr>Tab30_time spent</vt:lpstr>
      <vt:lpstr>Tab31_head of hhld</vt:lpstr>
      <vt:lpstr>Tab32_main prod</vt:lpstr>
      <vt:lpstr>Tab33_use of prod</vt:lpstr>
      <vt:lpstr>Tab34_registered</vt:lpstr>
      <vt:lpstr>Tab35_food sufficiency</vt:lpstr>
      <vt:lpstr>Tab36_month</vt:lpstr>
      <vt:lpstr>Tab36a_period of insuff</vt:lpstr>
      <vt:lpstr>Tab37a_oth_activity</vt:lpstr>
      <vt:lpstr>Tab37b</vt:lpstr>
      <vt:lpstr>Tab38a_market access</vt:lpstr>
      <vt:lpstr>Tab38b</vt:lpstr>
      <vt:lpstr>Tab38c</vt:lpstr>
      <vt:lpstr>Content!Print_Titles</vt:lpstr>
      <vt:lpstr>Tab9b_Chauri!Print_Titles</vt:lpstr>
    </vt:vector>
  </TitlesOfParts>
  <Manager>Dr. Dalisay S. Maligalig</Manager>
  <Company>ADB TA 3451-NEP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1. Number, area and fragmentation of holdings by total area of holding</dc:title>
  <dc:subject>Nepal Census of Agriculture 2001/02</dc:subject>
  <dc:creator>Elpidio C. Nogales Jr.</dc:creator>
  <cp:lastModifiedBy>Bako, Dramane (ESS)</cp:lastModifiedBy>
  <cp:lastPrinted>2023-08-29T05:24:34Z</cp:lastPrinted>
  <dcterms:created xsi:type="dcterms:W3CDTF">2003-09-28T15:17:16Z</dcterms:created>
  <dcterms:modified xsi:type="dcterms:W3CDTF">2026-05-19T17:59:55Z</dcterms:modified>
</cp:coreProperties>
</file>